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AAA-110\Coding\schedule-e-rental-income-automator\"/>
    </mc:Choice>
  </mc:AlternateContent>
  <xr:revisionPtr revIDLastSave="0" documentId="13_ncr:1_{D195AA41-AB00-4275-B977-505356B801CB}" xr6:coauthVersionLast="47" xr6:coauthVersionMax="47" xr10:uidLastSave="{00000000-0000-0000-0000-000000000000}"/>
  <bookViews>
    <workbookView xWindow="-120" yWindow="-120" windowWidth="29040" windowHeight="15840" tabRatio="894" xr2:uid="{00000000-000D-0000-FFFF-FFFF00000000}"/>
  </bookViews>
  <sheets>
    <sheet name="Rental income" sheetId="39" r:id="rId1"/>
    <sheet name="Back-to-Work" sheetId="25" state="hidden" r:id="rId2"/>
    <sheet name="Data_Income" sheetId="30" state="hidden" r:id="rId3"/>
    <sheet name="Res Inc Data" sheetId="27" state="hidden" r:id="rId4"/>
    <sheet name="MCC Credit" sheetId="19" state="hidden" r:id="rId5"/>
  </sheets>
  <definedNames>
    <definedName name="_xlnm._FilterDatabase" localSheetId="3" hidden="1">'Res Inc Data'!$B$66:$N$118</definedName>
    <definedName name="BRANCHOFSERVICE">Data_Income!$C$813:$C$828</definedName>
    <definedName name="FAMILYSIZE">#REF!</definedName>
    <definedName name="FREQUENCY">Data_Income!$C$48:$C$57</definedName>
    <definedName name="M_DOCTYPES">Data_Income!$C$106:$C$115</definedName>
    <definedName name="M_PAYDOCS">Data_Income!$B$48:$B$57</definedName>
    <definedName name="M_YEARS">Data_Income!$C$27:$C$32</definedName>
    <definedName name="_xlnm.Print_Area" localSheetId="1">'Back-to-Work'!$C$2:$DA$80</definedName>
    <definedName name="_xlnm.Print_Area" localSheetId="4">'MCC Credit'!$B$3:$CY$40</definedName>
    <definedName name="RESIDUALACTUAL">'Res Inc Data'!$B$46</definedName>
    <definedName name="RESIDUALDIFF">'Res Inc Data'!$B$48</definedName>
    <definedName name="RESIDUALREQUIRED">'Res Inc Data'!$B$45</definedName>
    <definedName name="STATESELECTED">'Res Inc Data'!$B$41</definedName>
    <definedName name="STATESLIST">'Res Inc Data'!$D$67:$D$118</definedName>
    <definedName name="WVOEHEADINGS">Data_Income!$C$94:$C$102</definedName>
    <definedName name="YEARN">Data_Income!$B$8</definedName>
    <definedName name="YEARP1">Data_Income!$B$10</definedName>
    <definedName name="YEARP2">Data_Income!$B$11</definedName>
    <definedName name="YRCB">Data_Income!$B$13</definedName>
    <definedName name="YRP1B">Data_Income!$B$14</definedName>
    <definedName name="YRP1E">Data_Income!$B$15</definedName>
    <definedName name="YRP2B">Data_Income!$B$16</definedName>
    <definedName name="YRP2E">Data_Income!$B$17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H27" i="19" l="1"/>
  <c r="CH25" i="19"/>
  <c r="CH24" i="19"/>
  <c r="CH23" i="19"/>
  <c r="CH18" i="19"/>
  <c r="CH16" i="19"/>
  <c r="CH14" i="19"/>
  <c r="CC8" i="19"/>
  <c r="O8" i="19"/>
  <c r="AQ6" i="19"/>
  <c r="E180" i="27"/>
  <c r="E179" i="27"/>
  <c r="E178" i="27"/>
  <c r="E177" i="27"/>
  <c r="E176" i="27"/>
  <c r="E174" i="27"/>
  <c r="E173" i="27"/>
  <c r="E172" i="27"/>
  <c r="E171" i="27"/>
  <c r="E170" i="27"/>
  <c r="E168" i="27"/>
  <c r="E166" i="27"/>
  <c r="E165" i="27"/>
  <c r="E164" i="27"/>
  <c r="E163" i="27"/>
  <c r="E162" i="27"/>
  <c r="E160" i="27"/>
  <c r="E157" i="27"/>
  <c r="E156" i="27"/>
  <c r="E155" i="27"/>
  <c r="E154" i="27"/>
  <c r="E153" i="27"/>
  <c r="E152" i="27"/>
  <c r="E151" i="27"/>
  <c r="E149" i="27"/>
  <c r="E147" i="27"/>
  <c r="E146" i="27"/>
  <c r="E145" i="27"/>
  <c r="E144" i="27"/>
  <c r="E143" i="27"/>
  <c r="E142" i="27"/>
  <c r="E141" i="27"/>
  <c r="E140" i="27"/>
  <c r="E139" i="27"/>
  <c r="E138" i="27"/>
  <c r="E137" i="27"/>
  <c r="E136" i="27"/>
  <c r="E134" i="27"/>
  <c r="E133" i="27"/>
  <c r="E132" i="27"/>
  <c r="E131" i="27"/>
  <c r="E130" i="27"/>
  <c r="E129" i="27"/>
  <c r="N118" i="27"/>
  <c r="M118" i="27"/>
  <c r="L118" i="27"/>
  <c r="K118" i="27"/>
  <c r="J118" i="27"/>
  <c r="I118" i="27"/>
  <c r="H118" i="27"/>
  <c r="G118" i="27"/>
  <c r="F118" i="27"/>
  <c r="E118" i="27"/>
  <c r="N117" i="27"/>
  <c r="M117" i="27"/>
  <c r="L117" i="27"/>
  <c r="K117" i="27"/>
  <c r="J117" i="27"/>
  <c r="I117" i="27"/>
  <c r="H117" i="27"/>
  <c r="G117" i="27"/>
  <c r="F117" i="27"/>
  <c r="E117" i="27"/>
  <c r="N116" i="27"/>
  <c r="M116" i="27"/>
  <c r="L116" i="27"/>
  <c r="K116" i="27"/>
  <c r="J116" i="27"/>
  <c r="I116" i="27"/>
  <c r="H116" i="27"/>
  <c r="G116" i="27"/>
  <c r="F116" i="27"/>
  <c r="E116" i="27"/>
  <c r="N115" i="27"/>
  <c r="M115" i="27"/>
  <c r="L115" i="27"/>
  <c r="K115" i="27"/>
  <c r="J115" i="27"/>
  <c r="I115" i="27"/>
  <c r="H115" i="27"/>
  <c r="G115" i="27"/>
  <c r="F115" i="27"/>
  <c r="E115" i="27"/>
  <c r="N114" i="27"/>
  <c r="M114" i="27"/>
  <c r="L114" i="27"/>
  <c r="K114" i="27"/>
  <c r="J114" i="27"/>
  <c r="I114" i="27"/>
  <c r="H114" i="27"/>
  <c r="G114" i="27"/>
  <c r="F114" i="27"/>
  <c r="E114" i="27"/>
  <c r="N113" i="27"/>
  <c r="M113" i="27"/>
  <c r="L113" i="27"/>
  <c r="K113" i="27"/>
  <c r="J113" i="27"/>
  <c r="I113" i="27"/>
  <c r="H113" i="27"/>
  <c r="G113" i="27"/>
  <c r="F113" i="27"/>
  <c r="E113" i="27"/>
  <c r="N112" i="27"/>
  <c r="M112" i="27"/>
  <c r="L112" i="27"/>
  <c r="K112" i="27"/>
  <c r="J112" i="27"/>
  <c r="I112" i="27"/>
  <c r="H112" i="27"/>
  <c r="G112" i="27"/>
  <c r="F112" i="27"/>
  <c r="E112" i="27"/>
  <c r="N111" i="27"/>
  <c r="M111" i="27"/>
  <c r="L111" i="27"/>
  <c r="K111" i="27"/>
  <c r="J111" i="27"/>
  <c r="I111" i="27"/>
  <c r="H111" i="27"/>
  <c r="G111" i="27"/>
  <c r="F111" i="27"/>
  <c r="E111" i="27"/>
  <c r="N110" i="27"/>
  <c r="M110" i="27"/>
  <c r="L110" i="27"/>
  <c r="K110" i="27"/>
  <c r="J110" i="27"/>
  <c r="I110" i="27"/>
  <c r="H110" i="27"/>
  <c r="G110" i="27"/>
  <c r="F110" i="27"/>
  <c r="E110" i="27"/>
  <c r="N109" i="27"/>
  <c r="M109" i="27"/>
  <c r="L109" i="27"/>
  <c r="K109" i="27"/>
  <c r="J109" i="27"/>
  <c r="I109" i="27"/>
  <c r="H109" i="27"/>
  <c r="G109" i="27"/>
  <c r="F109" i="27"/>
  <c r="E109" i="27"/>
  <c r="N108" i="27"/>
  <c r="M108" i="27"/>
  <c r="L108" i="27"/>
  <c r="K108" i="27"/>
  <c r="J108" i="27"/>
  <c r="I108" i="27"/>
  <c r="H108" i="27"/>
  <c r="G108" i="27"/>
  <c r="F108" i="27"/>
  <c r="E108" i="27"/>
  <c r="N107" i="27"/>
  <c r="M107" i="27"/>
  <c r="L107" i="27"/>
  <c r="K107" i="27"/>
  <c r="J107" i="27"/>
  <c r="I107" i="27"/>
  <c r="H107" i="27"/>
  <c r="G107" i="27"/>
  <c r="F107" i="27"/>
  <c r="E107" i="27"/>
  <c r="N106" i="27"/>
  <c r="M106" i="27"/>
  <c r="L106" i="27"/>
  <c r="K106" i="27"/>
  <c r="J106" i="27"/>
  <c r="I106" i="27"/>
  <c r="H106" i="27"/>
  <c r="G106" i="27"/>
  <c r="F106" i="27"/>
  <c r="E106" i="27"/>
  <c r="N105" i="27"/>
  <c r="M105" i="27"/>
  <c r="L105" i="27"/>
  <c r="K105" i="27"/>
  <c r="J105" i="27"/>
  <c r="I105" i="27"/>
  <c r="H105" i="27"/>
  <c r="G105" i="27"/>
  <c r="F105" i="27"/>
  <c r="E105" i="27"/>
  <c r="N104" i="27"/>
  <c r="M104" i="27"/>
  <c r="L104" i="27"/>
  <c r="K104" i="27"/>
  <c r="J104" i="27"/>
  <c r="I104" i="27"/>
  <c r="H104" i="27"/>
  <c r="G104" i="27"/>
  <c r="F104" i="27"/>
  <c r="E104" i="27"/>
  <c r="N103" i="27"/>
  <c r="M103" i="27"/>
  <c r="L103" i="27"/>
  <c r="K103" i="27"/>
  <c r="J103" i="27"/>
  <c r="I103" i="27"/>
  <c r="H103" i="27"/>
  <c r="G103" i="27"/>
  <c r="F103" i="27"/>
  <c r="E103" i="27"/>
  <c r="N102" i="27"/>
  <c r="M102" i="27"/>
  <c r="L102" i="27"/>
  <c r="K102" i="27"/>
  <c r="J102" i="27"/>
  <c r="I102" i="27"/>
  <c r="H102" i="27"/>
  <c r="G102" i="27"/>
  <c r="F102" i="27"/>
  <c r="E102" i="27"/>
  <c r="N101" i="27"/>
  <c r="M101" i="27"/>
  <c r="L101" i="27"/>
  <c r="K101" i="27"/>
  <c r="J101" i="27"/>
  <c r="I101" i="27"/>
  <c r="H101" i="27"/>
  <c r="G101" i="27"/>
  <c r="F101" i="27"/>
  <c r="E101" i="27"/>
  <c r="N100" i="27"/>
  <c r="M100" i="27"/>
  <c r="L100" i="27"/>
  <c r="K100" i="27"/>
  <c r="J100" i="27"/>
  <c r="I100" i="27"/>
  <c r="H100" i="27"/>
  <c r="G100" i="27"/>
  <c r="F100" i="27"/>
  <c r="E100" i="27"/>
  <c r="N99" i="27"/>
  <c r="M99" i="27"/>
  <c r="L99" i="27"/>
  <c r="K99" i="27"/>
  <c r="J99" i="27"/>
  <c r="I99" i="27"/>
  <c r="H99" i="27"/>
  <c r="G99" i="27"/>
  <c r="F99" i="27"/>
  <c r="E99" i="27"/>
  <c r="N98" i="27"/>
  <c r="M98" i="27"/>
  <c r="L98" i="27"/>
  <c r="K98" i="27"/>
  <c r="J98" i="27"/>
  <c r="I98" i="27"/>
  <c r="H98" i="27"/>
  <c r="G98" i="27"/>
  <c r="F98" i="27"/>
  <c r="E98" i="27"/>
  <c r="N97" i="27"/>
  <c r="M97" i="27"/>
  <c r="L97" i="27"/>
  <c r="K97" i="27"/>
  <c r="J97" i="27"/>
  <c r="I97" i="27"/>
  <c r="H97" i="27"/>
  <c r="G97" i="27"/>
  <c r="F97" i="27"/>
  <c r="E97" i="27"/>
  <c r="N96" i="27"/>
  <c r="M96" i="27"/>
  <c r="L96" i="27"/>
  <c r="K96" i="27"/>
  <c r="J96" i="27"/>
  <c r="I96" i="27"/>
  <c r="H96" i="27"/>
  <c r="G96" i="27"/>
  <c r="F96" i="27"/>
  <c r="E96" i="27"/>
  <c r="N95" i="27"/>
  <c r="M95" i="27"/>
  <c r="L95" i="27"/>
  <c r="K95" i="27"/>
  <c r="J95" i="27"/>
  <c r="I95" i="27"/>
  <c r="H95" i="27"/>
  <c r="G95" i="27"/>
  <c r="F95" i="27"/>
  <c r="E95" i="27"/>
  <c r="N94" i="27"/>
  <c r="M94" i="27"/>
  <c r="L94" i="27"/>
  <c r="K94" i="27"/>
  <c r="J94" i="27"/>
  <c r="I94" i="27"/>
  <c r="H94" i="27"/>
  <c r="G94" i="27"/>
  <c r="F94" i="27"/>
  <c r="E94" i="27"/>
  <c r="N93" i="27"/>
  <c r="M93" i="27"/>
  <c r="L93" i="27"/>
  <c r="K93" i="27"/>
  <c r="J93" i="27"/>
  <c r="I93" i="27"/>
  <c r="H93" i="27"/>
  <c r="G93" i="27"/>
  <c r="F93" i="27"/>
  <c r="E93" i="27"/>
  <c r="N92" i="27"/>
  <c r="M92" i="27"/>
  <c r="L92" i="27"/>
  <c r="K92" i="27"/>
  <c r="J92" i="27"/>
  <c r="I92" i="27"/>
  <c r="H92" i="27"/>
  <c r="G92" i="27"/>
  <c r="F92" i="27"/>
  <c r="E92" i="27"/>
  <c r="N91" i="27"/>
  <c r="M91" i="27"/>
  <c r="L91" i="27"/>
  <c r="K91" i="27"/>
  <c r="J91" i="27"/>
  <c r="I91" i="27"/>
  <c r="H91" i="27"/>
  <c r="G91" i="27"/>
  <c r="F91" i="27"/>
  <c r="E91" i="27"/>
  <c r="N90" i="27"/>
  <c r="M90" i="27"/>
  <c r="L90" i="27"/>
  <c r="K90" i="27"/>
  <c r="J90" i="27"/>
  <c r="I90" i="27"/>
  <c r="H90" i="27"/>
  <c r="G90" i="27"/>
  <c r="F90" i="27"/>
  <c r="E90" i="27"/>
  <c r="N89" i="27"/>
  <c r="M89" i="27"/>
  <c r="L89" i="27"/>
  <c r="K89" i="27"/>
  <c r="J89" i="27"/>
  <c r="I89" i="27"/>
  <c r="H89" i="27"/>
  <c r="G89" i="27"/>
  <c r="F89" i="27"/>
  <c r="E89" i="27"/>
  <c r="N88" i="27"/>
  <c r="M88" i="27"/>
  <c r="L88" i="27"/>
  <c r="K88" i="27"/>
  <c r="J88" i="27"/>
  <c r="I88" i="27"/>
  <c r="H88" i="27"/>
  <c r="G88" i="27"/>
  <c r="F88" i="27"/>
  <c r="E88" i="27"/>
  <c r="N87" i="27"/>
  <c r="M87" i="27"/>
  <c r="L87" i="27"/>
  <c r="K87" i="27"/>
  <c r="J87" i="27"/>
  <c r="I87" i="27"/>
  <c r="H87" i="27"/>
  <c r="G87" i="27"/>
  <c r="F87" i="27"/>
  <c r="E87" i="27"/>
  <c r="N86" i="27"/>
  <c r="M86" i="27"/>
  <c r="L86" i="27"/>
  <c r="K86" i="27"/>
  <c r="J86" i="27"/>
  <c r="I86" i="27"/>
  <c r="H86" i="27"/>
  <c r="G86" i="27"/>
  <c r="F86" i="27"/>
  <c r="E86" i="27"/>
  <c r="N85" i="27"/>
  <c r="M85" i="27"/>
  <c r="L85" i="27"/>
  <c r="K85" i="27"/>
  <c r="J85" i="27"/>
  <c r="I85" i="27"/>
  <c r="H85" i="27"/>
  <c r="G85" i="27"/>
  <c r="F85" i="27"/>
  <c r="E85" i="27"/>
  <c r="N84" i="27"/>
  <c r="M84" i="27"/>
  <c r="L84" i="27"/>
  <c r="K84" i="27"/>
  <c r="J84" i="27"/>
  <c r="I84" i="27"/>
  <c r="H84" i="27"/>
  <c r="G84" i="27"/>
  <c r="F84" i="27"/>
  <c r="E84" i="27"/>
  <c r="N83" i="27"/>
  <c r="M83" i="27"/>
  <c r="L83" i="27"/>
  <c r="K83" i="27"/>
  <c r="J83" i="27"/>
  <c r="I83" i="27"/>
  <c r="H83" i="27"/>
  <c r="G83" i="27"/>
  <c r="F83" i="27"/>
  <c r="E83" i="27"/>
  <c r="N82" i="27"/>
  <c r="M82" i="27"/>
  <c r="L82" i="27"/>
  <c r="K82" i="27"/>
  <c r="J82" i="27"/>
  <c r="I82" i="27"/>
  <c r="H82" i="27"/>
  <c r="G82" i="27"/>
  <c r="F82" i="27"/>
  <c r="E82" i="27"/>
  <c r="N81" i="27"/>
  <c r="M81" i="27"/>
  <c r="L81" i="27"/>
  <c r="K81" i="27"/>
  <c r="J81" i="27"/>
  <c r="I81" i="27"/>
  <c r="H81" i="27"/>
  <c r="G81" i="27"/>
  <c r="F81" i="27"/>
  <c r="E81" i="27"/>
  <c r="N80" i="27"/>
  <c r="M80" i="27"/>
  <c r="L80" i="27"/>
  <c r="K80" i="27"/>
  <c r="J80" i="27"/>
  <c r="I80" i="27"/>
  <c r="H80" i="27"/>
  <c r="G80" i="27"/>
  <c r="F80" i="27"/>
  <c r="E80" i="27"/>
  <c r="N79" i="27"/>
  <c r="M79" i="27"/>
  <c r="L79" i="27"/>
  <c r="K79" i="27"/>
  <c r="J79" i="27"/>
  <c r="I79" i="27"/>
  <c r="H79" i="27"/>
  <c r="G79" i="27"/>
  <c r="F79" i="27"/>
  <c r="E79" i="27"/>
  <c r="N78" i="27"/>
  <c r="M78" i="27"/>
  <c r="L78" i="27"/>
  <c r="K78" i="27"/>
  <c r="J78" i="27"/>
  <c r="I78" i="27"/>
  <c r="H78" i="27"/>
  <c r="G78" i="27"/>
  <c r="F78" i="27"/>
  <c r="E78" i="27"/>
  <c r="N77" i="27"/>
  <c r="M77" i="27"/>
  <c r="L77" i="27"/>
  <c r="K77" i="27"/>
  <c r="J77" i="27"/>
  <c r="I77" i="27"/>
  <c r="H77" i="27"/>
  <c r="G77" i="27"/>
  <c r="F77" i="27"/>
  <c r="E77" i="27"/>
  <c r="N76" i="27"/>
  <c r="M76" i="27"/>
  <c r="L76" i="27"/>
  <c r="K76" i="27"/>
  <c r="J76" i="27"/>
  <c r="I76" i="27"/>
  <c r="H76" i="27"/>
  <c r="G76" i="27"/>
  <c r="F76" i="27"/>
  <c r="E76" i="27"/>
  <c r="N75" i="27"/>
  <c r="M75" i="27"/>
  <c r="L75" i="27"/>
  <c r="K75" i="27"/>
  <c r="J75" i="27"/>
  <c r="I75" i="27"/>
  <c r="H75" i="27"/>
  <c r="G75" i="27"/>
  <c r="F75" i="27"/>
  <c r="E75" i="27"/>
  <c r="N74" i="27"/>
  <c r="M74" i="27"/>
  <c r="L74" i="27"/>
  <c r="K74" i="27"/>
  <c r="J74" i="27"/>
  <c r="I74" i="27"/>
  <c r="H74" i="27"/>
  <c r="G74" i="27"/>
  <c r="F74" i="27"/>
  <c r="E74" i="27"/>
  <c r="N73" i="27"/>
  <c r="M73" i="27"/>
  <c r="L73" i="27"/>
  <c r="K73" i="27"/>
  <c r="J73" i="27"/>
  <c r="I73" i="27"/>
  <c r="H73" i="27"/>
  <c r="G73" i="27"/>
  <c r="F73" i="27"/>
  <c r="E73" i="27"/>
  <c r="N72" i="27"/>
  <c r="M72" i="27"/>
  <c r="L72" i="27"/>
  <c r="K72" i="27"/>
  <c r="J72" i="27"/>
  <c r="I72" i="27"/>
  <c r="H72" i="27"/>
  <c r="G72" i="27"/>
  <c r="F72" i="27"/>
  <c r="E72" i="27"/>
  <c r="N71" i="27"/>
  <c r="M71" i="27"/>
  <c r="L71" i="27"/>
  <c r="K71" i="27"/>
  <c r="J71" i="27"/>
  <c r="I71" i="27"/>
  <c r="H71" i="27"/>
  <c r="G71" i="27"/>
  <c r="F71" i="27"/>
  <c r="E71" i="27"/>
  <c r="N70" i="27"/>
  <c r="M70" i="27"/>
  <c r="L70" i="27"/>
  <c r="K70" i="27"/>
  <c r="J70" i="27"/>
  <c r="I70" i="27"/>
  <c r="H70" i="27"/>
  <c r="G70" i="27"/>
  <c r="F70" i="27"/>
  <c r="E70" i="27"/>
  <c r="N69" i="27"/>
  <c r="M69" i="27"/>
  <c r="L69" i="27"/>
  <c r="K69" i="27"/>
  <c r="J69" i="27"/>
  <c r="I69" i="27"/>
  <c r="H69" i="27"/>
  <c r="G69" i="27"/>
  <c r="F69" i="27"/>
  <c r="E69" i="27"/>
  <c r="N68" i="27"/>
  <c r="M68" i="27"/>
  <c r="L68" i="27"/>
  <c r="K68" i="27"/>
  <c r="J68" i="27"/>
  <c r="I68" i="27"/>
  <c r="H68" i="27"/>
  <c r="G68" i="27"/>
  <c r="F68" i="27"/>
  <c r="E68" i="27"/>
  <c r="N67" i="27"/>
  <c r="M67" i="27"/>
  <c r="L67" i="27"/>
  <c r="K67" i="27"/>
  <c r="J67" i="27"/>
  <c r="I67" i="27"/>
  <c r="H67" i="27"/>
  <c r="G67" i="27"/>
  <c r="F67" i="27"/>
  <c r="E67" i="27"/>
  <c r="B53" i="27"/>
  <c r="B52" i="27"/>
  <c r="B51" i="27"/>
  <c r="B48" i="27"/>
  <c r="B54" i="27" s="1"/>
  <c r="B46" i="27"/>
  <c r="B44" i="27"/>
  <c r="B43" i="27"/>
  <c r="B42" i="27"/>
  <c r="B41" i="27"/>
  <c r="B33" i="27"/>
  <c r="B32" i="27"/>
  <c r="B30" i="27"/>
  <c r="B29" i="27"/>
  <c r="B28" i="27"/>
  <c r="B27" i="27"/>
  <c r="B26" i="27"/>
  <c r="B24" i="27"/>
  <c r="B23" i="27"/>
  <c r="B22" i="27"/>
  <c r="B20" i="27"/>
  <c r="B19" i="27"/>
  <c r="B18" i="27"/>
  <c r="B17" i="27"/>
  <c r="B16" i="27"/>
  <c r="B15" i="27"/>
  <c r="B14" i="27"/>
  <c r="B13" i="27"/>
  <c r="B11" i="27"/>
  <c r="B10" i="27"/>
  <c r="B9" i="27"/>
  <c r="B8" i="27"/>
  <c r="B7" i="27"/>
  <c r="B6" i="27"/>
  <c r="B5" i="27"/>
  <c r="B4" i="27"/>
  <c r="B2" i="27"/>
  <c r="D1267" i="30"/>
  <c r="D1266" i="30"/>
  <c r="D1265" i="30"/>
  <c r="D1264" i="30"/>
  <c r="D1263" i="30"/>
  <c r="D1262" i="30"/>
  <c r="C1262" i="30"/>
  <c r="D1261" i="30"/>
  <c r="C1261" i="30"/>
  <c r="D1260" i="30"/>
  <c r="C1260" i="30"/>
  <c r="D1259" i="30"/>
  <c r="C1259" i="30"/>
  <c r="D1258" i="30"/>
  <c r="C1258" i="30"/>
  <c r="D1257" i="30"/>
  <c r="C1257" i="30"/>
  <c r="D1256" i="30"/>
  <c r="C1256" i="30"/>
  <c r="D1255" i="30"/>
  <c r="C1255" i="30"/>
  <c r="D1254" i="30"/>
  <c r="C1254" i="30"/>
  <c r="D1253" i="30"/>
  <c r="C1253" i="30"/>
  <c r="D1252" i="30"/>
  <c r="C1252" i="30"/>
  <c r="D1250" i="30"/>
  <c r="D1249" i="30"/>
  <c r="D1248" i="30"/>
  <c r="D1247" i="30"/>
  <c r="D1246" i="30"/>
  <c r="D1241" i="30"/>
  <c r="D1240" i="30"/>
  <c r="D1239" i="30"/>
  <c r="D1238" i="30"/>
  <c r="D1237" i="30"/>
  <c r="D1236" i="30"/>
  <c r="C1236" i="30"/>
  <c r="D1235" i="30"/>
  <c r="C1235" i="30"/>
  <c r="D1234" i="30"/>
  <c r="C1234" i="30"/>
  <c r="D1233" i="30"/>
  <c r="C1233" i="30"/>
  <c r="D1232" i="30"/>
  <c r="C1232" i="30"/>
  <c r="D1231" i="30"/>
  <c r="C1231" i="30"/>
  <c r="D1230" i="30"/>
  <c r="C1230" i="30"/>
  <c r="D1229" i="30"/>
  <c r="C1229" i="30"/>
  <c r="D1228" i="30"/>
  <c r="C1228" i="30"/>
  <c r="D1227" i="30"/>
  <c r="C1227" i="30"/>
  <c r="D1226" i="30"/>
  <c r="C1226" i="30"/>
  <c r="D1224" i="30"/>
  <c r="D1223" i="30"/>
  <c r="D1222" i="30"/>
  <c r="D1221" i="30"/>
  <c r="D1220" i="30"/>
  <c r="D1215" i="30"/>
  <c r="D1214" i="30"/>
  <c r="D1213" i="30"/>
  <c r="D1212" i="30"/>
  <c r="D1211" i="30"/>
  <c r="D1210" i="30"/>
  <c r="C1210" i="30"/>
  <c r="D1209" i="30"/>
  <c r="C1209" i="30"/>
  <c r="D1208" i="30"/>
  <c r="C1208" i="30"/>
  <c r="D1207" i="30"/>
  <c r="C1207" i="30"/>
  <c r="D1206" i="30"/>
  <c r="C1206" i="30"/>
  <c r="D1205" i="30"/>
  <c r="C1205" i="30"/>
  <c r="D1204" i="30"/>
  <c r="C1204" i="30"/>
  <c r="D1203" i="30"/>
  <c r="C1203" i="30"/>
  <c r="D1202" i="30"/>
  <c r="C1202" i="30"/>
  <c r="D1201" i="30"/>
  <c r="C1201" i="30"/>
  <c r="D1200" i="30"/>
  <c r="C1200" i="30"/>
  <c r="D1198" i="30"/>
  <c r="D1197" i="30"/>
  <c r="D1196" i="30"/>
  <c r="D1195" i="30"/>
  <c r="D1194" i="30"/>
  <c r="D1189" i="30"/>
  <c r="D1188" i="30"/>
  <c r="D1187" i="30"/>
  <c r="D1186" i="30"/>
  <c r="D1185" i="30"/>
  <c r="D1184" i="30"/>
  <c r="C1184" i="30"/>
  <c r="D1183" i="30"/>
  <c r="C1183" i="30"/>
  <c r="D1182" i="30"/>
  <c r="C1182" i="30"/>
  <c r="D1181" i="30"/>
  <c r="C1181" i="30"/>
  <c r="D1180" i="30"/>
  <c r="C1180" i="30"/>
  <c r="D1179" i="30"/>
  <c r="C1179" i="30"/>
  <c r="D1178" i="30"/>
  <c r="C1178" i="30"/>
  <c r="D1177" i="30"/>
  <c r="C1177" i="30"/>
  <c r="D1176" i="30"/>
  <c r="C1176" i="30"/>
  <c r="D1175" i="30"/>
  <c r="C1175" i="30"/>
  <c r="D1174" i="30"/>
  <c r="C1174" i="30"/>
  <c r="D1172" i="30"/>
  <c r="D1171" i="30"/>
  <c r="D1170" i="30"/>
  <c r="D1169" i="30"/>
  <c r="D1168" i="30"/>
  <c r="C1162" i="30"/>
  <c r="C1161" i="30"/>
  <c r="C1160" i="30"/>
  <c r="D1159" i="30"/>
  <c r="C1159" i="30"/>
  <c r="C1157" i="30"/>
  <c r="C1156" i="30"/>
  <c r="C1155" i="30"/>
  <c r="D1154" i="30"/>
  <c r="C1154" i="30"/>
  <c r="C1153" i="30"/>
  <c r="D1152" i="30"/>
  <c r="C1152" i="30"/>
  <c r="D1150" i="30"/>
  <c r="C1150" i="30"/>
  <c r="D1148" i="30"/>
  <c r="C1148" i="30"/>
  <c r="D1147" i="30"/>
  <c r="C1147" i="30"/>
  <c r="D1146" i="30"/>
  <c r="C1146" i="30"/>
  <c r="D1145" i="30"/>
  <c r="C1145" i="30"/>
  <c r="C1141" i="30"/>
  <c r="C1140" i="30"/>
  <c r="C1139" i="30"/>
  <c r="D1138" i="30"/>
  <c r="C1138" i="30"/>
  <c r="C1136" i="30"/>
  <c r="C1135" i="30"/>
  <c r="C1134" i="30"/>
  <c r="D1133" i="30"/>
  <c r="C1133" i="30"/>
  <c r="C1132" i="30"/>
  <c r="D1131" i="30"/>
  <c r="C1131" i="30"/>
  <c r="D1129" i="30"/>
  <c r="C1129" i="30"/>
  <c r="D1127" i="30"/>
  <c r="C1127" i="30"/>
  <c r="D1126" i="30"/>
  <c r="C1126" i="30"/>
  <c r="D1125" i="30"/>
  <c r="C1125" i="30"/>
  <c r="D1124" i="30"/>
  <c r="C1124" i="30"/>
  <c r="G1120" i="30"/>
  <c r="F1120" i="30"/>
  <c r="E1120" i="30"/>
  <c r="G1118" i="30"/>
  <c r="F1118" i="30"/>
  <c r="E1118" i="30"/>
  <c r="G1116" i="30"/>
  <c r="F1116" i="30"/>
  <c r="E1116" i="30"/>
  <c r="F1115" i="30"/>
  <c r="E1115" i="30"/>
  <c r="F1114" i="30"/>
  <c r="E1114" i="30"/>
  <c r="F1113" i="30"/>
  <c r="E1113" i="30"/>
  <c r="G1110" i="30"/>
  <c r="F1110" i="30"/>
  <c r="E1110" i="30"/>
  <c r="F1109" i="30"/>
  <c r="E1109" i="30"/>
  <c r="F1108" i="30"/>
  <c r="E1108" i="30"/>
  <c r="F1107" i="30"/>
  <c r="E1107" i="30"/>
  <c r="F1104" i="30"/>
  <c r="E1104" i="30"/>
  <c r="E1102" i="30"/>
  <c r="E1101" i="30"/>
  <c r="E1100" i="30"/>
  <c r="E1099" i="30"/>
  <c r="E1098" i="30"/>
  <c r="E1097" i="30"/>
  <c r="E1096" i="30"/>
  <c r="I1094" i="30"/>
  <c r="I1093" i="30"/>
  <c r="H1093" i="30"/>
  <c r="G1093" i="30"/>
  <c r="E1093" i="30"/>
  <c r="I1092" i="30"/>
  <c r="H1092" i="30"/>
  <c r="G1092" i="30"/>
  <c r="E1092" i="30"/>
  <c r="I1091" i="30"/>
  <c r="H1091" i="30"/>
  <c r="G1091" i="30"/>
  <c r="E1091" i="30"/>
  <c r="I1090" i="30"/>
  <c r="H1090" i="30"/>
  <c r="G1090" i="30"/>
  <c r="E1090" i="30"/>
  <c r="I1089" i="30"/>
  <c r="H1089" i="30"/>
  <c r="G1089" i="30"/>
  <c r="E1089" i="30"/>
  <c r="I1088" i="30"/>
  <c r="H1088" i="30"/>
  <c r="G1088" i="30"/>
  <c r="E1088" i="30"/>
  <c r="I1087" i="30"/>
  <c r="H1087" i="30"/>
  <c r="G1087" i="30"/>
  <c r="E1087" i="30"/>
  <c r="I1086" i="30"/>
  <c r="H1086" i="30"/>
  <c r="G1086" i="30"/>
  <c r="E1086" i="30"/>
  <c r="I1085" i="30"/>
  <c r="H1085" i="30"/>
  <c r="G1085" i="30"/>
  <c r="E1085" i="30"/>
  <c r="I1084" i="30"/>
  <c r="H1084" i="30"/>
  <c r="G1084" i="30"/>
  <c r="E1084" i="30"/>
  <c r="I1083" i="30"/>
  <c r="H1083" i="30"/>
  <c r="G1083" i="30"/>
  <c r="E1083" i="30"/>
  <c r="I1082" i="30"/>
  <c r="H1082" i="30"/>
  <c r="G1082" i="30"/>
  <c r="E1082" i="30"/>
  <c r="I1081" i="30"/>
  <c r="H1081" i="30"/>
  <c r="G1081" i="30"/>
  <c r="E1081" i="30"/>
  <c r="I1080" i="30"/>
  <c r="H1080" i="30"/>
  <c r="G1080" i="30"/>
  <c r="E1080" i="30"/>
  <c r="F1079" i="30"/>
  <c r="D1079" i="30"/>
  <c r="D1077" i="30"/>
  <c r="C1077" i="30"/>
  <c r="D1076" i="30"/>
  <c r="C1076" i="30"/>
  <c r="D1075" i="30"/>
  <c r="C1075" i="30"/>
  <c r="D1072" i="30"/>
  <c r="C1072" i="30"/>
  <c r="D1071" i="30"/>
  <c r="C1071" i="30"/>
  <c r="D1070" i="30"/>
  <c r="C1070" i="30"/>
  <c r="D1067" i="30"/>
  <c r="C1067" i="30"/>
  <c r="D1064" i="30"/>
  <c r="C1064" i="30"/>
  <c r="D1063" i="30"/>
  <c r="C1063" i="30"/>
  <c r="D1062" i="30"/>
  <c r="C1062" i="30"/>
  <c r="D1059" i="30"/>
  <c r="C1059" i="30"/>
  <c r="D1054" i="30"/>
  <c r="C1054" i="30"/>
  <c r="D1052" i="30"/>
  <c r="C1052" i="30"/>
  <c r="D1050" i="30"/>
  <c r="C1050" i="30"/>
  <c r="D1048" i="30"/>
  <c r="C1048" i="30"/>
  <c r="D1046" i="30"/>
  <c r="C1046" i="30"/>
  <c r="D1045" i="30"/>
  <c r="C1045" i="30"/>
  <c r="D1044" i="30"/>
  <c r="C1044" i="30"/>
  <c r="D1043" i="30"/>
  <c r="C1043" i="30"/>
  <c r="D1040" i="30"/>
  <c r="C1040" i="30"/>
  <c r="D1038" i="30"/>
  <c r="C1038" i="30"/>
  <c r="D1037" i="30"/>
  <c r="C1037" i="30"/>
  <c r="D1036" i="30"/>
  <c r="C1036" i="30"/>
  <c r="D1035" i="30"/>
  <c r="C1035" i="30"/>
  <c r="D1032" i="30"/>
  <c r="C1032" i="30"/>
  <c r="D1030" i="30"/>
  <c r="C1030" i="30"/>
  <c r="D1028" i="30"/>
  <c r="C1028" i="30"/>
  <c r="G1024" i="30"/>
  <c r="F1024" i="30"/>
  <c r="E1024" i="30"/>
  <c r="G1022" i="30"/>
  <c r="F1022" i="30"/>
  <c r="E1022" i="30"/>
  <c r="G1020" i="30"/>
  <c r="F1020" i="30"/>
  <c r="E1020" i="30"/>
  <c r="F1019" i="30"/>
  <c r="E1019" i="30"/>
  <c r="F1018" i="30"/>
  <c r="E1018" i="30"/>
  <c r="F1017" i="30"/>
  <c r="E1017" i="30"/>
  <c r="G1014" i="30"/>
  <c r="F1014" i="30"/>
  <c r="E1014" i="30"/>
  <c r="F1013" i="30"/>
  <c r="E1013" i="30"/>
  <c r="F1012" i="30"/>
  <c r="E1012" i="30"/>
  <c r="F1011" i="30"/>
  <c r="E1011" i="30"/>
  <c r="F1008" i="30"/>
  <c r="E1008" i="30"/>
  <c r="E1005" i="30"/>
  <c r="E1004" i="30"/>
  <c r="E1003" i="30"/>
  <c r="E1002" i="30"/>
  <c r="E1001" i="30"/>
  <c r="E1000" i="30"/>
  <c r="E999" i="30"/>
  <c r="I997" i="30"/>
  <c r="I996" i="30"/>
  <c r="H996" i="30"/>
  <c r="G996" i="30"/>
  <c r="E996" i="30"/>
  <c r="I995" i="30"/>
  <c r="H995" i="30"/>
  <c r="G995" i="30"/>
  <c r="E995" i="30"/>
  <c r="I994" i="30"/>
  <c r="H994" i="30"/>
  <c r="G994" i="30"/>
  <c r="E994" i="30"/>
  <c r="I993" i="30"/>
  <c r="H993" i="30"/>
  <c r="G993" i="30"/>
  <c r="E993" i="30"/>
  <c r="I992" i="30"/>
  <c r="H992" i="30"/>
  <c r="G992" i="30"/>
  <c r="E992" i="30"/>
  <c r="I991" i="30"/>
  <c r="H991" i="30"/>
  <c r="G991" i="30"/>
  <c r="E991" i="30"/>
  <c r="I990" i="30"/>
  <c r="H990" i="30"/>
  <c r="G990" i="30"/>
  <c r="E990" i="30"/>
  <c r="I989" i="30"/>
  <c r="H989" i="30"/>
  <c r="G989" i="30"/>
  <c r="E989" i="30"/>
  <c r="I988" i="30"/>
  <c r="H988" i="30"/>
  <c r="G988" i="30"/>
  <c r="E988" i="30"/>
  <c r="I987" i="30"/>
  <c r="H987" i="30"/>
  <c r="G987" i="30"/>
  <c r="E987" i="30"/>
  <c r="I986" i="30"/>
  <c r="H986" i="30"/>
  <c r="G986" i="30"/>
  <c r="E986" i="30"/>
  <c r="F985" i="30"/>
  <c r="D985" i="30"/>
  <c r="D983" i="30"/>
  <c r="C983" i="30"/>
  <c r="D982" i="30"/>
  <c r="C982" i="30"/>
  <c r="D981" i="30"/>
  <c r="C981" i="30"/>
  <c r="D979" i="30"/>
  <c r="C979" i="30"/>
  <c r="D978" i="30"/>
  <c r="C978" i="30"/>
  <c r="D977" i="30"/>
  <c r="C977" i="30"/>
  <c r="D975" i="30"/>
  <c r="C975" i="30"/>
  <c r="D973" i="30"/>
  <c r="C973" i="30"/>
  <c r="D972" i="30"/>
  <c r="C972" i="30"/>
  <c r="D971" i="30"/>
  <c r="C971" i="30"/>
  <c r="D969" i="30"/>
  <c r="C969" i="30"/>
  <c r="D967" i="30"/>
  <c r="C967" i="30"/>
  <c r="D966" i="30"/>
  <c r="C966" i="30"/>
  <c r="D965" i="30"/>
  <c r="C965" i="30"/>
  <c r="D964" i="30"/>
  <c r="C964" i="30"/>
  <c r="D963" i="30"/>
  <c r="C963" i="30"/>
  <c r="D962" i="30"/>
  <c r="C962" i="30"/>
  <c r="D961" i="30"/>
  <c r="C961" i="30"/>
  <c r="B954" i="30"/>
  <c r="B953" i="30"/>
  <c r="B951" i="30"/>
  <c r="B950" i="30"/>
  <c r="B949" i="30"/>
  <c r="B948" i="30"/>
  <c r="F946" i="30"/>
  <c r="E946" i="30"/>
  <c r="D946" i="30"/>
  <c r="C946" i="30"/>
  <c r="B946" i="30"/>
  <c r="E945" i="30"/>
  <c r="D945" i="30"/>
  <c r="C945" i="30"/>
  <c r="B945" i="30"/>
  <c r="E944" i="30"/>
  <c r="D944" i="30"/>
  <c r="C944" i="30"/>
  <c r="B944" i="30"/>
  <c r="C941" i="30"/>
  <c r="C940" i="30"/>
  <c r="C939" i="30"/>
  <c r="D930" i="30"/>
  <c r="D929" i="30"/>
  <c r="D928" i="30"/>
  <c r="D927" i="30"/>
  <c r="D926" i="30"/>
  <c r="D922" i="30"/>
  <c r="D921" i="30"/>
  <c r="D920" i="30"/>
  <c r="D919" i="30"/>
  <c r="D918" i="30"/>
  <c r="F917" i="30"/>
  <c r="D917" i="30"/>
  <c r="D913" i="30"/>
  <c r="D911" i="30"/>
  <c r="K901" i="30"/>
  <c r="H901" i="30"/>
  <c r="G901" i="30"/>
  <c r="F901" i="30"/>
  <c r="E901" i="30"/>
  <c r="K900" i="30"/>
  <c r="H900" i="30"/>
  <c r="G900" i="30"/>
  <c r="F900" i="30"/>
  <c r="E900" i="30"/>
  <c r="D900" i="30"/>
  <c r="C900" i="30"/>
  <c r="B900" i="30"/>
  <c r="K899" i="30"/>
  <c r="H899" i="30"/>
  <c r="G899" i="30"/>
  <c r="F899" i="30"/>
  <c r="E899" i="30"/>
  <c r="D899" i="30"/>
  <c r="C899" i="30"/>
  <c r="B899" i="30"/>
  <c r="D894" i="30"/>
  <c r="F893" i="30"/>
  <c r="D893" i="30"/>
  <c r="D892" i="30"/>
  <c r="D890" i="30"/>
  <c r="D889" i="30"/>
  <c r="D888" i="30"/>
  <c r="D886" i="30"/>
  <c r="D885" i="30"/>
  <c r="A885" i="30"/>
  <c r="D884" i="30"/>
  <c r="A884" i="30"/>
  <c r="D883" i="30"/>
  <c r="A883" i="30"/>
  <c r="D881" i="30"/>
  <c r="D880" i="30"/>
  <c r="A880" i="30"/>
  <c r="D879" i="30"/>
  <c r="A879" i="30"/>
  <c r="D878" i="30"/>
  <c r="A878" i="30"/>
  <c r="D876" i="30"/>
  <c r="D875" i="30"/>
  <c r="D874" i="30"/>
  <c r="D873" i="30"/>
  <c r="D872" i="30"/>
  <c r="D871" i="30"/>
  <c r="D870" i="30"/>
  <c r="D867" i="30"/>
  <c r="D866" i="30"/>
  <c r="D865" i="30"/>
  <c r="D864" i="30"/>
  <c r="D863" i="30"/>
  <c r="D861" i="30"/>
  <c r="B861" i="30"/>
  <c r="D860" i="30"/>
  <c r="B860" i="30"/>
  <c r="D859" i="30"/>
  <c r="B859" i="30"/>
  <c r="J857" i="30"/>
  <c r="I857" i="30"/>
  <c r="H857" i="30"/>
  <c r="G857" i="30"/>
  <c r="F857" i="30"/>
  <c r="E857" i="30"/>
  <c r="M856" i="30"/>
  <c r="L856" i="30"/>
  <c r="K856" i="30"/>
  <c r="J856" i="30"/>
  <c r="I856" i="30"/>
  <c r="H856" i="30"/>
  <c r="G856" i="30"/>
  <c r="F856" i="30"/>
  <c r="E856" i="30"/>
  <c r="D856" i="30"/>
  <c r="C856" i="30"/>
  <c r="B856" i="30"/>
  <c r="M855" i="30"/>
  <c r="L855" i="30"/>
  <c r="K855" i="30"/>
  <c r="J855" i="30"/>
  <c r="I855" i="30"/>
  <c r="H855" i="30"/>
  <c r="G855" i="30"/>
  <c r="F855" i="30"/>
  <c r="E855" i="30"/>
  <c r="D855" i="30"/>
  <c r="C855" i="30"/>
  <c r="B855" i="30"/>
  <c r="M854" i="30"/>
  <c r="L854" i="30"/>
  <c r="K854" i="30"/>
  <c r="J854" i="30"/>
  <c r="I854" i="30"/>
  <c r="H854" i="30"/>
  <c r="G854" i="30"/>
  <c r="F854" i="30"/>
  <c r="E854" i="30"/>
  <c r="D854" i="30"/>
  <c r="C854" i="30"/>
  <c r="B854" i="30"/>
  <c r="D849" i="30"/>
  <c r="D848" i="30"/>
  <c r="D847" i="30"/>
  <c r="D846" i="30"/>
  <c r="D845" i="30"/>
  <c r="D844" i="30"/>
  <c r="D843" i="30"/>
  <c r="E841" i="30"/>
  <c r="D841" i="30"/>
  <c r="C841" i="30"/>
  <c r="B841" i="30"/>
  <c r="A841" i="30"/>
  <c r="E840" i="30"/>
  <c r="D840" i="30"/>
  <c r="C840" i="30"/>
  <c r="B840" i="30"/>
  <c r="A840" i="30"/>
  <c r="E839" i="30"/>
  <c r="D839" i="30"/>
  <c r="C839" i="30"/>
  <c r="B839" i="30"/>
  <c r="A839" i="30"/>
  <c r="E838" i="30"/>
  <c r="D838" i="30"/>
  <c r="C838" i="30"/>
  <c r="B838" i="30"/>
  <c r="A838" i="30"/>
  <c r="E837" i="30"/>
  <c r="D837" i="30"/>
  <c r="C837" i="30"/>
  <c r="B837" i="30"/>
  <c r="A837" i="30"/>
  <c r="E836" i="30"/>
  <c r="D836" i="30"/>
  <c r="C836" i="30"/>
  <c r="B836" i="30"/>
  <c r="A836" i="30"/>
  <c r="E835" i="30"/>
  <c r="D835" i="30"/>
  <c r="C835" i="30"/>
  <c r="B835" i="30"/>
  <c r="A835" i="30"/>
  <c r="E834" i="30"/>
  <c r="D834" i="30"/>
  <c r="C834" i="30"/>
  <c r="B834" i="30"/>
  <c r="A834" i="30"/>
  <c r="E833" i="30"/>
  <c r="D833" i="30"/>
  <c r="C833" i="30"/>
  <c r="B833" i="30"/>
  <c r="A833" i="30"/>
  <c r="D809" i="30"/>
  <c r="A808" i="30"/>
  <c r="D806" i="30"/>
  <c r="A805" i="30"/>
  <c r="D803" i="30"/>
  <c r="A802" i="30"/>
  <c r="D800" i="30"/>
  <c r="D798" i="30"/>
  <c r="D796" i="30"/>
  <c r="D794" i="30"/>
  <c r="E792" i="30"/>
  <c r="D792" i="30"/>
  <c r="E791" i="30"/>
  <c r="D791" i="30"/>
  <c r="E790" i="30"/>
  <c r="D790" i="30"/>
  <c r="D789" i="30"/>
  <c r="D788" i="30"/>
  <c r="D787" i="30"/>
  <c r="D786" i="30"/>
  <c r="D784" i="30"/>
  <c r="D780" i="30"/>
  <c r="D778" i="30"/>
  <c r="F776" i="30"/>
  <c r="D776" i="30"/>
  <c r="A776" i="30"/>
  <c r="A775" i="30"/>
  <c r="F773" i="30"/>
  <c r="D773" i="30"/>
  <c r="A773" i="30"/>
  <c r="A772" i="30"/>
  <c r="F770" i="30"/>
  <c r="D770" i="30"/>
  <c r="A770" i="30"/>
  <c r="A769" i="30"/>
  <c r="D767" i="30"/>
  <c r="D766" i="30"/>
  <c r="F765" i="30"/>
  <c r="D765" i="30"/>
  <c r="C761" i="30"/>
  <c r="G759" i="30"/>
  <c r="F759" i="30"/>
  <c r="E759" i="30"/>
  <c r="D759" i="30"/>
  <c r="C759" i="30"/>
  <c r="A759" i="30"/>
  <c r="H758" i="30"/>
  <c r="G758" i="30"/>
  <c r="F758" i="30"/>
  <c r="E758" i="30"/>
  <c r="D758" i="30"/>
  <c r="C758" i="30"/>
  <c r="A758" i="30"/>
  <c r="H757" i="30"/>
  <c r="G757" i="30"/>
  <c r="F757" i="30"/>
  <c r="E757" i="30"/>
  <c r="D757" i="30"/>
  <c r="C757" i="30"/>
  <c r="A757" i="30"/>
  <c r="A754" i="30"/>
  <c r="J752" i="30"/>
  <c r="I752" i="30"/>
  <c r="H752" i="30"/>
  <c r="G752" i="30"/>
  <c r="F752" i="30"/>
  <c r="E752" i="30"/>
  <c r="M751" i="30"/>
  <c r="L751" i="30"/>
  <c r="K751" i="30"/>
  <c r="J751" i="30"/>
  <c r="I751" i="30"/>
  <c r="H751" i="30"/>
  <c r="G751" i="30"/>
  <c r="F751" i="30"/>
  <c r="E751" i="30"/>
  <c r="D751" i="30"/>
  <c r="C751" i="30"/>
  <c r="B751" i="30"/>
  <c r="M750" i="30"/>
  <c r="L750" i="30"/>
  <c r="K750" i="30"/>
  <c r="J750" i="30"/>
  <c r="I750" i="30"/>
  <c r="H750" i="30"/>
  <c r="G750" i="30"/>
  <c r="F750" i="30"/>
  <c r="E750" i="30"/>
  <c r="D750" i="30"/>
  <c r="C750" i="30"/>
  <c r="B750" i="30"/>
  <c r="M749" i="30"/>
  <c r="L749" i="30"/>
  <c r="K749" i="30"/>
  <c r="J749" i="30"/>
  <c r="I749" i="30"/>
  <c r="H749" i="30"/>
  <c r="G749" i="30"/>
  <c r="F749" i="30"/>
  <c r="E749" i="30"/>
  <c r="D749" i="30"/>
  <c r="C749" i="30"/>
  <c r="B749" i="30"/>
  <c r="A747" i="30"/>
  <c r="A745" i="30"/>
  <c r="C743" i="30"/>
  <c r="G741" i="30"/>
  <c r="F741" i="30"/>
  <c r="E741" i="30"/>
  <c r="D741" i="30"/>
  <c r="C741" i="30"/>
  <c r="A741" i="30"/>
  <c r="H740" i="30"/>
  <c r="G740" i="30"/>
  <c r="F740" i="30"/>
  <c r="E740" i="30"/>
  <c r="D740" i="30"/>
  <c r="C740" i="30"/>
  <c r="A740" i="30"/>
  <c r="H739" i="30"/>
  <c r="G739" i="30"/>
  <c r="F739" i="30"/>
  <c r="E739" i="30"/>
  <c r="D739" i="30"/>
  <c r="C739" i="30"/>
  <c r="A739" i="30"/>
  <c r="A736" i="30"/>
  <c r="J734" i="30"/>
  <c r="I734" i="30"/>
  <c r="H734" i="30"/>
  <c r="G734" i="30"/>
  <c r="F734" i="30"/>
  <c r="E734" i="30"/>
  <c r="M733" i="30"/>
  <c r="L733" i="30"/>
  <c r="K733" i="30"/>
  <c r="J733" i="30"/>
  <c r="I733" i="30"/>
  <c r="H733" i="30"/>
  <c r="G733" i="30"/>
  <c r="F733" i="30"/>
  <c r="E733" i="30"/>
  <c r="D733" i="30"/>
  <c r="C733" i="30"/>
  <c r="B733" i="30"/>
  <c r="M732" i="30"/>
  <c r="L732" i="30"/>
  <c r="K732" i="30"/>
  <c r="J732" i="30"/>
  <c r="I732" i="30"/>
  <c r="H732" i="30"/>
  <c r="G732" i="30"/>
  <c r="F732" i="30"/>
  <c r="E732" i="30"/>
  <c r="D732" i="30"/>
  <c r="C732" i="30"/>
  <c r="B732" i="30"/>
  <c r="M731" i="30"/>
  <c r="L731" i="30"/>
  <c r="K731" i="30"/>
  <c r="J731" i="30"/>
  <c r="I731" i="30"/>
  <c r="H731" i="30"/>
  <c r="G731" i="30"/>
  <c r="F731" i="30"/>
  <c r="E731" i="30"/>
  <c r="D731" i="30"/>
  <c r="C731" i="30"/>
  <c r="B731" i="30"/>
  <c r="A729" i="30"/>
  <c r="A727" i="30"/>
  <c r="C725" i="30"/>
  <c r="G723" i="30"/>
  <c r="F723" i="30"/>
  <c r="E723" i="30"/>
  <c r="D723" i="30"/>
  <c r="C723" i="30"/>
  <c r="A723" i="30"/>
  <c r="H722" i="30"/>
  <c r="G722" i="30"/>
  <c r="F722" i="30"/>
  <c r="E722" i="30"/>
  <c r="D722" i="30"/>
  <c r="C722" i="30"/>
  <c r="A722" i="30"/>
  <c r="H721" i="30"/>
  <c r="G721" i="30"/>
  <c r="F721" i="30"/>
  <c r="E721" i="30"/>
  <c r="D721" i="30"/>
  <c r="C721" i="30"/>
  <c r="A721" i="30"/>
  <c r="A718" i="30"/>
  <c r="J716" i="30"/>
  <c r="I716" i="30"/>
  <c r="H716" i="30"/>
  <c r="G716" i="30"/>
  <c r="F716" i="30"/>
  <c r="E716" i="30"/>
  <c r="M715" i="30"/>
  <c r="L715" i="30"/>
  <c r="K715" i="30"/>
  <c r="J715" i="30"/>
  <c r="I715" i="30"/>
  <c r="H715" i="30"/>
  <c r="G715" i="30"/>
  <c r="F715" i="30"/>
  <c r="E715" i="30"/>
  <c r="D715" i="30"/>
  <c r="C715" i="30"/>
  <c r="B715" i="30"/>
  <c r="M714" i="30"/>
  <c r="L714" i="30"/>
  <c r="K714" i="30"/>
  <c r="J714" i="30"/>
  <c r="I714" i="30"/>
  <c r="H714" i="30"/>
  <c r="G714" i="30"/>
  <c r="F714" i="30"/>
  <c r="E714" i="30"/>
  <c r="D714" i="30"/>
  <c r="C714" i="30"/>
  <c r="B714" i="30"/>
  <c r="M713" i="30"/>
  <c r="L713" i="30"/>
  <c r="K713" i="30"/>
  <c r="J713" i="30"/>
  <c r="I713" i="30"/>
  <c r="H713" i="30"/>
  <c r="G713" i="30"/>
  <c r="F713" i="30"/>
  <c r="E713" i="30"/>
  <c r="D713" i="30"/>
  <c r="C713" i="30"/>
  <c r="B713" i="30"/>
  <c r="A711" i="30"/>
  <c r="A709" i="30"/>
  <c r="D707" i="30"/>
  <c r="F706" i="30"/>
  <c r="D706" i="30"/>
  <c r="D705" i="30"/>
  <c r="D703" i="30"/>
  <c r="D702" i="30"/>
  <c r="D701" i="30"/>
  <c r="D699" i="30"/>
  <c r="D698" i="30"/>
  <c r="A698" i="30"/>
  <c r="D697" i="30"/>
  <c r="A697" i="30"/>
  <c r="D695" i="30"/>
  <c r="D694" i="30"/>
  <c r="A694" i="30"/>
  <c r="D693" i="30"/>
  <c r="A693" i="30"/>
  <c r="D691" i="30"/>
  <c r="D690" i="30"/>
  <c r="D689" i="30"/>
  <c r="D688" i="30"/>
  <c r="D687" i="30"/>
  <c r="D686" i="30"/>
  <c r="D685" i="30"/>
  <c r="D682" i="30"/>
  <c r="D681" i="30"/>
  <c r="D680" i="30"/>
  <c r="D679" i="30"/>
  <c r="D678" i="30"/>
  <c r="D676" i="30"/>
  <c r="D675" i="30"/>
  <c r="A675" i="30"/>
  <c r="D674" i="30"/>
  <c r="A674" i="30"/>
  <c r="D672" i="30"/>
  <c r="G671" i="30"/>
  <c r="F671" i="30"/>
  <c r="D671" i="30"/>
  <c r="A671" i="30"/>
  <c r="F670" i="30"/>
  <c r="D670" i="30"/>
  <c r="A670" i="30"/>
  <c r="D668" i="30"/>
  <c r="D667" i="30"/>
  <c r="D666" i="30"/>
  <c r="C662" i="30"/>
  <c r="D661" i="30"/>
  <c r="C661" i="30"/>
  <c r="D660" i="30"/>
  <c r="C660" i="30"/>
  <c r="D659" i="30"/>
  <c r="C659" i="30"/>
  <c r="H657" i="30"/>
  <c r="G657" i="30"/>
  <c r="F657" i="30"/>
  <c r="E657" i="30"/>
  <c r="D657" i="30"/>
  <c r="C657" i="30"/>
  <c r="A657" i="30"/>
  <c r="H656" i="30"/>
  <c r="G656" i="30"/>
  <c r="F656" i="30"/>
  <c r="E656" i="30"/>
  <c r="D656" i="30"/>
  <c r="C656" i="30"/>
  <c r="A656" i="30"/>
  <c r="H655" i="30"/>
  <c r="G655" i="30"/>
  <c r="F655" i="30"/>
  <c r="E655" i="30"/>
  <c r="D655" i="30"/>
  <c r="C655" i="30"/>
  <c r="A655" i="30"/>
  <c r="K648" i="30"/>
  <c r="H648" i="30"/>
  <c r="G648" i="30"/>
  <c r="F648" i="30"/>
  <c r="E648" i="30"/>
  <c r="K647" i="30"/>
  <c r="H647" i="30"/>
  <c r="G647" i="30"/>
  <c r="F647" i="30"/>
  <c r="E647" i="30"/>
  <c r="D647" i="30"/>
  <c r="C647" i="30"/>
  <c r="B647" i="30"/>
  <c r="K646" i="30"/>
  <c r="H646" i="30"/>
  <c r="G646" i="30"/>
  <c r="F646" i="30"/>
  <c r="E646" i="30"/>
  <c r="D646" i="30"/>
  <c r="C646" i="30"/>
  <c r="B646" i="30"/>
  <c r="D641" i="30"/>
  <c r="E639" i="30"/>
  <c r="E638" i="30"/>
  <c r="D638" i="30"/>
  <c r="E637" i="30"/>
  <c r="D637" i="30"/>
  <c r="E636" i="30"/>
  <c r="D636" i="30"/>
  <c r="E635" i="30"/>
  <c r="D635" i="30"/>
  <c r="E634" i="30"/>
  <c r="D634" i="30"/>
  <c r="D631" i="30"/>
  <c r="J629" i="30"/>
  <c r="I629" i="30"/>
  <c r="H629" i="30"/>
  <c r="G629" i="30"/>
  <c r="F629" i="30"/>
  <c r="E629" i="30"/>
  <c r="M628" i="30"/>
  <c r="L628" i="30"/>
  <c r="K628" i="30"/>
  <c r="J628" i="30"/>
  <c r="I628" i="30"/>
  <c r="H628" i="30"/>
  <c r="G628" i="30"/>
  <c r="F628" i="30"/>
  <c r="E628" i="30"/>
  <c r="D628" i="30"/>
  <c r="C628" i="30"/>
  <c r="B628" i="30"/>
  <c r="M627" i="30"/>
  <c r="L627" i="30"/>
  <c r="K627" i="30"/>
  <c r="J627" i="30"/>
  <c r="I627" i="30"/>
  <c r="H627" i="30"/>
  <c r="G627" i="30"/>
  <c r="F627" i="30"/>
  <c r="E627" i="30"/>
  <c r="D627" i="30"/>
  <c r="C627" i="30"/>
  <c r="B627" i="30"/>
  <c r="M626" i="30"/>
  <c r="L626" i="30"/>
  <c r="K626" i="30"/>
  <c r="J626" i="30"/>
  <c r="I626" i="30"/>
  <c r="H626" i="30"/>
  <c r="G626" i="30"/>
  <c r="F626" i="30"/>
  <c r="E626" i="30"/>
  <c r="D626" i="30"/>
  <c r="C626" i="30"/>
  <c r="B626" i="30"/>
  <c r="D621" i="30"/>
  <c r="D620" i="30"/>
  <c r="D619" i="30"/>
  <c r="D618" i="30"/>
  <c r="D617" i="30"/>
  <c r="D616" i="30"/>
  <c r="D615" i="30"/>
  <c r="E613" i="30"/>
  <c r="D613" i="30"/>
  <c r="C613" i="30"/>
  <c r="B613" i="30"/>
  <c r="A613" i="30"/>
  <c r="E612" i="30"/>
  <c r="D612" i="30"/>
  <c r="C612" i="30"/>
  <c r="B612" i="30"/>
  <c r="A612" i="30"/>
  <c r="E611" i="30"/>
  <c r="D611" i="30"/>
  <c r="C611" i="30"/>
  <c r="B611" i="30"/>
  <c r="A611" i="30"/>
  <c r="E610" i="30"/>
  <c r="D610" i="30"/>
  <c r="C610" i="30"/>
  <c r="B610" i="30"/>
  <c r="A610" i="30"/>
  <c r="E609" i="30"/>
  <c r="D609" i="30"/>
  <c r="C609" i="30"/>
  <c r="B609" i="30"/>
  <c r="A609" i="30"/>
  <c r="E608" i="30"/>
  <c r="D608" i="30"/>
  <c r="C608" i="30"/>
  <c r="B608" i="30"/>
  <c r="A608" i="30"/>
  <c r="E607" i="30"/>
  <c r="D607" i="30"/>
  <c r="C607" i="30"/>
  <c r="B607" i="30"/>
  <c r="A607" i="30"/>
  <c r="E606" i="30"/>
  <c r="D606" i="30"/>
  <c r="C606" i="30"/>
  <c r="B606" i="30"/>
  <c r="A606" i="30"/>
  <c r="E605" i="30"/>
  <c r="D605" i="30"/>
  <c r="C605" i="30"/>
  <c r="B605" i="30"/>
  <c r="A605" i="30"/>
  <c r="D598" i="30"/>
  <c r="D596" i="30"/>
  <c r="D594" i="30"/>
  <c r="D592" i="30"/>
  <c r="E590" i="30"/>
  <c r="D590" i="30"/>
  <c r="E589" i="30"/>
  <c r="D589" i="30"/>
  <c r="E588" i="30"/>
  <c r="D588" i="30"/>
  <c r="D587" i="30"/>
  <c r="D586" i="30"/>
  <c r="D585" i="30"/>
  <c r="D584" i="30"/>
  <c r="D582" i="30"/>
  <c r="D578" i="30"/>
  <c r="F577" i="30"/>
  <c r="D577" i="30"/>
  <c r="D576" i="30"/>
  <c r="D574" i="30"/>
  <c r="D573" i="30"/>
  <c r="D572" i="30"/>
  <c r="D570" i="30"/>
  <c r="D569" i="30"/>
  <c r="A569" i="30"/>
  <c r="D568" i="30"/>
  <c r="A568" i="30"/>
  <c r="D566" i="30"/>
  <c r="D565" i="30"/>
  <c r="A565" i="30"/>
  <c r="D564" i="30"/>
  <c r="A564" i="30"/>
  <c r="D562" i="30"/>
  <c r="D561" i="30"/>
  <c r="D560" i="30"/>
  <c r="D559" i="30"/>
  <c r="D558" i="30"/>
  <c r="D557" i="30"/>
  <c r="D556" i="30"/>
  <c r="D553" i="30"/>
  <c r="D552" i="30"/>
  <c r="D551" i="30"/>
  <c r="D550" i="30"/>
  <c r="D549" i="30"/>
  <c r="D547" i="30"/>
  <c r="D546" i="30"/>
  <c r="A546" i="30"/>
  <c r="D545" i="30"/>
  <c r="A545" i="30"/>
  <c r="D543" i="30"/>
  <c r="G542" i="30"/>
  <c r="F542" i="30"/>
  <c r="D542" i="30"/>
  <c r="A542" i="30"/>
  <c r="F541" i="30"/>
  <c r="D541" i="30"/>
  <c r="A541" i="30"/>
  <c r="D539" i="30"/>
  <c r="D538" i="30"/>
  <c r="D537" i="30"/>
  <c r="C533" i="30"/>
  <c r="D532" i="30"/>
  <c r="C532" i="30"/>
  <c r="D531" i="30"/>
  <c r="C531" i="30"/>
  <c r="D530" i="30"/>
  <c r="C530" i="30"/>
  <c r="H528" i="30"/>
  <c r="G528" i="30"/>
  <c r="F528" i="30"/>
  <c r="E528" i="30"/>
  <c r="D528" i="30"/>
  <c r="C528" i="30"/>
  <c r="A528" i="30"/>
  <c r="H527" i="30"/>
  <c r="G527" i="30"/>
  <c r="F527" i="30"/>
  <c r="E527" i="30"/>
  <c r="D527" i="30"/>
  <c r="C527" i="30"/>
  <c r="A527" i="30"/>
  <c r="H526" i="30"/>
  <c r="G526" i="30"/>
  <c r="F526" i="30"/>
  <c r="E526" i="30"/>
  <c r="D526" i="30"/>
  <c r="C526" i="30"/>
  <c r="A526" i="30"/>
  <c r="D521" i="30"/>
  <c r="D520" i="30"/>
  <c r="D519" i="30"/>
  <c r="F518" i="30"/>
  <c r="D518" i="30"/>
  <c r="K512" i="30"/>
  <c r="H512" i="30"/>
  <c r="G512" i="30"/>
  <c r="F512" i="30"/>
  <c r="E512" i="30"/>
  <c r="K511" i="30"/>
  <c r="H511" i="30"/>
  <c r="G511" i="30"/>
  <c r="F511" i="30"/>
  <c r="E511" i="30"/>
  <c r="D511" i="30"/>
  <c r="C511" i="30"/>
  <c r="B511" i="30"/>
  <c r="K510" i="30"/>
  <c r="H510" i="30"/>
  <c r="G510" i="30"/>
  <c r="F510" i="30"/>
  <c r="E510" i="30"/>
  <c r="D510" i="30"/>
  <c r="C510" i="30"/>
  <c r="B510" i="30"/>
  <c r="D505" i="30"/>
  <c r="E503" i="30"/>
  <c r="E502" i="30"/>
  <c r="D502" i="30"/>
  <c r="E501" i="30"/>
  <c r="D501" i="30"/>
  <c r="E500" i="30"/>
  <c r="D500" i="30"/>
  <c r="E499" i="30"/>
  <c r="D499" i="30"/>
  <c r="E498" i="30"/>
  <c r="D498" i="30"/>
  <c r="D495" i="30"/>
  <c r="J493" i="30"/>
  <c r="I493" i="30"/>
  <c r="H493" i="30"/>
  <c r="G493" i="30"/>
  <c r="F493" i="30"/>
  <c r="E493" i="30"/>
  <c r="M492" i="30"/>
  <c r="L492" i="30"/>
  <c r="K492" i="30"/>
  <c r="J492" i="30"/>
  <c r="I492" i="30"/>
  <c r="H492" i="30"/>
  <c r="G492" i="30"/>
  <c r="F492" i="30"/>
  <c r="E492" i="30"/>
  <c r="D492" i="30"/>
  <c r="C492" i="30"/>
  <c r="B492" i="30"/>
  <c r="M491" i="30"/>
  <c r="L491" i="30"/>
  <c r="K491" i="30"/>
  <c r="J491" i="30"/>
  <c r="I491" i="30"/>
  <c r="H491" i="30"/>
  <c r="G491" i="30"/>
  <c r="F491" i="30"/>
  <c r="E491" i="30"/>
  <c r="D491" i="30"/>
  <c r="C491" i="30"/>
  <c r="B491" i="30"/>
  <c r="M490" i="30"/>
  <c r="L490" i="30"/>
  <c r="K490" i="30"/>
  <c r="J490" i="30"/>
  <c r="I490" i="30"/>
  <c r="H490" i="30"/>
  <c r="G490" i="30"/>
  <c r="F490" i="30"/>
  <c r="E490" i="30"/>
  <c r="D490" i="30"/>
  <c r="C490" i="30"/>
  <c r="B490" i="30"/>
  <c r="D485" i="30"/>
  <c r="D484" i="30"/>
  <c r="D483" i="30"/>
  <c r="D482" i="30"/>
  <c r="D481" i="30"/>
  <c r="D480" i="30"/>
  <c r="D479" i="30"/>
  <c r="E477" i="30"/>
  <c r="D477" i="30"/>
  <c r="C477" i="30"/>
  <c r="B477" i="30"/>
  <c r="A477" i="30"/>
  <c r="E476" i="30"/>
  <c r="D476" i="30"/>
  <c r="C476" i="30"/>
  <c r="B476" i="30"/>
  <c r="A476" i="30"/>
  <c r="E475" i="30"/>
  <c r="D475" i="30"/>
  <c r="C475" i="30"/>
  <c r="B475" i="30"/>
  <c r="A475" i="30"/>
  <c r="E474" i="30"/>
  <c r="D474" i="30"/>
  <c r="C474" i="30"/>
  <c r="B474" i="30"/>
  <c r="A474" i="30"/>
  <c r="E473" i="30"/>
  <c r="D473" i="30"/>
  <c r="C473" i="30"/>
  <c r="B473" i="30"/>
  <c r="A473" i="30"/>
  <c r="E472" i="30"/>
  <c r="D472" i="30"/>
  <c r="C472" i="30"/>
  <c r="B472" i="30"/>
  <c r="A472" i="30"/>
  <c r="E471" i="30"/>
  <c r="D471" i="30"/>
  <c r="C471" i="30"/>
  <c r="B471" i="30"/>
  <c r="A471" i="30"/>
  <c r="E470" i="30"/>
  <c r="D470" i="30"/>
  <c r="C470" i="30"/>
  <c r="B470" i="30"/>
  <c r="A470" i="30"/>
  <c r="E469" i="30"/>
  <c r="D469" i="30"/>
  <c r="C469" i="30"/>
  <c r="B469" i="30"/>
  <c r="A469" i="30"/>
  <c r="D462" i="30"/>
  <c r="A461" i="30"/>
  <c r="D459" i="30"/>
  <c r="A458" i="30"/>
  <c r="D456" i="30"/>
  <c r="A455" i="30"/>
  <c r="D453" i="30"/>
  <c r="D451" i="30"/>
  <c r="D449" i="30"/>
  <c r="D447" i="30"/>
  <c r="E445" i="30"/>
  <c r="D445" i="30"/>
  <c r="E444" i="30"/>
  <c r="D444" i="30"/>
  <c r="E443" i="30"/>
  <c r="D443" i="30"/>
  <c r="D442" i="30"/>
  <c r="D441" i="30"/>
  <c r="D440" i="30"/>
  <c r="D439" i="30"/>
  <c r="D437" i="30"/>
  <c r="D433" i="30"/>
  <c r="D431" i="30"/>
  <c r="F429" i="30"/>
  <c r="D429" i="30"/>
  <c r="A429" i="30"/>
  <c r="A428" i="30"/>
  <c r="F426" i="30"/>
  <c r="D426" i="30"/>
  <c r="A426" i="30"/>
  <c r="A425" i="30"/>
  <c r="F423" i="30"/>
  <c r="D423" i="30"/>
  <c r="A423" i="30"/>
  <c r="A422" i="30"/>
  <c r="D420" i="30"/>
  <c r="D419" i="30"/>
  <c r="F418" i="30"/>
  <c r="D418" i="30"/>
  <c r="C414" i="30"/>
  <c r="G412" i="30"/>
  <c r="F412" i="30"/>
  <c r="E412" i="30"/>
  <c r="D412" i="30"/>
  <c r="C412" i="30"/>
  <c r="A412" i="30"/>
  <c r="H411" i="30"/>
  <c r="G411" i="30"/>
  <c r="F411" i="30"/>
  <c r="E411" i="30"/>
  <c r="D411" i="30"/>
  <c r="C411" i="30"/>
  <c r="A411" i="30"/>
  <c r="H410" i="30"/>
  <c r="G410" i="30"/>
  <c r="F410" i="30"/>
  <c r="E410" i="30"/>
  <c r="D410" i="30"/>
  <c r="C410" i="30"/>
  <c r="A410" i="30"/>
  <c r="A407" i="30"/>
  <c r="J405" i="30"/>
  <c r="I405" i="30"/>
  <c r="H405" i="30"/>
  <c r="G405" i="30"/>
  <c r="F405" i="30"/>
  <c r="E405" i="30"/>
  <c r="M404" i="30"/>
  <c r="L404" i="30"/>
  <c r="K404" i="30"/>
  <c r="J404" i="30"/>
  <c r="I404" i="30"/>
  <c r="H404" i="30"/>
  <c r="G404" i="30"/>
  <c r="F404" i="30"/>
  <c r="E404" i="30"/>
  <c r="D404" i="30"/>
  <c r="C404" i="30"/>
  <c r="B404" i="30"/>
  <c r="M403" i="30"/>
  <c r="L403" i="30"/>
  <c r="K403" i="30"/>
  <c r="J403" i="30"/>
  <c r="I403" i="30"/>
  <c r="H403" i="30"/>
  <c r="G403" i="30"/>
  <c r="F403" i="30"/>
  <c r="E403" i="30"/>
  <c r="D403" i="30"/>
  <c r="C403" i="30"/>
  <c r="B403" i="30"/>
  <c r="M402" i="30"/>
  <c r="L402" i="30"/>
  <c r="K402" i="30"/>
  <c r="J402" i="30"/>
  <c r="I402" i="30"/>
  <c r="H402" i="30"/>
  <c r="G402" i="30"/>
  <c r="F402" i="30"/>
  <c r="E402" i="30"/>
  <c r="D402" i="30"/>
  <c r="C402" i="30"/>
  <c r="B402" i="30"/>
  <c r="A400" i="30"/>
  <c r="A398" i="30"/>
  <c r="C396" i="30"/>
  <c r="G394" i="30"/>
  <c r="F394" i="30"/>
  <c r="E394" i="30"/>
  <c r="D394" i="30"/>
  <c r="C394" i="30"/>
  <c r="A394" i="30"/>
  <c r="H393" i="30"/>
  <c r="G393" i="30"/>
  <c r="F393" i="30"/>
  <c r="E393" i="30"/>
  <c r="D393" i="30"/>
  <c r="C393" i="30"/>
  <c r="A393" i="30"/>
  <c r="H392" i="30"/>
  <c r="G392" i="30"/>
  <c r="F392" i="30"/>
  <c r="E392" i="30"/>
  <c r="D392" i="30"/>
  <c r="C392" i="30"/>
  <c r="A392" i="30"/>
  <c r="A389" i="30"/>
  <c r="J387" i="30"/>
  <c r="I387" i="30"/>
  <c r="H387" i="30"/>
  <c r="G387" i="30"/>
  <c r="F387" i="30"/>
  <c r="E387" i="30"/>
  <c r="M386" i="30"/>
  <c r="L386" i="30"/>
  <c r="K386" i="30"/>
  <c r="J386" i="30"/>
  <c r="I386" i="30"/>
  <c r="H386" i="30"/>
  <c r="G386" i="30"/>
  <c r="F386" i="30"/>
  <c r="E386" i="30"/>
  <c r="D386" i="30"/>
  <c r="C386" i="30"/>
  <c r="B386" i="30"/>
  <c r="M385" i="30"/>
  <c r="L385" i="30"/>
  <c r="K385" i="30"/>
  <c r="J385" i="30"/>
  <c r="I385" i="30"/>
  <c r="H385" i="30"/>
  <c r="G385" i="30"/>
  <c r="F385" i="30"/>
  <c r="E385" i="30"/>
  <c r="D385" i="30"/>
  <c r="C385" i="30"/>
  <c r="B385" i="30"/>
  <c r="M384" i="30"/>
  <c r="L384" i="30"/>
  <c r="K384" i="30"/>
  <c r="J384" i="30"/>
  <c r="I384" i="30"/>
  <c r="H384" i="30"/>
  <c r="G384" i="30"/>
  <c r="F384" i="30"/>
  <c r="E384" i="30"/>
  <c r="D384" i="30"/>
  <c r="C384" i="30"/>
  <c r="B384" i="30"/>
  <c r="A382" i="30"/>
  <c r="A380" i="30"/>
  <c r="C378" i="30"/>
  <c r="G376" i="30"/>
  <c r="F376" i="30"/>
  <c r="E376" i="30"/>
  <c r="D376" i="30"/>
  <c r="C376" i="30"/>
  <c r="A376" i="30"/>
  <c r="H375" i="30"/>
  <c r="G375" i="30"/>
  <c r="F375" i="30"/>
  <c r="E375" i="30"/>
  <c r="D375" i="30"/>
  <c r="C375" i="30"/>
  <c r="A375" i="30"/>
  <c r="H374" i="30"/>
  <c r="G374" i="30"/>
  <c r="F374" i="30"/>
  <c r="E374" i="30"/>
  <c r="D374" i="30"/>
  <c r="C374" i="30"/>
  <c r="A374" i="30"/>
  <c r="A371" i="30"/>
  <c r="J369" i="30"/>
  <c r="I369" i="30"/>
  <c r="H369" i="30"/>
  <c r="G369" i="30"/>
  <c r="F369" i="30"/>
  <c r="E369" i="30"/>
  <c r="M368" i="30"/>
  <c r="L368" i="30"/>
  <c r="K368" i="30"/>
  <c r="J368" i="30"/>
  <c r="I368" i="30"/>
  <c r="H368" i="30"/>
  <c r="G368" i="30"/>
  <c r="F368" i="30"/>
  <c r="E368" i="30"/>
  <c r="D368" i="30"/>
  <c r="C368" i="30"/>
  <c r="B368" i="30"/>
  <c r="M367" i="30"/>
  <c r="L367" i="30"/>
  <c r="K367" i="30"/>
  <c r="J367" i="30"/>
  <c r="I367" i="30"/>
  <c r="H367" i="30"/>
  <c r="G367" i="30"/>
  <c r="F367" i="30"/>
  <c r="E367" i="30"/>
  <c r="D367" i="30"/>
  <c r="C367" i="30"/>
  <c r="B367" i="30"/>
  <c r="M366" i="30"/>
  <c r="L366" i="30"/>
  <c r="K366" i="30"/>
  <c r="J366" i="30"/>
  <c r="I366" i="30"/>
  <c r="H366" i="30"/>
  <c r="G366" i="30"/>
  <c r="F366" i="30"/>
  <c r="E366" i="30"/>
  <c r="D366" i="30"/>
  <c r="C366" i="30"/>
  <c r="B366" i="30"/>
  <c r="A364" i="30"/>
  <c r="A362" i="30"/>
  <c r="D360" i="30"/>
  <c r="F359" i="30"/>
  <c r="D359" i="30"/>
  <c r="D358" i="30"/>
  <c r="D356" i="30"/>
  <c r="D355" i="30"/>
  <c r="D354" i="30"/>
  <c r="D352" i="30"/>
  <c r="D351" i="30"/>
  <c r="A351" i="30"/>
  <c r="D350" i="30"/>
  <c r="A350" i="30"/>
  <c r="D348" i="30"/>
  <c r="D347" i="30"/>
  <c r="A347" i="30"/>
  <c r="D346" i="30"/>
  <c r="A346" i="30"/>
  <c r="D344" i="30"/>
  <c r="D343" i="30"/>
  <c r="D342" i="30"/>
  <c r="D341" i="30"/>
  <c r="D340" i="30"/>
  <c r="D339" i="30"/>
  <c r="D338" i="30"/>
  <c r="D335" i="30"/>
  <c r="D334" i="30"/>
  <c r="D333" i="30"/>
  <c r="D332" i="30"/>
  <c r="D331" i="30"/>
  <c r="D329" i="30"/>
  <c r="D328" i="30"/>
  <c r="A328" i="30"/>
  <c r="D327" i="30"/>
  <c r="A327" i="30"/>
  <c r="D325" i="30"/>
  <c r="G324" i="30"/>
  <c r="F324" i="30"/>
  <c r="D324" i="30"/>
  <c r="A324" i="30"/>
  <c r="F323" i="30"/>
  <c r="D323" i="30"/>
  <c r="A323" i="30"/>
  <c r="D321" i="30"/>
  <c r="D320" i="30"/>
  <c r="D319" i="30"/>
  <c r="C315" i="30"/>
  <c r="D314" i="30"/>
  <c r="C314" i="30"/>
  <c r="D313" i="30"/>
  <c r="C313" i="30"/>
  <c r="D312" i="30"/>
  <c r="C312" i="30"/>
  <c r="H310" i="30"/>
  <c r="G310" i="30"/>
  <c r="F310" i="30"/>
  <c r="E310" i="30"/>
  <c r="D310" i="30"/>
  <c r="C310" i="30"/>
  <c r="A310" i="30"/>
  <c r="H309" i="30"/>
  <c r="G309" i="30"/>
  <c r="F309" i="30"/>
  <c r="E309" i="30"/>
  <c r="D309" i="30"/>
  <c r="C309" i="30"/>
  <c r="A309" i="30"/>
  <c r="H308" i="30"/>
  <c r="G308" i="30"/>
  <c r="F308" i="30"/>
  <c r="E308" i="30"/>
  <c r="D308" i="30"/>
  <c r="C308" i="30"/>
  <c r="A308" i="30"/>
  <c r="K301" i="30"/>
  <c r="H301" i="30"/>
  <c r="G301" i="30"/>
  <c r="F301" i="30"/>
  <c r="E301" i="30"/>
  <c r="K300" i="30"/>
  <c r="H300" i="30"/>
  <c r="G300" i="30"/>
  <c r="F300" i="30"/>
  <c r="E300" i="30"/>
  <c r="D300" i="30"/>
  <c r="C300" i="30"/>
  <c r="B300" i="30"/>
  <c r="K299" i="30"/>
  <c r="H299" i="30"/>
  <c r="G299" i="30"/>
  <c r="F299" i="30"/>
  <c r="E299" i="30"/>
  <c r="D299" i="30"/>
  <c r="C299" i="30"/>
  <c r="B299" i="30"/>
  <c r="D294" i="30"/>
  <c r="E292" i="30"/>
  <c r="E291" i="30"/>
  <c r="D291" i="30"/>
  <c r="E290" i="30"/>
  <c r="D290" i="30"/>
  <c r="E289" i="30"/>
  <c r="D289" i="30"/>
  <c r="E288" i="30"/>
  <c r="D288" i="30"/>
  <c r="E287" i="30"/>
  <c r="D287" i="30"/>
  <c r="D284" i="30"/>
  <c r="J282" i="30"/>
  <c r="I282" i="30"/>
  <c r="H282" i="30"/>
  <c r="G282" i="30"/>
  <c r="F282" i="30"/>
  <c r="E282" i="30"/>
  <c r="M281" i="30"/>
  <c r="L281" i="30"/>
  <c r="K281" i="30"/>
  <c r="J281" i="30"/>
  <c r="I281" i="30"/>
  <c r="H281" i="30"/>
  <c r="G281" i="30"/>
  <c r="F281" i="30"/>
  <c r="E281" i="30"/>
  <c r="D281" i="30"/>
  <c r="C281" i="30"/>
  <c r="B281" i="30"/>
  <c r="M280" i="30"/>
  <c r="L280" i="30"/>
  <c r="K280" i="30"/>
  <c r="J280" i="30"/>
  <c r="I280" i="30"/>
  <c r="H280" i="30"/>
  <c r="G280" i="30"/>
  <c r="F280" i="30"/>
  <c r="E280" i="30"/>
  <c r="D280" i="30"/>
  <c r="C280" i="30"/>
  <c r="B280" i="30"/>
  <c r="M279" i="30"/>
  <c r="L279" i="30"/>
  <c r="K279" i="30"/>
  <c r="J279" i="30"/>
  <c r="I279" i="30"/>
  <c r="H279" i="30"/>
  <c r="G279" i="30"/>
  <c r="F279" i="30"/>
  <c r="E279" i="30"/>
  <c r="D279" i="30"/>
  <c r="C279" i="30"/>
  <c r="B279" i="30"/>
  <c r="D274" i="30"/>
  <c r="D273" i="30"/>
  <c r="D272" i="30"/>
  <c r="D271" i="30"/>
  <c r="D270" i="30"/>
  <c r="D269" i="30"/>
  <c r="D268" i="30"/>
  <c r="E266" i="30"/>
  <c r="D266" i="30"/>
  <c r="C266" i="30"/>
  <c r="B266" i="30"/>
  <c r="A266" i="30"/>
  <c r="E265" i="30"/>
  <c r="D265" i="30"/>
  <c r="C265" i="30"/>
  <c r="B265" i="30"/>
  <c r="A265" i="30"/>
  <c r="E264" i="30"/>
  <c r="D264" i="30"/>
  <c r="C264" i="30"/>
  <c r="B264" i="30"/>
  <c r="A264" i="30"/>
  <c r="E263" i="30"/>
  <c r="D263" i="30"/>
  <c r="C263" i="30"/>
  <c r="B263" i="30"/>
  <c r="A263" i="30"/>
  <c r="E262" i="30"/>
  <c r="D262" i="30"/>
  <c r="C262" i="30"/>
  <c r="B262" i="30"/>
  <c r="A262" i="30"/>
  <c r="E261" i="30"/>
  <c r="D261" i="30"/>
  <c r="C261" i="30"/>
  <c r="B261" i="30"/>
  <c r="A261" i="30"/>
  <c r="E260" i="30"/>
  <c r="D260" i="30"/>
  <c r="C260" i="30"/>
  <c r="B260" i="30"/>
  <c r="A260" i="30"/>
  <c r="E259" i="30"/>
  <c r="D259" i="30"/>
  <c r="C259" i="30"/>
  <c r="B259" i="30"/>
  <c r="A259" i="30"/>
  <c r="E258" i="30"/>
  <c r="D258" i="30"/>
  <c r="C258" i="30"/>
  <c r="B258" i="30"/>
  <c r="A258" i="30"/>
  <c r="D251" i="30"/>
  <c r="D249" i="30"/>
  <c r="D247" i="30"/>
  <c r="D245" i="30"/>
  <c r="E243" i="30"/>
  <c r="D243" i="30"/>
  <c r="E242" i="30"/>
  <c r="D242" i="30"/>
  <c r="E241" i="30"/>
  <c r="D241" i="30"/>
  <c r="D240" i="30"/>
  <c r="D239" i="30"/>
  <c r="D238" i="30"/>
  <c r="D237" i="30"/>
  <c r="D235" i="30"/>
  <c r="D231" i="30"/>
  <c r="F230" i="30"/>
  <c r="D230" i="30"/>
  <c r="D229" i="30"/>
  <c r="D227" i="30"/>
  <c r="D226" i="30"/>
  <c r="D225" i="30"/>
  <c r="D223" i="30"/>
  <c r="D222" i="30"/>
  <c r="A222" i="30"/>
  <c r="D221" i="30"/>
  <c r="A221" i="30"/>
  <c r="D219" i="30"/>
  <c r="D218" i="30"/>
  <c r="A218" i="30"/>
  <c r="D217" i="30"/>
  <c r="A217" i="30"/>
  <c r="D215" i="30"/>
  <c r="D214" i="30"/>
  <c r="E213" i="30"/>
  <c r="D213" i="30"/>
  <c r="D212" i="30"/>
  <c r="D211" i="30"/>
  <c r="D210" i="30"/>
  <c r="D209" i="30"/>
  <c r="D206" i="30"/>
  <c r="D205" i="30"/>
  <c r="D204" i="30"/>
  <c r="D203" i="30"/>
  <c r="D202" i="30"/>
  <c r="D200" i="30"/>
  <c r="D199" i="30"/>
  <c r="A199" i="30"/>
  <c r="D198" i="30"/>
  <c r="A198" i="30"/>
  <c r="D196" i="30"/>
  <c r="G195" i="30"/>
  <c r="F195" i="30"/>
  <c r="D195" i="30"/>
  <c r="A195" i="30"/>
  <c r="F194" i="30"/>
  <c r="D194" i="30"/>
  <c r="A194" i="30"/>
  <c r="D192" i="30"/>
  <c r="D191" i="30"/>
  <c r="D190" i="30"/>
  <c r="C186" i="30"/>
  <c r="D185" i="30"/>
  <c r="C185" i="30"/>
  <c r="D184" i="30"/>
  <c r="C184" i="30"/>
  <c r="D183" i="30"/>
  <c r="C183" i="30"/>
  <c r="H181" i="30"/>
  <c r="G181" i="30"/>
  <c r="F181" i="30"/>
  <c r="E181" i="30"/>
  <c r="D181" i="30"/>
  <c r="C181" i="30"/>
  <c r="A181" i="30"/>
  <c r="H180" i="30"/>
  <c r="G180" i="30"/>
  <c r="F180" i="30"/>
  <c r="E180" i="30"/>
  <c r="D180" i="30"/>
  <c r="C180" i="30"/>
  <c r="A180" i="30"/>
  <c r="H179" i="30"/>
  <c r="G179" i="30"/>
  <c r="F179" i="30"/>
  <c r="E179" i="30"/>
  <c r="D179" i="30"/>
  <c r="C179" i="30"/>
  <c r="A179" i="30"/>
  <c r="D174" i="30"/>
  <c r="D173" i="30"/>
  <c r="D172" i="30"/>
  <c r="F171" i="30"/>
  <c r="D171" i="30"/>
  <c r="K165" i="30"/>
  <c r="H165" i="30"/>
  <c r="G165" i="30"/>
  <c r="F165" i="30"/>
  <c r="E165" i="30"/>
  <c r="K164" i="30"/>
  <c r="H164" i="30"/>
  <c r="G164" i="30"/>
  <c r="F164" i="30"/>
  <c r="E164" i="30"/>
  <c r="D164" i="30"/>
  <c r="C164" i="30"/>
  <c r="B164" i="30"/>
  <c r="K163" i="30"/>
  <c r="H163" i="30"/>
  <c r="G163" i="30"/>
  <c r="F163" i="30"/>
  <c r="E163" i="30"/>
  <c r="D163" i="30"/>
  <c r="C163" i="30"/>
  <c r="B163" i="30"/>
  <c r="D158" i="30"/>
  <c r="E156" i="30"/>
  <c r="E155" i="30"/>
  <c r="D155" i="30"/>
  <c r="E154" i="30"/>
  <c r="D154" i="30"/>
  <c r="E153" i="30"/>
  <c r="D153" i="30"/>
  <c r="E152" i="30"/>
  <c r="D152" i="30"/>
  <c r="E151" i="30"/>
  <c r="D151" i="30"/>
  <c r="D148" i="30"/>
  <c r="J146" i="30"/>
  <c r="I146" i="30"/>
  <c r="H146" i="30"/>
  <c r="G146" i="30"/>
  <c r="F146" i="30"/>
  <c r="E146" i="30"/>
  <c r="M145" i="30"/>
  <c r="L145" i="30"/>
  <c r="K145" i="30"/>
  <c r="J145" i="30"/>
  <c r="I145" i="30"/>
  <c r="H145" i="30"/>
  <c r="G145" i="30"/>
  <c r="F145" i="30"/>
  <c r="E145" i="30"/>
  <c r="D145" i="30"/>
  <c r="C145" i="30"/>
  <c r="B145" i="30"/>
  <c r="M144" i="30"/>
  <c r="L144" i="30"/>
  <c r="K144" i="30"/>
  <c r="J144" i="30"/>
  <c r="I144" i="30"/>
  <c r="H144" i="30"/>
  <c r="G144" i="30"/>
  <c r="F144" i="30"/>
  <c r="E144" i="30"/>
  <c r="D144" i="30"/>
  <c r="C144" i="30"/>
  <c r="B144" i="30"/>
  <c r="M143" i="30"/>
  <c r="L143" i="30"/>
  <c r="K143" i="30"/>
  <c r="J143" i="30"/>
  <c r="I143" i="30"/>
  <c r="H143" i="30"/>
  <c r="G143" i="30"/>
  <c r="F143" i="30"/>
  <c r="E143" i="30"/>
  <c r="D143" i="30"/>
  <c r="C143" i="30"/>
  <c r="B143" i="30"/>
  <c r="D138" i="30"/>
  <c r="D137" i="30"/>
  <c r="E136" i="30"/>
  <c r="D136" i="30"/>
  <c r="D135" i="30"/>
  <c r="D134" i="30"/>
  <c r="D133" i="30"/>
  <c r="D132" i="30"/>
  <c r="E130" i="30"/>
  <c r="D130" i="30"/>
  <c r="C130" i="30"/>
  <c r="B130" i="30"/>
  <c r="A130" i="30"/>
  <c r="E129" i="30"/>
  <c r="D129" i="30"/>
  <c r="C129" i="30"/>
  <c r="B129" i="30"/>
  <c r="A129" i="30"/>
  <c r="E128" i="30"/>
  <c r="D128" i="30"/>
  <c r="C128" i="30"/>
  <c r="B128" i="30"/>
  <c r="A128" i="30"/>
  <c r="E127" i="30"/>
  <c r="D127" i="30"/>
  <c r="C127" i="30"/>
  <c r="B127" i="30"/>
  <c r="A127" i="30"/>
  <c r="E126" i="30"/>
  <c r="D126" i="30"/>
  <c r="C126" i="30"/>
  <c r="B126" i="30"/>
  <c r="A126" i="30"/>
  <c r="E125" i="30"/>
  <c r="D125" i="30"/>
  <c r="C125" i="30"/>
  <c r="B125" i="30"/>
  <c r="A125" i="30"/>
  <c r="E124" i="30"/>
  <c r="D124" i="30"/>
  <c r="C124" i="30"/>
  <c r="B124" i="30"/>
  <c r="A124" i="30"/>
  <c r="E123" i="30"/>
  <c r="D123" i="30"/>
  <c r="C123" i="30"/>
  <c r="B123" i="30"/>
  <c r="A123" i="30"/>
  <c r="E122" i="30"/>
  <c r="D122" i="30"/>
  <c r="C122" i="30"/>
  <c r="B122" i="30"/>
  <c r="A122" i="30"/>
  <c r="H89" i="30"/>
  <c r="G89" i="30"/>
  <c r="F89" i="30"/>
  <c r="E89" i="30"/>
  <c r="D89" i="30"/>
  <c r="C89" i="30"/>
  <c r="B89" i="30"/>
  <c r="A89" i="30"/>
  <c r="H88" i="30"/>
  <c r="G88" i="30"/>
  <c r="F88" i="30"/>
  <c r="E88" i="30"/>
  <c r="D88" i="30"/>
  <c r="C88" i="30"/>
  <c r="B88" i="30"/>
  <c r="A88" i="30"/>
  <c r="H87" i="30"/>
  <c r="G87" i="30"/>
  <c r="F87" i="30"/>
  <c r="E87" i="30"/>
  <c r="D87" i="30"/>
  <c r="C87" i="30"/>
  <c r="B87" i="30"/>
  <c r="A87" i="30"/>
  <c r="H86" i="30"/>
  <c r="G86" i="30"/>
  <c r="F86" i="30"/>
  <c r="E86" i="30"/>
  <c r="D86" i="30"/>
  <c r="C86" i="30"/>
  <c r="B86" i="30"/>
  <c r="A86" i="30"/>
  <c r="H85" i="30"/>
  <c r="G85" i="30"/>
  <c r="F85" i="30"/>
  <c r="E85" i="30"/>
  <c r="D85" i="30"/>
  <c r="C85" i="30"/>
  <c r="B85" i="30"/>
  <c r="A85" i="30"/>
  <c r="H84" i="30"/>
  <c r="G84" i="30"/>
  <c r="F84" i="30"/>
  <c r="E84" i="30"/>
  <c r="D84" i="30"/>
  <c r="C84" i="30"/>
  <c r="B84" i="30"/>
  <c r="A84" i="30"/>
  <c r="H83" i="30"/>
  <c r="G83" i="30"/>
  <c r="F83" i="30"/>
  <c r="E83" i="30"/>
  <c r="D83" i="30"/>
  <c r="C83" i="30"/>
  <c r="B83" i="30"/>
  <c r="A83" i="30"/>
  <c r="H82" i="30"/>
  <c r="G82" i="30"/>
  <c r="F82" i="30"/>
  <c r="E82" i="30"/>
  <c r="D82" i="30"/>
  <c r="C82" i="30"/>
  <c r="B82" i="30"/>
  <c r="A82" i="30"/>
  <c r="H81" i="30"/>
  <c r="G81" i="30"/>
  <c r="F81" i="30"/>
  <c r="E81" i="30"/>
  <c r="D81" i="30"/>
  <c r="C81" i="30"/>
  <c r="B81" i="30"/>
  <c r="A81" i="30"/>
  <c r="H80" i="30"/>
  <c r="G80" i="30"/>
  <c r="F80" i="30"/>
  <c r="E80" i="30"/>
  <c r="D80" i="30"/>
  <c r="C80" i="30"/>
  <c r="B80" i="30"/>
  <c r="A80" i="30"/>
  <c r="H79" i="30"/>
  <c r="G79" i="30"/>
  <c r="F79" i="30"/>
  <c r="E79" i="30"/>
  <c r="D79" i="30"/>
  <c r="C79" i="30"/>
  <c r="B79" i="30"/>
  <c r="A79" i="30"/>
  <c r="H78" i="30"/>
  <c r="G78" i="30"/>
  <c r="F78" i="30"/>
  <c r="E78" i="30"/>
  <c r="D78" i="30"/>
  <c r="C78" i="30"/>
  <c r="B78" i="30"/>
  <c r="A78" i="30"/>
  <c r="H77" i="30"/>
  <c r="G77" i="30"/>
  <c r="F77" i="30"/>
  <c r="E77" i="30"/>
  <c r="D77" i="30"/>
  <c r="C77" i="30"/>
  <c r="B77" i="30"/>
  <c r="A77" i="30"/>
  <c r="H76" i="30"/>
  <c r="G76" i="30"/>
  <c r="F76" i="30"/>
  <c r="E76" i="30"/>
  <c r="D76" i="30"/>
  <c r="C76" i="30"/>
  <c r="B76" i="30"/>
  <c r="A76" i="30"/>
  <c r="H75" i="30"/>
  <c r="G75" i="30"/>
  <c r="F75" i="30"/>
  <c r="E75" i="30"/>
  <c r="D75" i="30"/>
  <c r="C75" i="30"/>
  <c r="B75" i="30"/>
  <c r="A75" i="30"/>
  <c r="H74" i="30"/>
  <c r="G74" i="30"/>
  <c r="F74" i="30"/>
  <c r="E74" i="30"/>
  <c r="D74" i="30"/>
  <c r="C74" i="30"/>
  <c r="B74" i="30"/>
  <c r="A74" i="30"/>
  <c r="H73" i="30"/>
  <c r="G73" i="30"/>
  <c r="F73" i="30"/>
  <c r="E73" i="30"/>
  <c r="D73" i="30"/>
  <c r="C73" i="30"/>
  <c r="B73" i="30"/>
  <c r="A73" i="30"/>
  <c r="H72" i="30"/>
  <c r="G72" i="30"/>
  <c r="F72" i="30"/>
  <c r="E72" i="30"/>
  <c r="D72" i="30"/>
  <c r="C72" i="30"/>
  <c r="B72" i="30"/>
  <c r="A72" i="30"/>
  <c r="H71" i="30"/>
  <c r="G71" i="30"/>
  <c r="F71" i="30"/>
  <c r="E71" i="30"/>
  <c r="D71" i="30"/>
  <c r="C71" i="30"/>
  <c r="B71" i="30"/>
  <c r="A71" i="30"/>
  <c r="H70" i="30"/>
  <c r="G70" i="30"/>
  <c r="F70" i="30"/>
  <c r="E70" i="30"/>
  <c r="D70" i="30"/>
  <c r="C70" i="30"/>
  <c r="B70" i="30"/>
  <c r="A70" i="30"/>
  <c r="H69" i="30"/>
  <c r="G69" i="30"/>
  <c r="F69" i="30"/>
  <c r="E69" i="30"/>
  <c r="D69" i="30"/>
  <c r="C69" i="30"/>
  <c r="B69" i="30"/>
  <c r="A69" i="30"/>
  <c r="H68" i="30"/>
  <c r="G68" i="30"/>
  <c r="F68" i="30"/>
  <c r="E68" i="30"/>
  <c r="D68" i="30"/>
  <c r="C68" i="30"/>
  <c r="B68" i="30"/>
  <c r="A68" i="30"/>
  <c r="H67" i="30"/>
  <c r="G67" i="30"/>
  <c r="F67" i="30"/>
  <c r="E67" i="30"/>
  <c r="D67" i="30"/>
  <c r="C67" i="30"/>
  <c r="B67" i="30"/>
  <c r="A67" i="30"/>
  <c r="H66" i="30"/>
  <c r="G66" i="30"/>
  <c r="F66" i="30"/>
  <c r="E66" i="30"/>
  <c r="D66" i="30"/>
  <c r="C66" i="30"/>
  <c r="B66" i="30"/>
  <c r="A66" i="30"/>
  <c r="H65" i="30"/>
  <c r="G65" i="30"/>
  <c r="F65" i="30"/>
  <c r="E65" i="30"/>
  <c r="D65" i="30"/>
  <c r="C65" i="30"/>
  <c r="B65" i="30"/>
  <c r="A65" i="30"/>
  <c r="H64" i="30"/>
  <c r="G64" i="30"/>
  <c r="F64" i="30"/>
  <c r="E64" i="30"/>
  <c r="D64" i="30"/>
  <c r="C64" i="30"/>
  <c r="H62" i="30"/>
  <c r="G62" i="30"/>
  <c r="F62" i="30"/>
  <c r="E62" i="30"/>
  <c r="D62" i="30"/>
  <c r="C62" i="30"/>
  <c r="F55" i="30"/>
  <c r="F52" i="30"/>
  <c r="C23" i="30"/>
  <c r="C22" i="30"/>
  <c r="B17" i="30"/>
  <c r="B16" i="30"/>
  <c r="B15" i="30"/>
  <c r="B14" i="30"/>
  <c r="B13" i="30"/>
  <c r="B12" i="30"/>
  <c r="B11" i="30"/>
  <c r="B10" i="30"/>
  <c r="B9" i="30"/>
  <c r="B6" i="30"/>
  <c r="B5" i="30"/>
  <c r="B7" i="30" s="1"/>
  <c r="C29" i="25"/>
  <c r="C28" i="25"/>
  <c r="CK25" i="25"/>
  <c r="CK23" i="25"/>
  <c r="C23" i="25"/>
  <c r="CK21" i="25"/>
  <c r="C21" i="25"/>
  <c r="C20" i="25"/>
  <c r="C19" i="25"/>
  <c r="CK18" i="25"/>
  <c r="CK14" i="25"/>
  <c r="CE7" i="25"/>
  <c r="O7" i="25"/>
  <c r="N34" i="39"/>
  <c r="K34" i="39"/>
  <c r="J34" i="39"/>
  <c r="G34" i="39"/>
  <c r="F34" i="39"/>
  <c r="N32" i="39"/>
  <c r="M32" i="39"/>
  <c r="M34" i="39" s="1"/>
  <c r="L32" i="39"/>
  <c r="L34" i="39" s="1"/>
  <c r="K32" i="39"/>
  <c r="J32" i="39"/>
  <c r="I32" i="39"/>
  <c r="I34" i="39" s="1"/>
  <c r="H32" i="39"/>
  <c r="H34" i="39" s="1"/>
  <c r="G32" i="39"/>
  <c r="F32" i="39"/>
  <c r="E32" i="39"/>
  <c r="E34" i="39" s="1"/>
  <c r="K22" i="39"/>
  <c r="K25" i="39" s="1"/>
  <c r="G22" i="39"/>
  <c r="G25" i="39" s="1"/>
  <c r="N21" i="39"/>
  <c r="N22" i="39" s="1"/>
  <c r="N25" i="39" s="1"/>
  <c r="M21" i="39"/>
  <c r="M22" i="39" s="1"/>
  <c r="M25" i="39" s="1"/>
  <c r="L21" i="39"/>
  <c r="L22" i="39" s="1"/>
  <c r="L25" i="39" s="1"/>
  <c r="K21" i="39"/>
  <c r="J21" i="39"/>
  <c r="J22" i="39" s="1"/>
  <c r="J25" i="39" s="1"/>
  <c r="I21" i="39"/>
  <c r="I22" i="39" s="1"/>
  <c r="I25" i="39" s="1"/>
  <c r="H21" i="39"/>
  <c r="H22" i="39" s="1"/>
  <c r="H25" i="39" s="1"/>
  <c r="G21" i="39"/>
  <c r="F21" i="39"/>
  <c r="F22" i="39" s="1"/>
  <c r="F25" i="39" s="1"/>
  <c r="E21" i="39"/>
  <c r="E22" i="39" s="1"/>
  <c r="E25" i="39" s="1"/>
  <c r="N20" i="39"/>
  <c r="M20" i="39"/>
  <c r="L20" i="39"/>
  <c r="K20" i="39"/>
  <c r="J20" i="39"/>
  <c r="I20" i="39"/>
  <c r="H20" i="39"/>
  <c r="G20" i="39"/>
  <c r="F20" i="39"/>
  <c r="E20" i="39"/>
  <c r="B45" i="27" l="1"/>
  <c r="B47" i="27" s="1"/>
  <c r="E36" i="39"/>
  <c r="E37" i="39"/>
  <c r="B8" i="30"/>
</calcChain>
</file>

<file path=xl/sharedStrings.xml><?xml version="1.0" encoding="utf-8"?>
<sst xmlns="http://schemas.openxmlformats.org/spreadsheetml/2006/main" count="2044" uniqueCount="733">
  <si>
    <t>Salary</t>
  </si>
  <si>
    <t>Monthly</t>
  </si>
  <si>
    <t>+/-</t>
  </si>
  <si>
    <t>Year-to-Date Total</t>
  </si>
  <si>
    <t>Months</t>
  </si>
  <si>
    <t>Total</t>
  </si>
  <si>
    <t>Rental Income Worksheet</t>
  </si>
  <si>
    <t>Individual Rental Income from Investment Property(s): Monthly Qualifying Rental Income (or Loss)</t>
  </si>
  <si>
    <t>Enter</t>
  </si>
  <si>
    <t>Investment Property Address</t>
  </si>
  <si>
    <r>
      <rPr>
        <b/>
        <sz val="16"/>
        <color theme="1"/>
        <rFont val="Calibri"/>
        <family val="2"/>
        <scheme val="minor"/>
      </rPr>
      <t>Step 1</t>
    </r>
    <r>
      <rPr>
        <sz val="16"/>
        <color theme="1"/>
        <rFont val="Calibri"/>
        <family val="2"/>
        <scheme val="minor"/>
      </rPr>
      <t xml:space="preserve">.  When using Schedule E, determine the number of months the property was in service by dividing the Fair Rental Days by 30.  </t>
    </r>
  </si>
  <si>
    <t>If Fair Rental Days are not reported, the property is considered to be in service for 12 months unless there is evidence of a shorter term of service.</t>
  </si>
  <si>
    <r>
      <rPr>
        <b/>
        <sz val="16"/>
        <color rgb="FFC0504D"/>
        <rFont val="Calibri"/>
        <family val="2"/>
        <scheme val="minor"/>
      </rPr>
      <t xml:space="preserve">Step 1.  Result: </t>
    </r>
    <r>
      <rPr>
        <sz val="16"/>
        <color theme="1"/>
        <rFont val="Calibri"/>
        <family val="2"/>
        <scheme val="minor"/>
      </rPr>
      <t xml:space="preserve"> Enter the number of months the property was in service:</t>
    </r>
  </si>
  <si>
    <t>Result</t>
  </si>
  <si>
    <r>
      <rPr>
        <b/>
        <sz val="16"/>
        <color theme="1"/>
        <rFont val="Calibri"/>
        <family val="2"/>
        <scheme val="minor"/>
      </rPr>
      <t>Step 2</t>
    </r>
    <r>
      <rPr>
        <sz val="16"/>
        <color theme="1"/>
        <rFont val="Calibri"/>
        <family val="2"/>
        <scheme val="minor"/>
      </rPr>
      <t xml:space="preserve">.  Calculate monthly qualifying rental income (loss) using Step 2A:  Schedule E </t>
    </r>
    <r>
      <rPr>
        <b/>
        <sz val="16"/>
        <color theme="1"/>
        <rFont val="Calibri"/>
        <family val="2"/>
        <scheme val="minor"/>
      </rPr>
      <t xml:space="preserve">OR </t>
    </r>
    <r>
      <rPr>
        <sz val="16"/>
        <color theme="1"/>
        <rFont val="Calibri"/>
        <family val="2"/>
        <scheme val="minor"/>
      </rPr>
      <t>Step 2B:  Lease Agreement or Fannie Mae Form 1007 or Form 1025.</t>
    </r>
  </si>
  <si>
    <r>
      <rPr>
        <b/>
        <sz val="16"/>
        <color theme="1"/>
        <rFont val="Calibri"/>
        <family val="2"/>
        <scheme val="minor"/>
      </rPr>
      <t xml:space="preserve">Step 2A.   Schedule E - Part I    </t>
    </r>
    <r>
      <rPr>
        <b/>
        <sz val="16"/>
        <color rgb="FFFF0000"/>
        <rFont val="Calibri"/>
        <family val="2"/>
        <scheme val="minor"/>
      </rPr>
      <t xml:space="preserve">             For each property complete ONLY 2A or 2B</t>
    </r>
  </si>
  <si>
    <t>A1</t>
  </si>
  <si>
    <t xml:space="preserve">Enter total rents received. </t>
  </si>
  <si>
    <t>A2</t>
  </si>
  <si>
    <t>Enter total expenses.</t>
  </si>
  <si>
    <t>Subtract</t>
  </si>
  <si>
    <t>A3</t>
  </si>
  <si>
    <t>Enter insurance expense.</t>
  </si>
  <si>
    <t>Add</t>
  </si>
  <si>
    <t>A4</t>
  </si>
  <si>
    <t xml:space="preserve">Enter mortgage interest paid. </t>
  </si>
  <si>
    <t>A5</t>
  </si>
  <si>
    <t>Enter tax expense.</t>
  </si>
  <si>
    <t>A6</t>
  </si>
  <si>
    <t xml:space="preserve">Enter homeowners’ association dues. </t>
  </si>
  <si>
    <t xml:space="preserve">This expense must be specifically identified on Schedule E in order to add it back. </t>
  </si>
  <si>
    <t>A7</t>
  </si>
  <si>
    <t xml:space="preserve">Enter depreciation expense or depletion. </t>
  </si>
  <si>
    <t>A8</t>
  </si>
  <si>
    <r>
      <rPr>
        <sz val="16"/>
        <color theme="1"/>
        <rFont val="Calibri"/>
        <family val="2"/>
        <scheme val="minor"/>
      </rPr>
      <t xml:space="preserve">Enter any one-time extraordinary expense (e.g., casualty loss). </t>
    </r>
    <r>
      <rPr>
        <i/>
        <sz val="16"/>
        <color theme="1"/>
        <rFont val="Calibri"/>
        <family val="2"/>
        <scheme val="minor"/>
      </rPr>
      <t>There must be evidence of the nature of the one-time extraordinary expense.</t>
    </r>
  </si>
  <si>
    <t xml:space="preserve">Equals adjusted rental income. </t>
  </si>
  <si>
    <t>A9</t>
  </si>
  <si>
    <t xml:space="preserve">Enter the number of months the property was in service (Step 1 Result). </t>
  </si>
  <si>
    <t>Divide</t>
  </si>
  <si>
    <t>Equals adjusted monthly rental income</t>
  </si>
  <si>
    <t>A10</t>
  </si>
  <si>
    <t xml:space="preserve">Enter proposed PITIA (for subject property) or </t>
  </si>
  <si>
    <t>existing PITIA (for non-subject property).</t>
  </si>
  <si>
    <r>
      <rPr>
        <b/>
        <sz val="16"/>
        <color rgb="FFC0504D"/>
        <rFont val="Calibri"/>
        <family val="2"/>
        <scheme val="minor"/>
      </rPr>
      <t>Step 2A.  Result:</t>
    </r>
    <r>
      <rPr>
        <b/>
        <sz val="16"/>
        <color theme="1"/>
        <rFont val="Calibri"/>
        <family val="2"/>
        <scheme val="minor"/>
      </rPr>
      <t xml:space="preserve">  </t>
    </r>
    <r>
      <rPr>
        <sz val="16"/>
        <color theme="1"/>
        <rFont val="Calibri"/>
        <family val="2"/>
        <scheme val="minor"/>
      </rPr>
      <t>Monthly qualifying rental income (or loss):</t>
    </r>
  </si>
  <si>
    <r>
      <rPr>
        <b/>
        <sz val="16"/>
        <color theme="1"/>
        <rFont val="Calibri"/>
        <family val="2"/>
        <scheme val="minor"/>
      </rPr>
      <t xml:space="preserve">Step 2B.  Lease Agreement OR Fannie Mae Form 1007 or Form 1025  </t>
    </r>
    <r>
      <rPr>
        <b/>
        <sz val="16"/>
        <color rgb="FFFF0000"/>
        <rFont val="Calibri"/>
        <family val="2"/>
        <scheme val="minor"/>
      </rPr>
      <t>For each property complete ONLY 2A or 2B</t>
    </r>
  </si>
  <si>
    <r>
      <rPr>
        <sz val="16"/>
        <color theme="1"/>
        <rFont val="Calibri"/>
        <family val="2"/>
        <scheme val="minor"/>
      </rPr>
      <t>This method is used when</t>
    </r>
    <r>
      <rPr>
        <sz val="16"/>
        <color rgb="FF1F497D"/>
        <rFont val="Calibri"/>
        <family val="2"/>
        <scheme val="minor"/>
      </rPr>
      <t xml:space="preserve"> </t>
    </r>
    <r>
      <rPr>
        <sz val="16"/>
        <color theme="1"/>
        <rFont val="Calibri"/>
        <family val="2"/>
        <scheme val="minor"/>
      </rPr>
      <t>the transaction is a purchase, the property was acquired subsequent to the most recent tax filing, or the lender has justification for using a lease agreement.</t>
    </r>
  </si>
  <si>
    <t>B1</t>
  </si>
  <si>
    <t xml:space="preserve">Enter the gross monthly rent (from the lease agreement) or </t>
  </si>
  <si>
    <t xml:space="preserve">market rent (reported on Form 1007 or Form 1025). </t>
  </si>
  <si>
    <r>
      <rPr>
        <i/>
        <sz val="16"/>
        <color theme="1"/>
        <rFont val="Calibri"/>
        <family val="2"/>
        <scheme val="minor"/>
      </rPr>
      <t xml:space="preserve"> For multi-unit properties, combine gross rent from all rental units.  </t>
    </r>
    <r>
      <rPr>
        <sz val="16"/>
        <color theme="1"/>
        <rFont val="Calibri"/>
        <family val="2"/>
        <scheme val="minor"/>
      </rPr>
      <t xml:space="preserve"> </t>
    </r>
    <r>
      <rPr>
        <i/>
        <sz val="16"/>
        <color theme="1"/>
        <rFont val="Calibri"/>
        <family val="2"/>
        <scheme val="minor"/>
      </rPr>
      <t xml:space="preserve">   </t>
    </r>
    <r>
      <rPr>
        <sz val="16"/>
        <color theme="1"/>
        <rFont val="Calibri"/>
        <family val="2"/>
        <scheme val="minor"/>
      </rPr>
      <t xml:space="preserve"> </t>
    </r>
    <r>
      <rPr>
        <i/>
        <sz val="16"/>
        <color theme="1"/>
        <rFont val="Calibri"/>
        <family val="2"/>
        <scheme val="minor"/>
      </rPr>
      <t xml:space="preserve">  </t>
    </r>
  </si>
  <si>
    <t>B2</t>
  </si>
  <si>
    <t xml:space="preserve">The remaining 25% accounts for vacancy loss, maintenance, and management expenses.      </t>
  </si>
  <si>
    <t>Multiply</t>
  </si>
  <si>
    <t>x.75</t>
  </si>
  <si>
    <t>Equals adjusted monthly rental income.</t>
  </si>
  <si>
    <t>B3</t>
  </si>
  <si>
    <t>Enter proposed PITIA (for subject property) or existing PITIA (for non-subject property).</t>
  </si>
  <si>
    <t xml:space="preserve">Subtract </t>
  </si>
  <si>
    <r>
      <rPr>
        <b/>
        <sz val="16"/>
        <color rgb="FFC0504D"/>
        <rFont val="Calibri"/>
        <family val="2"/>
        <scheme val="minor"/>
      </rPr>
      <t xml:space="preserve">Step 2B.  Result: </t>
    </r>
    <r>
      <rPr>
        <b/>
        <sz val="16"/>
        <color theme="1"/>
        <rFont val="Calibri"/>
        <family val="2"/>
        <scheme val="minor"/>
      </rPr>
      <t xml:space="preserve"> </t>
    </r>
    <r>
      <rPr>
        <sz val="16"/>
        <color theme="1"/>
        <rFont val="Calibri"/>
        <family val="2"/>
        <scheme val="minor"/>
      </rPr>
      <t>Monthly qualifying rental income (loss):</t>
    </r>
  </si>
  <si>
    <r>
      <rPr>
        <b/>
        <sz val="16"/>
        <color theme="1"/>
        <rFont val="Calibri"/>
        <family val="2"/>
        <scheme val="minor"/>
      </rPr>
      <t>Step 3</t>
    </r>
    <r>
      <rPr>
        <sz val="16"/>
        <color theme="1"/>
        <rFont val="Calibri"/>
        <family val="2"/>
        <scheme val="minor"/>
      </rPr>
      <t xml:space="preserve">.  </t>
    </r>
    <r>
      <rPr>
        <b/>
        <sz val="16"/>
        <color theme="1"/>
        <rFont val="Calibri"/>
        <family val="2"/>
        <scheme val="minor"/>
      </rPr>
      <t xml:space="preserve"> Determine the qualifying impact using the result of Step 2A or Step 2B.     </t>
    </r>
  </si>
  <si>
    <r>
      <rPr>
        <sz val="16"/>
        <color theme="1"/>
        <rFont val="Calibri"/>
        <family val="2"/>
        <scheme val="minor"/>
      </rPr>
      <t xml:space="preserve">If the result of Step 2A or 2B is </t>
    </r>
    <r>
      <rPr>
        <b/>
        <sz val="16"/>
        <color theme="1"/>
        <rFont val="Calibri"/>
        <family val="2"/>
        <scheme val="minor"/>
      </rPr>
      <t>positive,</t>
    </r>
    <r>
      <rPr>
        <sz val="16"/>
        <color theme="1"/>
        <rFont val="Calibri"/>
        <family val="2"/>
        <scheme val="minor"/>
      </rPr>
      <t xml:space="preserve"> add the positive amount to the borrower’s monthly qualifying income. </t>
    </r>
    <r>
      <rPr>
        <i/>
        <sz val="16"/>
        <color theme="1"/>
        <rFont val="Calibri"/>
        <family val="2"/>
        <scheme val="minor"/>
      </rPr>
      <t>Because the PITIA expense was included in the calculations above, do not add it to the debt-to-income (DTI) ratio.</t>
    </r>
  </si>
  <si>
    <r>
      <rPr>
        <sz val="16"/>
        <color theme="1"/>
        <rFont val="Calibri"/>
        <family val="2"/>
        <scheme val="minor"/>
      </rPr>
      <t xml:space="preserve">If the result of Step 2A or 2B is </t>
    </r>
    <r>
      <rPr>
        <b/>
        <sz val="16"/>
        <color theme="1"/>
        <rFont val="Calibri"/>
        <family val="2"/>
        <scheme val="minor"/>
      </rPr>
      <t xml:space="preserve">negative, </t>
    </r>
    <r>
      <rPr>
        <sz val="16"/>
        <color theme="1"/>
        <rFont val="Calibri"/>
        <family val="2"/>
        <scheme val="minor"/>
      </rPr>
      <t>include the amount of the loss in the borrower’s monthly expenses when calculating the DTI ratio.</t>
    </r>
  </si>
  <si>
    <t>DU Data Entry</t>
  </si>
  <si>
    <t>Monthly Income and Combined Housing Expenses</t>
  </si>
  <si>
    <t>Mortgage Liabilities</t>
  </si>
  <si>
    <t xml:space="preserve">Subject Property </t>
  </si>
  <si>
    <t xml:space="preserve">Enter the amount of the monthly qualifying income (positive result) or monthly qualifying loss (negative result) in “Subject Net Cash.” </t>
  </si>
  <si>
    <t>For refinance transactions, identify the mortgage as a subject property lien.</t>
  </si>
  <si>
    <t>Non-Subject Property</t>
  </si>
  <si>
    <t xml:space="preserve">Enter the amount of the monthly qualifying income (positive result) or monthly qualifying loss (negative result) in “Net Rental.”  </t>
  </si>
  <si>
    <t>Identify the mortgage as a rental property lien.</t>
  </si>
  <si>
    <t>Refer to the Rental Income topic in the Selling Guide for additional guidance.</t>
  </si>
  <si>
    <t>Income Calculations Worksheet</t>
  </si>
  <si>
    <t>FHA Back to Work Initiative</t>
  </si>
  <si>
    <t>Borrower:</t>
  </si>
  <si>
    <t>Loan #:</t>
  </si>
  <si>
    <t>TOTAL HOUSEHOLD EARNINGS AT TIME OF ECONOMIC EVENT</t>
  </si>
  <si>
    <t xml:space="preserve"> Actual Date of Economic Event</t>
  </si>
  <si>
    <t xml:space="preserve"> Borrower's total monthly income at time of economic event</t>
  </si>
  <si>
    <t xml:space="preserve"> Other household monthly income at time of economic event</t>
  </si>
  <si>
    <t xml:space="preserve"> Total Household Monthly Income at time of economic event</t>
  </si>
  <si>
    <t>PERIOD AFTER ECONOMIC EVENT (MINIMUM 6 MONTHS)</t>
  </si>
  <si>
    <t xml:space="preserve"> Date for the six month period after the date of Economic Event</t>
  </si>
  <si>
    <t>Increase / Decrease difference in monthly earnings</t>
  </si>
  <si>
    <t>Required Documentation</t>
  </si>
  <si>
    <t>Loss of Employment</t>
  </si>
  <si>
    <t>●</t>
  </si>
  <si>
    <t>Verify with written VOE to show termination date.</t>
  </si>
  <si>
    <t>If employer went out of business, then document with copy of borrowers' severance package letter, other publicly available document that the</t>
  </si>
  <si>
    <t>employer went out of business, and/or receipt of Unemployment income within timeframe.</t>
  </si>
  <si>
    <t>Loss of Income</t>
  </si>
  <si>
    <t>Must verify and ensure proper documentation is provided to reflect what the borrower's household income was prior to the Economic Event.</t>
  </si>
  <si>
    <t>Must verify that either the loss of employment, the loss of income or the loss of both trigerred the Economic Event by documenting the</t>
  </si>
  <si>
    <t>borrower's household income was after the Economic Event was trigerred.</t>
  </si>
  <si>
    <t>Satisfactory Credit BEFORE Economic Event</t>
  </si>
  <si>
    <t>Must verify that borrower(s) had a satisfactory credit history 12 months (minimum) before the Economic Event.</t>
  </si>
  <si>
    <t>Satisfactory Credit AFTER Economic Event</t>
  </si>
  <si>
    <r>
      <rPr>
        <sz val="8"/>
        <rFont val="Arial"/>
        <family val="2"/>
      </rPr>
      <t xml:space="preserve">Must verify no late payments in the last 12 months </t>
    </r>
    <r>
      <rPr>
        <i/>
        <u/>
        <sz val="8"/>
        <rFont val="Arial"/>
        <family val="2"/>
      </rPr>
      <t>since</t>
    </r>
    <r>
      <rPr>
        <sz val="8"/>
        <rFont val="Arial"/>
        <family val="2"/>
      </rPr>
      <t xml:space="preserve"> the Economic Event.</t>
    </r>
  </si>
  <si>
    <t>Borrower's credit history is clear of late housing or installment debt payments and major derogatory credit issues on revolving debts.</t>
  </si>
  <si>
    <t>Any open mortgage is current and shows a 12 month history of satisfactory payments. Mortgage payments brought current through a loan</t>
  </si>
  <si>
    <t>modification is acceptable so long as all payments are documented as being paid on time as per the loan modification agreement.</t>
  </si>
  <si>
    <t>Collections</t>
  </si>
  <si>
    <t>Regardless of the initial AUS findings, if the total outstanding balance of ALL collections for ALL borrowers is &gt; $2,000, the collections to be paid</t>
  </si>
  <si>
    <t>off at closing, or provide verification with a letter from the creditor on their letterhead or a credit supplement that borrower has been in a</t>
  </si>
  <si>
    <t>satisfactory payment plan. Must qualify the borrower with the verified payment amount. If no payment can be verified, qualify the borrower with</t>
  </si>
  <si>
    <t>each collection account using 5% of the balance as the payment.</t>
  </si>
  <si>
    <r>
      <rPr>
        <b/>
        <sz val="8"/>
        <rFont val="Arial"/>
        <family val="2"/>
      </rPr>
      <t>Note:</t>
    </r>
    <r>
      <rPr>
        <sz val="8"/>
        <rFont val="Arial"/>
        <family val="2"/>
      </rPr>
      <t xml:space="preserve">  Medical collections and charge-offs are excluded from this policy. This policy includes the collection accounts for non-borrowing spouses</t>
    </r>
  </si>
  <si>
    <t>who live in a community property state. Collection accounts may NOT be paid down to less than $2,000.</t>
  </si>
  <si>
    <t>Judgements</t>
  </si>
  <si>
    <t>Regardless of the initial AUS findings, Judgment(s) must be paid in full through closing of the transaction, or evidence judgment has been</t>
  </si>
  <si>
    <t>satisfactorily paid prior to close, or evidence borrowers are in a payment plan with the following requirements: Provide a copy of the agreement,</t>
  </si>
  <si>
    <t>payment must have been made in a timely manner, and evidence a minimum of 3 months scheduled payments have been made prior to close.</t>
  </si>
  <si>
    <r>
      <rPr>
        <b/>
        <sz val="8"/>
        <rFont val="Arial"/>
        <family val="2"/>
      </rPr>
      <t>Note:</t>
    </r>
    <r>
      <rPr>
        <sz val="8"/>
        <rFont val="Arial"/>
        <family val="2"/>
      </rPr>
      <t xml:space="preserve">  Borrowers may not pre-pay scheduled payments in advance to reflect 3 payments. This policy includes the judgments for non-borrowing</t>
    </r>
  </si>
  <si>
    <t>spouses who live in a community property state.</t>
  </si>
  <si>
    <t>Mortgage Foreclosure, Short-Sale, Chapter 7 Bankruptcy</t>
  </si>
  <si>
    <t>Must verify and ensure proper documentation is provided to reflect that 12 months have elapsed from the date of the foreclosure or deed in lieu</t>
  </si>
  <si>
    <t>and that it was a direct result of the Economic Event which occurred.</t>
  </si>
  <si>
    <t>Chapter 13 Bankruptcy</t>
  </si>
  <si>
    <t>Chapter 13 Bankruptcy must have been as a direct result of the Economic Event, and must be discharged prior to the loan application. If not</t>
  </si>
  <si>
    <t>discharged prior to loan application, must receive written permission from the Court to enter into a mortgage transaction for the subject property.</t>
  </si>
  <si>
    <t>Must also provide evidence of satisfactory 12 month payment history on Bankruptcy payment plan.</t>
  </si>
  <si>
    <t>Housing Counseling</t>
  </si>
  <si>
    <t>Each participant must provide evidence that they have completed Homeownership Counseling (received a minimum of 1 hour one-on-one</t>
  </si>
  <si>
    <t>counseling), addressing the cause of the Economic Event and the actions taken to overcome the cause thereby reducing the likelihood of</t>
  </si>
  <si>
    <t>reoccurrence.</t>
  </si>
  <si>
    <t>Must be completed a minimum 30 days prior to loan application and no more than 6 months prior to submitting the loan to Lender. NO</t>
  </si>
  <si>
    <t>EXCEPTIONS!</t>
  </si>
  <si>
    <t>If there is a fee associated with the Housing Counseling requirement then, the Loan Estimate must reflect a Written Provider in box 6 in order to</t>
  </si>
  <si>
    <t>be compliant.</t>
  </si>
  <si>
    <t>This worksheet is not intended to be legal or comprehensive financial advice. The user assumes any legal liability and responsibility</t>
  </si>
  <si>
    <t>for the accuracy, completeness, usefulness, effectiveness, reliability, information and/or results obtained from the use of this worksheet.</t>
  </si>
  <si>
    <t>It is the responsibility of the user to be knowledgeable of the text and data contained in the worksheet, to ensure the accuracy of any</t>
  </si>
  <si>
    <t>documentation used to complete the worksheet, and that contents are in accordance with product, investor and regulatory requirements.</t>
  </si>
  <si>
    <t>BASIC PARAMETERS</t>
  </si>
  <si>
    <t>DATES</t>
  </si>
  <si>
    <t>Today Date</t>
  </si>
  <si>
    <t>Today Month</t>
  </si>
  <si>
    <t>Today Day</t>
  </si>
  <si>
    <t>Year Today</t>
  </si>
  <si>
    <t>Year to Date</t>
  </si>
  <si>
    <t>Year Last</t>
  </si>
  <si>
    <t>Year Previous</t>
  </si>
  <si>
    <t>Doc Date</t>
  </si>
  <si>
    <t>YR Today Beg</t>
  </si>
  <si>
    <t>YRCB</t>
  </si>
  <si>
    <t>YR Last Beg</t>
  </si>
  <si>
    <t>YRP1B</t>
  </si>
  <si>
    <t>YR Last End</t>
  </si>
  <si>
    <t>YRP1E</t>
  </si>
  <si>
    <t>YR Prev Beg</t>
  </si>
  <si>
    <t>YRP2B</t>
  </si>
  <si>
    <t>YR Prev End</t>
  </si>
  <si>
    <t>YRP2E</t>
  </si>
  <si>
    <t>SS &amp; MEDICARE WITHHOLDING CALCULATIONS PARAMETERS</t>
  </si>
  <si>
    <t>Earnings</t>
  </si>
  <si>
    <t>Tax %</t>
  </si>
  <si>
    <t>Withholdings</t>
  </si>
  <si>
    <t>YEAR SELECTIONS  \  [ M_YEARS ]  \  memory variable list begins with "Select Year" (B27) and ends with "2018" (B32)</t>
  </si>
  <si>
    <t>↑</t>
  </si>
  <si>
    <t>Select Year</t>
  </si>
  <si>
    <t>M_YEARS</t>
  </si>
  <si>
    <t>|</t>
  </si>
  <si>
    <t>↓</t>
  </si>
  <si>
    <t>DEPRECIATION MILEAGE FACTORS</t>
  </si>
  <si>
    <t>Year</t>
  </si>
  <si>
    <t>FNMA Factor</t>
  </si>
  <si>
    <t>List of FNMA</t>
  </si>
  <si>
    <t>Depreciation</t>
  </si>
  <si>
    <t>Mileage</t>
  </si>
  <si>
    <t>Factors</t>
  </si>
  <si>
    <t>INCOME PAY PERIOD FREQUENCY  \  [ M_PAYDOCS ]  \  memory variable list begins with "Paystub" (C49) and ends with "Other" (C57)</t>
  </si>
  <si>
    <t>VLOOKUP</t>
  </si>
  <si>
    <t>Document</t>
  </si>
  <si>
    <t>Frequency</t>
  </si>
  <si>
    <t>Search</t>
  </si>
  <si>
    <t>Pay Periods</t>
  </si>
  <si>
    <t>Hours</t>
  </si>
  <si>
    <t>Term</t>
  </si>
  <si>
    <t>Paystub</t>
  </si>
  <si>
    <t>Hourly (H)</t>
  </si>
  <si>
    <t>Annually (1)</t>
  </si>
  <si>
    <t>annually</t>
  </si>
  <si>
    <t>Written VOE</t>
  </si>
  <si>
    <t>Weekly (52)</t>
  </si>
  <si>
    <t>Bi-Weekly (26)</t>
  </si>
  <si>
    <t>bi-weekly</t>
  </si>
  <si>
    <t>Paystub &amp; VOE</t>
  </si>
  <si>
    <t>hourly</t>
  </si>
  <si>
    <t>Awards Letter</t>
  </si>
  <si>
    <t>Semi-Monthly (24)</t>
  </si>
  <si>
    <t>Monthly (12)</t>
  </si>
  <si>
    <t>monthly</t>
  </si>
  <si>
    <t>Bank Statement</t>
  </si>
  <si>
    <t>Part-Time</t>
  </si>
  <si>
    <t>part-time</t>
  </si>
  <si>
    <t>Multiple Docs</t>
  </si>
  <si>
    <t>Seasonal</t>
  </si>
  <si>
    <t>seasonal</t>
  </si>
  <si>
    <t>IRS Form 1099</t>
  </si>
  <si>
    <t>semi-monthly</t>
  </si>
  <si>
    <t>W2</t>
  </si>
  <si>
    <t>Varies</t>
  </si>
  <si>
    <t>varies</t>
  </si>
  <si>
    <t>Other</t>
  </si>
  <si>
    <t>Varies / Averaged</t>
  </si>
  <si>
    <t>weekly</t>
  </si>
  <si>
    <t>GOVERNMENT PAY PERIODS</t>
  </si>
  <si>
    <t>Pay Period Ending</t>
  </si>
  <si>
    <t>PAY TYPES  \  [ M_PAYTYPES ]  \  memory variable list begins with "Click Here …" (C94) and continues until "Other" (C102)</t>
  </si>
  <si>
    <t>Click Here, then Click on Down Arrow (to the right) for a List of Additional Pay Types</t>
  </si>
  <si>
    <t>M_PAYTYPES</t>
  </si>
  <si>
    <t>BONUS</t>
  </si>
  <si>
    <t>\ Options for drop down selections</t>
  </si>
  <si>
    <t>COMMISSIONS</t>
  </si>
  <si>
    <t>DIFFERENTIAL</t>
  </si>
  <si>
    <t>HOUSING ALLOWANCE</t>
  </si>
  <si>
    <t>INCENTIVE</t>
  </si>
  <si>
    <t>OVERTIME</t>
  </si>
  <si>
    <t>TIPS</t>
  </si>
  <si>
    <t>OTHER</t>
  </si>
  <si>
    <t>DOCUMENT TYPES  \  [ M_DOCTYPES ]  \  memory variable list begins with blank line (C106) and continues until "Other" (C115)</t>
  </si>
  <si>
    <t>M_DOCTYPES</t>
  </si>
  <si>
    <t>Earnings Statement</t>
  </si>
  <si>
    <t>Pay Statement</t>
  </si>
  <si>
    <t>Tax Returns</t>
  </si>
  <si>
    <t>VA Cert of Eligibility</t>
  </si>
  <si>
    <t>BORROWER'S PAYSTUB</t>
  </si>
  <si>
    <t>Message</t>
  </si>
  <si>
    <t xml:space="preserve"> Document date</t>
  </si>
  <si>
    <t>/ Date of document as entered by user in the box/field between document type and rate of pay</t>
  </si>
  <si>
    <t xml:space="preserve"> Rate of Pay</t>
  </si>
  <si>
    <t>/ Rate of pay</t>
  </si>
  <si>
    <t xml:space="preserve"> Rate of Pay Message</t>
  </si>
  <si>
    <t xml:space="preserve"> Pay period frequency</t>
  </si>
  <si>
    <t>/ Pay period frequency as selected by user from drop down selections provided</t>
  </si>
  <si>
    <t xml:space="preserve"> Average hours per week</t>
  </si>
  <si>
    <t>/ Average weekly hours from box/field between pay period frequency and monthly earnings, field is blank and grayed out unless hourly pay period frequency is selected, then field becomes active and displays 40 hours as default, user may change figure.</t>
  </si>
  <si>
    <t xml:space="preserve"> Annual earnings based on current rate</t>
  </si>
  <si>
    <t>/ Annual calculated earnings based on current rate and pay period frequency selected, and average hours per week (when hourly pay period frequency is selected).</t>
  </si>
  <si>
    <t xml:space="preserve"> Monthly earnings based on current rate</t>
  </si>
  <si>
    <t>/ Annual earnings divided by 12 for monthly results  /  If "Part-Time", "Seasonal", or "Varies" is selected then "See Below" is displayed.</t>
  </si>
  <si>
    <t xml:space="preserve"> Use current rate / pay increase</t>
  </si>
  <si>
    <t>/ True if option box "qualify at current rate" is selected and False if option box is left blank.</t>
  </si>
  <si>
    <t>BASE EARNINGS</t>
  </si>
  <si>
    <t>Include in Calculations</t>
  </si>
  <si>
    <t>Variances</t>
  </si>
  <si>
    <t>Include calcs</t>
  </si>
  <si>
    <t>Date From</t>
  </si>
  <si>
    <t>Date To</t>
  </si>
  <si>
    <t>% Change</t>
  </si>
  <si>
    <t>Inc / Dec</t>
  </si>
  <si>
    <t>Stats</t>
  </si>
  <si>
    <t xml:space="preserve"> Totals</t>
  </si>
  <si>
    <t xml:space="preserve"> Average hours message</t>
  </si>
  <si>
    <t xml:space="preserve"> Total Qualifying Base Income Determination</t>
  </si>
  <si>
    <t xml:space="preserve"> YTD less than 10% decrease</t>
  </si>
  <si>
    <t xml:space="preserve"> YTD greater than 10% decrease</t>
  </si>
  <si>
    <t xml:space="preserve"> Part-Time, Seasonal, Varies</t>
  </si>
  <si>
    <t xml:space="preserve"> Monthly earnings based on calculations</t>
  </si>
  <si>
    <t xml:space="preserve"> Total Qualifying Base Income</t>
  </si>
  <si>
    <t xml:space="preserve"> Income supported by YTD message</t>
  </si>
  <si>
    <t>/ Message to display when YTD earnings are lower than base rate of pay.</t>
  </si>
  <si>
    <t>UNREIMBURSED EMPLOYEE EXPENSES</t>
  </si>
  <si>
    <t>Inc / Exc</t>
  </si>
  <si>
    <t>Amt Claimed</t>
  </si>
  <si>
    <t>Buss Miles</t>
  </si>
  <si>
    <t>BM addback</t>
  </si>
  <si>
    <t>Average</t>
  </si>
  <si>
    <t xml:space="preserve"> Deduct from base earnings</t>
  </si>
  <si>
    <t>/ Checkbox option results to deduct unreimbursed employee expenses from base earnings, if not deducted from base earnings, then underwriter to enter unreimbursed employee expenses as a monthly liability</t>
  </si>
  <si>
    <t>TOTAL QUALIFYING EARNINGS</t>
  </si>
  <si>
    <t xml:space="preserve"> Total Base Earnings</t>
  </si>
  <si>
    <t xml:space="preserve"> Total Average Unreimbursed Emp Expenses</t>
  </si>
  <si>
    <t xml:space="preserve"> Other Additions or Subtractions to Income</t>
  </si>
  <si>
    <t xml:space="preserve"> Total Calculated Qualifying Base Earnings</t>
  </si>
  <si>
    <t>STATISTICS  —  VARIANCES IN EARNINGS</t>
  </si>
  <si>
    <t>Amount</t>
  </si>
  <si>
    <t>Difference-$</t>
  </si>
  <si>
    <t>Difference-%</t>
  </si>
  <si>
    <t>Data Validation</t>
  </si>
  <si>
    <t>Variances in earnings not determined.</t>
  </si>
  <si>
    <t>STATISTICS  —  AVERAGE WORKING HOURS</t>
  </si>
  <si>
    <t xml:space="preserve"> YTD  (date)</t>
  </si>
  <si>
    <t xml:space="preserve"> YTD - 1st Quarter end</t>
  </si>
  <si>
    <t xml:space="preserve"> YTD during 1st quarter</t>
  </si>
  <si>
    <t xml:space="preserve"> Total earnings</t>
  </si>
  <si>
    <t xml:space="preserve"> Total Months included</t>
  </si>
  <si>
    <t>/ YTD earnings</t>
  </si>
  <si>
    <t xml:space="preserve"> Months included in YTD Earnings</t>
  </si>
  <si>
    <t>/ months calculated based on user entered dates on YTD line</t>
  </si>
  <si>
    <t xml:space="preserve"> Average monthly earnings (YTD)</t>
  </si>
  <si>
    <t>/ Average monthly earnings calculated from YTD total</t>
  </si>
  <si>
    <t xml:space="preserve"> Total YTD and pervious years earnings</t>
  </si>
  <si>
    <t>/ Average monthly earnings calculated from totals of all years selected</t>
  </si>
  <si>
    <t xml:space="preserve"> Calculated Averages - YTD</t>
  </si>
  <si>
    <t>Average monthly earnings (YTD)</t>
  </si>
  <si>
    <t>Average calculated annual earnings</t>
  </si>
  <si>
    <t>Average calculated weekly earnings</t>
  </si>
  <si>
    <t>Hourly rate of pay</t>
  </si>
  <si>
    <t>Average calculated weekly hours</t>
  </si>
  <si>
    <t>Avg weekly hours display</t>
  </si>
  <si>
    <t>Weekly hours message</t>
  </si>
  <si>
    <t>/ Total days determined by taking Date To minus Date From for the particular period</t>
  </si>
  <si>
    <t xml:space="preserve"> Grand Total Days</t>
  </si>
  <si>
    <t>/ Total days determined by taking combined Date To minus Date From for all periods combined</t>
  </si>
  <si>
    <t>/ Total weeks determined by taking Total Days ÷ 7 for the particular period</t>
  </si>
  <si>
    <t xml:space="preserve"> Grand Total Weeks</t>
  </si>
  <si>
    <t>/ Total weeks determined by taking combined Total Days ÷ 7 for all periods combined</t>
  </si>
  <si>
    <t xml:space="preserve"> Total average earnings per week</t>
  </si>
  <si>
    <t>/ If Part-Time, Seasonal or Varies/Averaged is selected, then grand total income of all years cobmined ÷ grand total weeks, for any other selection Total YTD Earnings ÷ Total Weeks for YTD period</t>
  </si>
  <si>
    <t xml:space="preserve"> Earnings per hour</t>
  </si>
  <si>
    <t>/ If Part-Time, Seasonal or Varies/Averaged is selected, then use Rate of Pay, for any other selection Rate of Pay ÷ Pay Period Frequency periods</t>
  </si>
  <si>
    <t xml:space="preserve"> Average weekly hours</t>
  </si>
  <si>
    <t>/ Average weekly hours worked based on total average earnings per week ÷ earnings per hour.</t>
  </si>
  <si>
    <t xml:space="preserve"> Monthly Calculated Earnings</t>
  </si>
  <si>
    <t>/ Average monthly earnings, minimum of YTD average monthly earnings or total average monthly earnings, determined with figures from current rate of pay and base earnings section of the income worksheet (top section)</t>
  </si>
  <si>
    <t>/ YTD "Date To" less YTD "Date From" ÷ 365 X 12</t>
  </si>
  <si>
    <t xml:space="preserve"> Expected YTD earnings</t>
  </si>
  <si>
    <t>/ Monthly avearge earnings X months included in earnings</t>
  </si>
  <si>
    <t>MESSAGES</t>
  </si>
  <si>
    <t xml:space="preserve"> #1 - increase/decrease</t>
  </si>
  <si>
    <t xml:space="preserve"> #2 - Determination</t>
  </si>
  <si>
    <t>Total qualifying income to be determined.</t>
  </si>
  <si>
    <t>Current Rate of Pay</t>
  </si>
  <si>
    <t>Total qualifying income determined on current pay rate even if not supported with YTD earnings (may be due to pay increase earlier this year, or time off taken without pay, etc.). LOE required.</t>
  </si>
  <si>
    <t>Total qualifying income determined on current salary, and supported by YTD earnings.</t>
  </si>
  <si>
    <t>YTD lower</t>
  </si>
  <si>
    <t>Total qualifying income determined on YTD average monthly earnings which are lower than regular full-time salary.</t>
  </si>
  <si>
    <t>YTD and previous 2 yrs</t>
  </si>
  <si>
    <t>YTD and previous 1</t>
  </si>
  <si>
    <t>YTD only</t>
  </si>
  <si>
    <t xml:space="preserve"> #2 - included in calcs</t>
  </si>
  <si>
    <t xml:space="preserve"> #3 - average hours worked</t>
  </si>
  <si>
    <t xml:space="preserve"> #4 - expected YTD total</t>
  </si>
  <si>
    <t xml:space="preserve"> #5 - total average earnings</t>
  </si>
  <si>
    <t>BORROWER'S WRITTEN VOE (BONUS, COMSSIONS, OVERTIME)</t>
  </si>
  <si>
    <t>=IF(AND(D213=0,D215=0),0,IF(D219=TRUE,D218,IF(OR(D215=A206,D215=A207,D215=A209),J226,IF(D219=FALSE,MIN(D218,G223)))))</t>
  </si>
  <si>
    <t xml:space="preserve"> YTD (date)</t>
  </si>
  <si>
    <t>Earning variances message</t>
  </si>
  <si>
    <t xml:space="preserve"> Grand Total Monthly Earnings</t>
  </si>
  <si>
    <t>CO-BORROWER'S PAYSTUB</t>
  </si>
  <si>
    <t>C</t>
  </si>
  <si>
    <t>CO-BORROWER'S WRITTEN VOE (BONUS, COMSSIONS, OVERTIME)</t>
  </si>
  <si>
    <t>MILITARY INCOME CALCULATIONS</t>
  </si>
  <si>
    <t>Branch of Service</t>
  </si>
  <si>
    <t xml:space="preserve"> ~ SELECT BRANCH OF SERVICE ~</t>
  </si>
  <si>
    <t xml:space="preserve"> U.S. AIR FORCE / DEPT OF DEFENSE</t>
  </si>
  <si>
    <t xml:space="preserve"> U.S. ARMY / DEPT OF DEFENSE</t>
  </si>
  <si>
    <t xml:space="preserve"> U.S. COAST GUARD / DEPT OF DEFENSE</t>
  </si>
  <si>
    <t xml:space="preserve"> U.S. MARINE CORPS / DEPT OF DEFENSE</t>
  </si>
  <si>
    <t xml:space="preserve"> U.S. NATIONAL GUARD / RESERVES</t>
  </si>
  <si>
    <t xml:space="preserve"> U.S. NAVY / DEPT OF DEFENSE</t>
  </si>
  <si>
    <t xml:space="preserve"> ARMY RESERVES / DEPT OF DEFENSE</t>
  </si>
  <si>
    <t xml:space="preserve"> NAVY RESERVES / DEPT OF DEFENSE</t>
  </si>
  <si>
    <t xml:space="preserve"> MARINE CORPS RESERVES / DEPT OF DEFENSE</t>
  </si>
  <si>
    <t xml:space="preserve"> AIR FORCE RESERVES / DEPT OF DEFENSE</t>
  </si>
  <si>
    <t xml:space="preserve"> COAST GUARD RESERVES / DEPT OF DEFENSE</t>
  </si>
  <si>
    <t xml:space="preserve"> ARMY NATIONAL GUARD / DEPT OF DEFENSE</t>
  </si>
  <si>
    <t xml:space="preserve"> AIR NATIONAL GUARD / DEPT OF DEFENSE</t>
  </si>
  <si>
    <t xml:space="preserve"> U.S. DEPT OF HOMELAND SECURITY</t>
  </si>
  <si>
    <t xml:space="preserve"> OTHER</t>
  </si>
  <si>
    <t xml:space="preserve"> Statistics 1</t>
  </si>
  <si>
    <t>/ Percentage increase or decrease from selected years</t>
  </si>
  <si>
    <t xml:space="preserve"> Statistics 2</t>
  </si>
  <si>
    <t xml:space="preserve"> Statistics 3</t>
  </si>
  <si>
    <t xml:space="preserve"> YTD Earnings</t>
  </si>
  <si>
    <t xml:space="preserve"> Average monthly earnings (years combined)</t>
  </si>
  <si>
    <t>Grand Total Days</t>
  </si>
  <si>
    <t>Grand Total Weeks</t>
  </si>
  <si>
    <t xml:space="preserve"> Monthly Average Earnings</t>
  </si>
  <si>
    <t>BAS QUALIFYING EARNINGS</t>
  </si>
  <si>
    <t xml:space="preserve"> BAS for Officers</t>
  </si>
  <si>
    <t xml:space="preserve"> BAS for Enlisted personnel</t>
  </si>
  <si>
    <t xml:space="preserve"> Actual BAS</t>
  </si>
  <si>
    <t xml:space="preserve"> BAS Type</t>
  </si>
  <si>
    <t xml:space="preserve"> Total BAH</t>
  </si>
  <si>
    <t xml:space="preserve"> Total BAS</t>
  </si>
  <si>
    <t>RESIDUAL INCOME</t>
  </si>
  <si>
    <t xml:space="preserve"> See "Res Inc Data" hidden worksheet</t>
  </si>
  <si>
    <t>BACK TO WORK INITIATIVE</t>
  </si>
  <si>
    <t>Period</t>
  </si>
  <si>
    <t>Dates</t>
  </si>
  <si>
    <t xml:space="preserve"> Economic Event Date</t>
  </si>
  <si>
    <t xml:space="preserve"> Day after economic event</t>
  </si>
  <si>
    <t xml:space="preserve"> 6 mos post Economic Event</t>
  </si>
  <si>
    <t>Household</t>
  </si>
  <si>
    <t>Before</t>
  </si>
  <si>
    <t>After</t>
  </si>
  <si>
    <t xml:space="preserve"> Borrower</t>
  </si>
  <si>
    <t xml:space="preserve"> Other</t>
  </si>
  <si>
    <t>LineMsg1</t>
  </si>
  <si>
    <t>\ Borrower's total income beginning on ",MONTH(I335),"/",DAY(I335),"/",YEAR(I335)," and ending on ",MONTH(I336),"/",DAY(I336),"/",YEAR(I336)</t>
  </si>
  <si>
    <t>LineMsg2</t>
  </si>
  <si>
    <t>\ Other household income beginning on ",MONTH(H335),"/",DAY(H335),"/",YEAR(H335)," and ending on ",MONTH(H336),"/",DAY(H336),"/",YEAR(H336)</t>
  </si>
  <si>
    <t>LineMsg3</t>
  </si>
  <si>
    <t>\ Grand Total Household Income beginning on ",MONTH(H335),"/",DAY(H335),"/",YEAR(H335)," and ending on ",MONTH(H336),"/",DAY(H336),"/",YEAR(H336)</t>
  </si>
  <si>
    <t>LineMsg4</t>
  </si>
  <si>
    <t>\ Grand Total Household Monthly Income Average for the period of ",MONTH(H335),"/",DAY(H335),"/",YEAR(H335)," to ",MONTH(H336),"/",DAY(H336),"/",YEAR(H336)</t>
  </si>
  <si>
    <t>Message1</t>
  </si>
  <si>
    <t>\ Based on figures above, it appears the Economic Event caused a reduction in borrower's household income of ",ROUND(K341*100,1),"% for a period of at least six months following the economic event.")</t>
  </si>
  <si>
    <t>Message2</t>
  </si>
  <si>
    <t>=IF(K341=" "," ",IF(K341&gt;19.99%,G351,G352))</t>
  </si>
  <si>
    <t>Positive</t>
  </si>
  <si>
    <t>Borrower DOES appear to satisfy the FHA Back to Work Initiative income reduction requirements.</t>
  </si>
  <si>
    <t>Negative</t>
  </si>
  <si>
    <t>Borrower DOES NOT appear to satisfy the FHA Back to Work Initiative income reduction requirements.</t>
  </si>
  <si>
    <t>SELF-EMPLOYED INCOME ANALYSIS  /  SE FNMA 1084</t>
  </si>
  <si>
    <t xml:space="preserve"> Sections Sub-Totals</t>
  </si>
  <si>
    <t>1.  W2 from self employment</t>
  </si>
  <si>
    <t>2.  Schedule B</t>
  </si>
  <si>
    <t>3.  Schedule C</t>
  </si>
  <si>
    <t>4.  Schedule D</t>
  </si>
  <si>
    <t>5.  Schedule E</t>
  </si>
  <si>
    <t>6.  Schedule F</t>
  </si>
  <si>
    <t>7.  K1 - Partnership</t>
  </si>
  <si>
    <t>8.  Subtotal Form 1065</t>
  </si>
  <si>
    <t>8.  Percentage of ownership</t>
  </si>
  <si>
    <t>8.  Total Form 1065</t>
  </si>
  <si>
    <t>9.  K1 - S-Corp</t>
  </si>
  <si>
    <t>10.  Subtotal Form 1120S</t>
  </si>
  <si>
    <t>10.  Percentage of ownership</t>
  </si>
  <si>
    <t>10.  Total Form 1120S</t>
  </si>
  <si>
    <t>11.  Subtotal Form 1120</t>
  </si>
  <si>
    <t>11.  Dividends paid</t>
  </si>
  <si>
    <t>11.  Total Form 1120</t>
  </si>
  <si>
    <t>1 - W2 Income from Self-Employment</t>
  </si>
  <si>
    <t>2 - Schedule B</t>
  </si>
  <si>
    <t>3 - Schedule C</t>
  </si>
  <si>
    <t>4 - Schedule D</t>
  </si>
  <si>
    <t>5 - Schedule E</t>
  </si>
  <si>
    <t>6 - Schedule F</t>
  </si>
  <si>
    <t>7 - Schedule K-1 (Form 1065)</t>
  </si>
  <si>
    <t>8 - Form 1065</t>
  </si>
  <si>
    <t>9 - Schedule K-1 (Form 1120S)</t>
  </si>
  <si>
    <t>10 - Form 1120S</t>
  </si>
  <si>
    <t>11 - Form 1120</t>
  </si>
  <si>
    <t xml:space="preserve"> Grand Total</t>
  </si>
  <si>
    <t xml:space="preserve"> Year to Date Profit &amp; Loss</t>
  </si>
  <si>
    <t>Salary/Draws to Individual</t>
  </si>
  <si>
    <t>Net Profit X Percentage of Ownership</t>
  </si>
  <si>
    <t>Total Allowable Addbacks X % of Ownership</t>
  </si>
  <si>
    <t xml:space="preserve"> Months Covered in Year-to-Date Total</t>
  </si>
  <si>
    <t xml:space="preserve"> Average Monthly Income</t>
  </si>
  <si>
    <t xml:space="preserve"> Liquidity Worksheet</t>
  </si>
  <si>
    <t>Trend</t>
  </si>
  <si>
    <t xml:space="preserve"> Schedule L – Assets</t>
  </si>
  <si>
    <t xml:space="preserve">  Cash  (Line 1, Column d)</t>
  </si>
  <si>
    <t xml:space="preserve">  Trade Notes &amp; Accounts Receivable  (Line 2b, Column d)</t>
  </si>
  <si>
    <t xml:space="preserve">  Inventories  (Line 3, Column d)</t>
  </si>
  <si>
    <t xml:space="preserve"> Total Current Assets</t>
  </si>
  <si>
    <t xml:space="preserve"> Schedule L – Liabilities</t>
  </si>
  <si>
    <t xml:space="preserve">  Accounts Payable  (Line 16, Column d)</t>
  </si>
  <si>
    <t xml:space="preserve">  Mortgages, notes, bond payable &lt; 1 year</t>
  </si>
  <si>
    <t xml:space="preserve">  Other Current Liabilities  (Line 18, Column d)</t>
  </si>
  <si>
    <t xml:space="preserve"> Total Current Liabilities</t>
  </si>
  <si>
    <r>
      <rPr>
        <sz val="10"/>
        <rFont val="Arial"/>
        <family val="2"/>
      </rPr>
      <t xml:space="preserve"> Current Ratio - Total Assets </t>
    </r>
    <r>
      <rPr>
        <sz val="10"/>
        <rFont val="Calibri"/>
        <family val="2"/>
      </rPr>
      <t>÷</t>
    </r>
    <r>
      <rPr>
        <sz val="10"/>
        <rFont val="Arial"/>
        <family val="2"/>
      </rPr>
      <t xml:space="preserve"> Total Liabilities</t>
    </r>
  </si>
  <si>
    <t xml:space="preserve"> Quick Ratio - Current Assets ÷ Current Liabilities</t>
  </si>
  <si>
    <t>SELF-EMPLOYED INCOME ANALYSIS  /  SAM METHOD</t>
  </si>
  <si>
    <t>I. Form 1040 page 1</t>
  </si>
  <si>
    <t>II. Form 1040 page 1 Other</t>
  </si>
  <si>
    <t>III. Form 2016</t>
  </si>
  <si>
    <t>Business Miles</t>
  </si>
  <si>
    <t>Depreciation Rate</t>
  </si>
  <si>
    <t>Total Mileage Dep.</t>
  </si>
  <si>
    <t>SubTotal</t>
  </si>
  <si>
    <t>IV. Schedule B</t>
  </si>
  <si>
    <t>V. Schedule C</t>
  </si>
  <si>
    <t>VI. Schedule D</t>
  </si>
  <si>
    <t>VII. Form 6252</t>
  </si>
  <si>
    <t>VIII. Schedule E</t>
  </si>
  <si>
    <t>IX. Schdule F</t>
  </si>
  <si>
    <t xml:space="preserve"> Part 1: Schedule K-1</t>
  </si>
  <si>
    <t>X. Partnership K-1</t>
  </si>
  <si>
    <t xml:space="preserve"> Part 2: Form 1065</t>
  </si>
  <si>
    <t>XI. Form 1065 Subtotal</t>
  </si>
  <si>
    <t>% of ownership</t>
  </si>
  <si>
    <t>X. S-Corp K-1</t>
  </si>
  <si>
    <t xml:space="preserve"> Part 2: Form 1120-S</t>
  </si>
  <si>
    <t>XI. Form 1120-S Subtotal</t>
  </si>
  <si>
    <t xml:space="preserve"> XIV - Corporation</t>
  </si>
  <si>
    <t>XIV. Form 1120 Subtotal</t>
  </si>
  <si>
    <t>I - Form 1040 Self-Employed Wages</t>
  </si>
  <si>
    <t>II - Form 1040 Other Income</t>
  </si>
  <si>
    <t>III - Form 2106 (exclude if entering on 1003)</t>
  </si>
  <si>
    <t>IV - Schedule B</t>
  </si>
  <si>
    <t>V - Schedule C</t>
  </si>
  <si>
    <t>VI - Schedule D</t>
  </si>
  <si>
    <t>VII - Form 6252</t>
  </si>
  <si>
    <t>VIII - Schedule E</t>
  </si>
  <si>
    <t>IX - Schedule F</t>
  </si>
  <si>
    <t>X - Schedule K-1 (Form 1065)</t>
  </si>
  <si>
    <t>XI - Form 1065</t>
  </si>
  <si>
    <t>XII - Schedule K-1 (Form 1120S)</t>
  </si>
  <si>
    <t>XIII - Form 1120S</t>
  </si>
  <si>
    <t>XIV - Form 1120</t>
  </si>
  <si>
    <t>SCHEDULE C  —  BUSINESS #1</t>
  </si>
  <si>
    <t xml:space="preserve"> Business #1</t>
  </si>
  <si>
    <t xml:space="preserve"> Business Miles</t>
  </si>
  <si>
    <t xml:space="preserve"> Addback Factor</t>
  </si>
  <si>
    <t xml:space="preserve"> Addback Amount</t>
  </si>
  <si>
    <t xml:space="preserve"> Include in calcs</t>
  </si>
  <si>
    <t xml:space="preserve"> Sub-Total</t>
  </si>
  <si>
    <t xml:space="preserve"> Months included</t>
  </si>
  <si>
    <t xml:space="preserve"> Total Months Combined</t>
  </si>
  <si>
    <t xml:space="preserve"> Message</t>
  </si>
  <si>
    <t xml:space="preserve"> Total Average S/E Income</t>
  </si>
  <si>
    <t xml:space="preserve"> Statistics</t>
  </si>
  <si>
    <t xml:space="preserve"> Statistics Message Part 1</t>
  </si>
  <si>
    <t xml:space="preserve"> Statistics Message Part 2</t>
  </si>
  <si>
    <t xml:space="preserve"> Statistics Final Message</t>
  </si>
  <si>
    <t>SCHEDULE C  —  BUSINESS #2</t>
  </si>
  <si>
    <t xml:space="preserve"> Business #2</t>
  </si>
  <si>
    <t>SCHEDULE E - RENTAL 1</t>
  </si>
  <si>
    <t xml:space="preserve"> Rental Lease</t>
  </si>
  <si>
    <t xml:space="preserve"> Gross Monthly Rent</t>
  </si>
  <si>
    <t>\ Gross Monthly Rent from Rental Lease</t>
  </si>
  <si>
    <t xml:space="preserve"> Percentage of Gross Rents</t>
  </si>
  <si>
    <t>\ Percentage of Gross Monthly Rent from Rental Lease to be used in calculations</t>
  </si>
  <si>
    <t xml:space="preserve"> Calculated Gross Rents</t>
  </si>
  <si>
    <t>\ Calculated/Actual Gross Monthly Rent from Rental Lease to be used in calculations</t>
  </si>
  <si>
    <t xml:space="preserve"> Total PITI</t>
  </si>
  <si>
    <t>\ Total PITI</t>
  </si>
  <si>
    <t xml:space="preserve"> Net Monthly Rental Income</t>
  </si>
  <si>
    <t>\ Total Monthly Net Rental Income</t>
  </si>
  <si>
    <t xml:space="preserve"> Tax Returns</t>
  </si>
  <si>
    <t xml:space="preserve"> Monthly Gross Rental Income</t>
  </si>
  <si>
    <t>\ Monthly Gross Rental Income</t>
  </si>
  <si>
    <t xml:space="preserve"> Depreciation</t>
  </si>
  <si>
    <t>\ Depreciation</t>
  </si>
  <si>
    <t>\ Sub-Total</t>
  </si>
  <si>
    <t xml:space="preserve"> Insurance</t>
  </si>
  <si>
    <t>\ Hazard Insurance</t>
  </si>
  <si>
    <t xml:space="preserve"> Mortgage Interest</t>
  </si>
  <si>
    <t>\ Mortgage Insurance</t>
  </si>
  <si>
    <t xml:space="preserve"> Taxes</t>
  </si>
  <si>
    <t>\ Property Taxes</t>
  </si>
  <si>
    <t xml:space="preserve"> HOA Dues</t>
  </si>
  <si>
    <t xml:space="preserve">\ HOA Dues </t>
  </si>
  <si>
    <t xml:space="preserve"> Repairs / Remodel</t>
  </si>
  <si>
    <t>\ Amount of "Other Expenses" for non-recurring repairs/remodel</t>
  </si>
  <si>
    <t>\ Amount of "Other Expenses" to be included in calculations</t>
  </si>
  <si>
    <t xml:space="preserve"> Total Gross Income</t>
  </si>
  <si>
    <t>\ Total calculated gross income</t>
  </si>
  <si>
    <t xml:space="preserve"> Number of Months</t>
  </si>
  <si>
    <t>\ Number of months to be used in calculations</t>
  </si>
  <si>
    <t xml:space="preserve"> Gross Rental Income (calculated)</t>
  </si>
  <si>
    <t>\ Total calculated gross income combined from all years included in calculations</t>
  </si>
  <si>
    <t xml:space="preserve"> Total Gross Rental Income</t>
  </si>
  <si>
    <t>\ Total Monthly Gross Rental Income (amount to be entered on REO screen)</t>
  </si>
  <si>
    <t>SCHEDULE E - RENTAL 2</t>
  </si>
  <si>
    <t>SCHEDULE E - RENTAL 3</t>
  </si>
  <si>
    <t>SCHEDULE E - RENTAL 4</t>
  </si>
  <si>
    <t xml:space="preserve"> Total Loan Amount</t>
  </si>
  <si>
    <t xml:space="preserve"> W2 - Gross Wages</t>
  </si>
  <si>
    <t xml:space="preserve"> W2 - Fed Income Tax</t>
  </si>
  <si>
    <t xml:space="preserve"> W2 - Social Security</t>
  </si>
  <si>
    <t xml:space="preserve"> W2 - Medicare</t>
  </si>
  <si>
    <t xml:space="preserve"> W2 - State Inc Tax</t>
  </si>
  <si>
    <t xml:space="preserve"> W2 - Other Inc Tax</t>
  </si>
  <si>
    <t xml:space="preserve"> W2 - Total Payroll Ded</t>
  </si>
  <si>
    <t xml:space="preserve"> W2 - Net Income</t>
  </si>
  <si>
    <t xml:space="preserve"> S/E - Social Security</t>
  </si>
  <si>
    <t xml:space="preserve"> S/E - Medicare</t>
  </si>
  <si>
    <t xml:space="preserve"> S/E - Total Payroll Ded</t>
  </si>
  <si>
    <t xml:space="preserve"> S/E - Net Income</t>
  </si>
  <si>
    <t xml:space="preserve"> N/T - Gross Wages</t>
  </si>
  <si>
    <t xml:space="preserve"> N/T - Grossed Up Amt</t>
  </si>
  <si>
    <t xml:space="preserve"> N/T - Grand Total</t>
  </si>
  <si>
    <t xml:space="preserve"> PITIA</t>
  </si>
  <si>
    <t xml:space="preserve"> All Other Payments</t>
  </si>
  <si>
    <t xml:space="preserve"> Subj Prop Sq Ft</t>
  </si>
  <si>
    <t xml:space="preserve"> Housing Maintenance</t>
  </si>
  <si>
    <t xml:space="preserve"> Total All Debts</t>
  </si>
  <si>
    <t xml:space="preserve"> Grand Total Net Inc</t>
  </si>
  <si>
    <t xml:space="preserve"> Grand Total All Debt</t>
  </si>
  <si>
    <t xml:space="preserve"> Active Duty Selection</t>
  </si>
  <si>
    <t>Select for Veteran Borrowers</t>
  </si>
  <si>
    <t>Active Duty</t>
  </si>
  <si>
    <t>Separated from Service</t>
  </si>
  <si>
    <t xml:space="preserve"> Active Duty Selected</t>
  </si>
  <si>
    <t xml:space="preserve"> State Selected</t>
  </si>
  <si>
    <t xml:space="preserve"> Family Size</t>
  </si>
  <si>
    <t xml:space="preserve"> Active Duty</t>
  </si>
  <si>
    <t xml:space="preserve"> Residual Proposed</t>
  </si>
  <si>
    <t xml:space="preserve"> Residual Required</t>
  </si>
  <si>
    <t xml:space="preserve"> Residual Actual</t>
  </si>
  <si>
    <t xml:space="preserve"> Residual Difference ($)</t>
  </si>
  <si>
    <t xml:space="preserve"> Residual Difference (%)</t>
  </si>
  <si>
    <t xml:space="preserve"> Message Line 1</t>
  </si>
  <si>
    <t xml:space="preserve"> Message Line 2</t>
  </si>
  <si>
    <t xml:space="preserve"> Message Line 3</t>
  </si>
  <si>
    <t xml:space="preserve"> Message Line 4</t>
  </si>
  <si>
    <t>VA Residual Income Data for Loan Amounts =&gt; $80,000</t>
  </si>
  <si>
    <t>Area</t>
  </si>
  <si>
    <t>State Abbr</t>
  </si>
  <si>
    <t>1</t>
  </si>
  <si>
    <t>2</t>
  </si>
  <si>
    <t>3</t>
  </si>
  <si>
    <t>4</t>
  </si>
  <si>
    <t>5</t>
  </si>
  <si>
    <t>6</t>
  </si>
  <si>
    <t>7</t>
  </si>
  <si>
    <t>8</t>
  </si>
  <si>
    <t>9</t>
  </si>
  <si>
    <t>10</t>
  </si>
  <si>
    <t xml:space="preserve"> NORTHEAST</t>
  </si>
  <si>
    <t xml:space="preserve"> MIDWEST</t>
  </si>
  <si>
    <t xml:space="preserve"> SOUTH</t>
  </si>
  <si>
    <t xml:space="preserve"> WEST</t>
  </si>
  <si>
    <t>State</t>
  </si>
  <si>
    <t>Region</t>
  </si>
  <si>
    <t xml:space="preserve"> ALABAMA</t>
  </si>
  <si>
    <t>AL</t>
  </si>
  <si>
    <t>S</t>
  </si>
  <si>
    <t xml:space="preserve"> ALASKA</t>
  </si>
  <si>
    <t>AK</t>
  </si>
  <si>
    <t>W</t>
  </si>
  <si>
    <t xml:space="preserve"> ARIZONA</t>
  </si>
  <si>
    <t>AZ</t>
  </si>
  <si>
    <t xml:space="preserve"> ARKANSAS</t>
  </si>
  <si>
    <t>AR</t>
  </si>
  <si>
    <t xml:space="preserve"> CALIFORNIA</t>
  </si>
  <si>
    <t>CA</t>
  </si>
  <si>
    <t xml:space="preserve"> COLORADO</t>
  </si>
  <si>
    <t>CO</t>
  </si>
  <si>
    <t xml:space="preserve"> CONNECTICUT</t>
  </si>
  <si>
    <t>CT</t>
  </si>
  <si>
    <t>NE</t>
  </si>
  <si>
    <t xml:space="preserve"> DELAWARE</t>
  </si>
  <si>
    <t>DE</t>
  </si>
  <si>
    <t xml:space="preserve"> DISTRICT OF COLUMBIA</t>
  </si>
  <si>
    <t>DC</t>
  </si>
  <si>
    <t xml:space="preserve"> FLORIDA</t>
  </si>
  <si>
    <t>FL</t>
  </si>
  <si>
    <t xml:space="preserve"> GEORGIA</t>
  </si>
  <si>
    <t>GA</t>
  </si>
  <si>
    <t xml:space="preserve"> HAWAII</t>
  </si>
  <si>
    <t>HI</t>
  </si>
  <si>
    <t xml:space="preserve"> IDAHO</t>
  </si>
  <si>
    <t>ID</t>
  </si>
  <si>
    <t xml:space="preserve"> ILLINOIS</t>
  </si>
  <si>
    <t>IL</t>
  </si>
  <si>
    <t>MW</t>
  </si>
  <si>
    <t xml:space="preserve"> INDIANA</t>
  </si>
  <si>
    <t>IN</t>
  </si>
  <si>
    <t xml:space="preserve"> IOWA</t>
  </si>
  <si>
    <t>IA</t>
  </si>
  <si>
    <t xml:space="preserve"> KANSAS</t>
  </si>
  <si>
    <t>KS</t>
  </si>
  <si>
    <t xml:space="preserve"> KENTUCKY </t>
  </si>
  <si>
    <t>KY</t>
  </si>
  <si>
    <t xml:space="preserve"> LOUISIANA</t>
  </si>
  <si>
    <t>LA</t>
  </si>
  <si>
    <t xml:space="preserve"> MAINE</t>
  </si>
  <si>
    <t>ME</t>
  </si>
  <si>
    <t xml:space="preserve"> MARYLAND</t>
  </si>
  <si>
    <t>MD</t>
  </si>
  <si>
    <t xml:space="preserve"> MASSACHUSETTS</t>
  </si>
  <si>
    <t>MA</t>
  </si>
  <si>
    <t xml:space="preserve"> MICHIGAN</t>
  </si>
  <si>
    <t>MI</t>
  </si>
  <si>
    <t xml:space="preserve"> MINNESOTA</t>
  </si>
  <si>
    <t>MN</t>
  </si>
  <si>
    <t xml:space="preserve"> MISSISSIPPI</t>
  </si>
  <si>
    <t>MS</t>
  </si>
  <si>
    <t xml:space="preserve"> MISSOURI</t>
  </si>
  <si>
    <t>MO</t>
  </si>
  <si>
    <t xml:space="preserve"> MONTANA</t>
  </si>
  <si>
    <t>MT</t>
  </si>
  <si>
    <t xml:space="preserve"> NEBRASKA</t>
  </si>
  <si>
    <t xml:space="preserve"> NEVADA</t>
  </si>
  <si>
    <t>NV</t>
  </si>
  <si>
    <t xml:space="preserve"> NEW HAMPSHIRE</t>
  </si>
  <si>
    <t>NH</t>
  </si>
  <si>
    <t xml:space="preserve"> NEW JERSEY</t>
  </si>
  <si>
    <t>NJ</t>
  </si>
  <si>
    <t xml:space="preserve"> NEW MEXICO</t>
  </si>
  <si>
    <t>NM</t>
  </si>
  <si>
    <t xml:space="preserve"> NEW YORK</t>
  </si>
  <si>
    <t>NY</t>
  </si>
  <si>
    <t xml:space="preserve"> NORTH CAROLINA</t>
  </si>
  <si>
    <t>NC</t>
  </si>
  <si>
    <t xml:space="preserve"> NORTH DAKOTA</t>
  </si>
  <si>
    <t>ND</t>
  </si>
  <si>
    <t xml:space="preserve"> OHIO</t>
  </si>
  <si>
    <t>OH</t>
  </si>
  <si>
    <t xml:space="preserve"> OKLAHOMA</t>
  </si>
  <si>
    <t>OK</t>
  </si>
  <si>
    <t xml:space="preserve"> OREGON</t>
  </si>
  <si>
    <t>OR</t>
  </si>
  <si>
    <t xml:space="preserve"> PENNSYLVANIA</t>
  </si>
  <si>
    <t>PA</t>
  </si>
  <si>
    <t xml:space="preserve"> PUERTO RICO</t>
  </si>
  <si>
    <t>PR</t>
  </si>
  <si>
    <t xml:space="preserve"> RHODE ISLAND</t>
  </si>
  <si>
    <t>RI</t>
  </si>
  <si>
    <t xml:space="preserve"> SOUTH CAROLINA</t>
  </si>
  <si>
    <t>SC</t>
  </si>
  <si>
    <t xml:space="preserve"> SOUTH DAKOTA</t>
  </si>
  <si>
    <t>SD</t>
  </si>
  <si>
    <t xml:space="preserve"> TENNESSEE</t>
  </si>
  <si>
    <t>TN</t>
  </si>
  <si>
    <t xml:space="preserve"> TEXAS</t>
  </si>
  <si>
    <t>TX</t>
  </si>
  <si>
    <t xml:space="preserve"> UTAH</t>
  </si>
  <si>
    <t>UT</t>
  </si>
  <si>
    <t xml:space="preserve"> VERMONT</t>
  </si>
  <si>
    <t>VT</t>
  </si>
  <si>
    <t xml:space="preserve"> VIRGINIA</t>
  </si>
  <si>
    <t>VA</t>
  </si>
  <si>
    <t xml:space="preserve"> WASHINGTON</t>
  </si>
  <si>
    <t>WA</t>
  </si>
  <si>
    <t xml:space="preserve"> WEST VIRGINIA</t>
  </si>
  <si>
    <t>WV</t>
  </si>
  <si>
    <t xml:space="preserve"> WISCONSIN</t>
  </si>
  <si>
    <t>WI</t>
  </si>
  <si>
    <t xml:space="preserve"> WYOMING</t>
  </si>
  <si>
    <t>WY</t>
  </si>
  <si>
    <t>VA Residual Income Data for Loan Amounts &lt; $80,000</t>
  </si>
  <si>
    <t>MCC Credit Calculations</t>
  </si>
  <si>
    <t xml:space="preserve"> Original Loan Amount</t>
  </si>
  <si>
    <t xml:space="preserve"> Interest Rate</t>
  </si>
  <si>
    <t xml:space="preserve"> Total Annual Interest</t>
  </si>
  <si>
    <t xml:space="preserve"> Annual Tax Credit Percentage</t>
  </si>
  <si>
    <t xml:space="preserve"> Total Annual Tax Credit</t>
  </si>
  <si>
    <t xml:space="preserve"> Total Annual Tax Credit Divided by 12 Months for Monthly Credit</t>
  </si>
  <si>
    <t xml:space="preserve"> Monthly Tax Credit Benefit for Qualifying Purposes</t>
  </si>
  <si>
    <t>AVERAGE EARNINGS (PAST 2 YEARS)</t>
  </si>
  <si>
    <t>Total Earnings (previous 2 years)</t>
  </si>
  <si>
    <t>Total Months Included in Total Earnings</t>
  </si>
  <si>
    <t>Average Total Monthly Earnings</t>
  </si>
  <si>
    <t>Total Average Earnings for the past 2 years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</si>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</sst>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 #,##0_);_(* \(#,##0\);_(* &quot;-&quot;??_);_(@_)"/>
    <numFmt numFmtId="166" formatCode="_(&quot;$&quot;* #,##0.00_);_(&quot;$&quot;* \(#,##0.00\);_(&quot;$&quot;* &quot;-&quot;_);_(@_)"/>
    <numFmt numFmtId="167" formatCode="0.0000"/>
    <numFmt numFmtId="168" formatCode="mm/dd/yyyy;@"/>
    <numFmt numFmtId="169" formatCode="0.0%"/>
    <numFmt numFmtId="170" formatCode="_(* #,##0.0_);_(* \(#,##0.0\);_(* &quot;-&quot;??_);_(@_)"/>
    <numFmt numFmtId="171" formatCode="0.0"/>
    <numFmt numFmtId="172" formatCode="#,##0.0_);\(#,##0.0\)"/>
    <numFmt numFmtId="173" formatCode="_(* #,##0.0_);_(* \(#,##0.0\);_(* &quot;-&quot;_);_(@_)"/>
    <numFmt numFmtId="174" formatCode="0_);\(0\)"/>
    <numFmt numFmtId="175" formatCode="0_);[Red]\(0\)"/>
  </numFmts>
  <fonts count="38">
    <font>
      <sz val="10"/>
      <name val="Arial"/>
      <charset val="134"/>
    </font>
    <font>
      <b/>
      <sz val="10"/>
      <name val="Arial"/>
      <family val="2"/>
    </font>
    <font>
      <b/>
      <sz val="12"/>
      <name val="Arial"/>
      <family val="2"/>
    </font>
    <font>
      <b/>
      <sz val="14"/>
      <name val="Arial"/>
      <family val="2"/>
    </font>
    <font>
      <sz val="8"/>
      <name val="Arial"/>
      <family val="2"/>
    </font>
    <font>
      <sz val="11"/>
      <name val="Arial Rounded MT Bold"/>
      <family val="2"/>
    </font>
    <font>
      <sz val="10"/>
      <name val="Arial Rounded MT Bold"/>
      <family val="2"/>
    </font>
    <font>
      <sz val="10"/>
      <name val="Tahoma"/>
      <family val="2"/>
    </font>
    <font>
      <b/>
      <sz val="10"/>
      <name val="Tahoma"/>
      <family val="2"/>
    </font>
    <font>
      <i/>
      <sz val="8"/>
      <name val="Arial"/>
      <family val="2"/>
    </font>
    <font>
      <b/>
      <i/>
      <sz val="10"/>
      <name val="Arial"/>
      <family val="2"/>
    </font>
    <font>
      <b/>
      <sz val="11"/>
      <name val="Arial"/>
      <family val="2"/>
    </font>
    <font>
      <sz val="9"/>
      <name val="Arial"/>
      <family val="2"/>
    </font>
    <font>
      <sz val="10"/>
      <color rgb="FF0070C0"/>
      <name val="Arial"/>
      <family val="2"/>
    </font>
    <font>
      <b/>
      <sz val="12"/>
      <color theme="0"/>
      <name val="Arial"/>
      <family val="2"/>
    </font>
    <font>
      <sz val="10"/>
      <color rgb="FF000099"/>
      <name val="Arial"/>
      <family val="2"/>
    </font>
    <font>
      <b/>
      <u/>
      <sz val="10"/>
      <name val="Arial"/>
      <family val="2"/>
    </font>
    <font>
      <b/>
      <sz val="8"/>
      <name val="Arial"/>
      <family val="2"/>
    </font>
    <font>
      <b/>
      <u/>
      <sz val="8"/>
      <name val="Arial"/>
      <family val="2"/>
    </font>
    <font>
      <sz val="8"/>
      <name val="Calibri"/>
      <family val="2"/>
    </font>
    <font>
      <sz val="16"/>
      <color theme="1"/>
      <name val="Calibri"/>
      <family val="2"/>
      <scheme val="minor"/>
    </font>
    <font>
      <b/>
      <sz val="18"/>
      <color theme="1"/>
      <name val="Calibri"/>
      <family val="2"/>
      <scheme val="minor"/>
    </font>
    <font>
      <b/>
      <sz val="16"/>
      <color theme="1"/>
      <name val="Calibri"/>
      <family val="2"/>
      <scheme val="minor"/>
    </font>
    <font>
      <sz val="16"/>
      <color theme="1"/>
      <name val="Wingdings"/>
      <charset val="2"/>
    </font>
    <font>
      <sz val="14"/>
      <color theme="1"/>
      <name val="Wingdings"/>
      <charset val="2"/>
    </font>
    <font>
      <i/>
      <sz val="16"/>
      <color theme="1"/>
      <name val="Calibri"/>
      <family val="2"/>
      <scheme val="minor"/>
    </font>
    <font>
      <b/>
      <sz val="16"/>
      <color rgb="FFC0504D"/>
      <name val="Calibri"/>
      <family val="2"/>
      <scheme val="minor"/>
    </font>
    <font>
      <sz val="14"/>
      <color theme="1"/>
      <name val="Calibri"/>
      <family val="2"/>
      <scheme val="minor"/>
    </font>
    <font>
      <b/>
      <sz val="16"/>
      <color rgb="FFC00000"/>
      <name val="Calibri"/>
      <family val="2"/>
      <scheme val="minor"/>
    </font>
    <font>
      <b/>
      <sz val="14"/>
      <color theme="1"/>
      <name val="Calibri"/>
      <family val="2"/>
      <scheme val="minor"/>
    </font>
    <font>
      <b/>
      <i/>
      <sz val="14"/>
      <color theme="1"/>
      <name val="Calibri"/>
      <family val="2"/>
      <scheme val="minor"/>
    </font>
    <font>
      <sz val="11"/>
      <color theme="1"/>
      <name val="Calibri"/>
      <family val="2"/>
      <scheme val="minor"/>
    </font>
    <font>
      <sz val="11"/>
      <color theme="0"/>
      <name val="Calibri"/>
      <family val="2"/>
      <scheme val="minor"/>
    </font>
    <font>
      <sz val="16"/>
      <color rgb="FF1F497D"/>
      <name val="Calibri"/>
      <family val="2"/>
      <scheme val="minor"/>
    </font>
    <font>
      <sz val="10"/>
      <name val="Calibri"/>
      <family val="2"/>
    </font>
    <font>
      <b/>
      <sz val="16"/>
      <color rgb="FFFF0000"/>
      <name val="Calibri"/>
      <family val="2"/>
      <scheme val="minor"/>
    </font>
    <font>
      <i/>
      <u/>
      <sz val="8"/>
      <name val="Arial"/>
      <family val="2"/>
    </font>
    <font>
      <sz val="10"/>
      <name val="Arial"/>
      <family val="2"/>
    </font>
  </fonts>
  <fills count="23">
    <fill>
      <patternFill patternType="none"/>
    </fill>
    <fill>
      <patternFill patternType="gray125"/>
    </fill>
    <fill>
      <patternFill patternType="solid">
        <fgColor theme="2"/>
        <bgColor indexed="64"/>
      </patternFill>
    </fill>
    <fill>
      <patternFill patternType="solid">
        <fgColor indexed="44"/>
        <bgColor indexed="64"/>
      </patternFill>
    </fill>
    <fill>
      <patternFill patternType="solid">
        <fgColor indexed="22"/>
        <bgColor indexed="64"/>
      </patternFill>
    </fill>
    <fill>
      <patternFill patternType="solid">
        <fgColor theme="3" tint="0.79992065187536243"/>
        <bgColor indexed="64"/>
      </patternFill>
    </fill>
    <fill>
      <patternFill patternType="solid">
        <fgColor rgb="FFFFFFE6"/>
        <bgColor indexed="64"/>
      </patternFill>
    </fill>
    <fill>
      <patternFill patternType="solid">
        <fgColor theme="2" tint="-9.9978637043366805E-2"/>
        <bgColor indexed="64"/>
      </patternFill>
    </fill>
    <fill>
      <patternFill patternType="solid">
        <fgColor rgb="FF800000"/>
        <bgColor indexed="64"/>
      </patternFill>
    </fill>
    <fill>
      <patternFill patternType="solid">
        <fgColor theme="6" tint="0.59999389629810485"/>
        <bgColor indexed="64"/>
      </patternFill>
    </fill>
    <fill>
      <patternFill patternType="solid">
        <fgColor rgb="FFFFFFEB"/>
        <bgColor indexed="64"/>
      </patternFill>
    </fill>
    <fill>
      <patternFill patternType="solid">
        <fgColor theme="0" tint="-0.14993743705557422"/>
        <bgColor indexed="64"/>
      </patternFill>
    </fill>
    <fill>
      <patternFill patternType="solid">
        <fgColor theme="6" tint="0.39991454817346722"/>
        <bgColor indexed="64"/>
      </patternFill>
    </fill>
    <fill>
      <patternFill patternType="solid">
        <fgColor theme="4" tint="0.59999389629810485"/>
        <bgColor indexed="64"/>
      </patternFill>
    </fill>
    <fill>
      <patternFill patternType="solid">
        <fgColor theme="9" tint="0.79992065187536243"/>
        <bgColor indexed="64"/>
      </patternFill>
    </fill>
    <fill>
      <patternFill patternType="solid">
        <fgColor rgb="FFDBE5F1"/>
        <bgColor indexed="64"/>
      </patternFill>
    </fill>
    <fill>
      <patternFill patternType="solid">
        <fgColor rgb="FFFFFFFF"/>
        <bgColor indexed="64"/>
      </patternFill>
    </fill>
    <fill>
      <patternFill patternType="solid">
        <fgColor rgb="FFF2F2F2"/>
        <bgColor indexed="64"/>
      </patternFill>
    </fill>
    <fill>
      <patternFill patternType="solid">
        <fgColor rgb="FF8DB3E2"/>
        <bgColor indexed="64"/>
      </patternFill>
    </fill>
    <fill>
      <patternFill patternType="solid">
        <fgColor rgb="FFDAEEF3"/>
        <bgColor indexed="64"/>
      </patternFill>
    </fill>
    <fill>
      <patternFill patternType="solid">
        <fgColor rgb="FFC2D69B"/>
        <bgColor indexed="64"/>
      </patternFill>
    </fill>
    <fill>
      <patternFill patternType="solid">
        <fgColor rgb="FFFDE9D9"/>
        <bgColor indexed="64"/>
      </patternFill>
    </fill>
    <fill>
      <patternFill patternType="solid">
        <fgColor theme="5"/>
        <bgColor indexed="64"/>
      </patternFill>
    </fill>
  </fills>
  <borders count="89">
    <border>
      <left/>
      <right/>
      <top/>
      <bottom/>
      <diagonal/>
    </border>
    <border>
      <left/>
      <right/>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right/>
      <top/>
      <bottom style="thick">
        <color auto="1"/>
      </bottom>
      <diagonal/>
    </border>
    <border>
      <left/>
      <right/>
      <top style="thick">
        <color auto="1"/>
      </top>
      <bottom/>
      <diagonal/>
    </border>
    <border>
      <left style="thin">
        <color auto="1"/>
      </left>
      <right style="thin">
        <color auto="1"/>
      </right>
      <top style="thin">
        <color auto="1"/>
      </top>
      <bottom style="thin">
        <color auto="1"/>
      </bottom>
      <diagonal/>
    </border>
    <border>
      <left/>
      <right/>
      <top style="thin">
        <color auto="1"/>
      </top>
      <bottom style="thick">
        <color auto="1"/>
      </bottom>
      <diagonal/>
    </border>
    <border>
      <left/>
      <right style="thin">
        <color auto="1"/>
      </right>
      <top style="thin">
        <color auto="1"/>
      </top>
      <bottom style="thin">
        <color auto="1"/>
      </bottom>
      <diagonal/>
    </border>
    <border>
      <left/>
      <right style="thick">
        <color auto="1"/>
      </right>
      <top style="thin">
        <color auto="1"/>
      </top>
      <bottom/>
      <diagonal/>
    </border>
    <border>
      <left style="thick">
        <color auto="1"/>
      </left>
      <right/>
      <top/>
      <bottom/>
      <diagonal/>
    </border>
    <border>
      <left/>
      <right style="thick">
        <color auto="1"/>
      </right>
      <top/>
      <bottom/>
      <diagonal/>
    </border>
    <border>
      <left/>
      <right style="thick">
        <color auto="1"/>
      </right>
      <top/>
      <bottom style="thick">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rgb="FF000080"/>
      </left>
      <right/>
      <top style="medium">
        <color rgb="FF000080"/>
      </top>
      <bottom/>
      <diagonal/>
    </border>
    <border>
      <left/>
      <right/>
      <top style="medium">
        <color rgb="FF000080"/>
      </top>
      <bottom/>
      <diagonal/>
    </border>
    <border>
      <left style="medium">
        <color rgb="FF000080"/>
      </left>
      <right/>
      <top/>
      <bottom/>
      <diagonal/>
    </border>
    <border>
      <left style="medium">
        <color rgb="FF000080"/>
      </left>
      <right/>
      <top/>
      <bottom style="medium">
        <color rgb="FF000080"/>
      </bottom>
      <diagonal/>
    </border>
    <border>
      <left/>
      <right/>
      <top/>
      <bottom style="medium">
        <color rgb="FF000080"/>
      </bottom>
      <diagonal/>
    </border>
    <border>
      <left style="thin">
        <color theme="1"/>
      </left>
      <right/>
      <top style="thin">
        <color theme="1"/>
      </top>
      <bottom style="thin">
        <color theme="1"/>
      </bottom>
      <diagonal/>
    </border>
    <border>
      <left/>
      <right/>
      <top style="thin">
        <color theme="1"/>
      </top>
      <bottom style="thin">
        <color theme="1"/>
      </bottom>
      <diagonal/>
    </border>
    <border>
      <left/>
      <right/>
      <top style="medium">
        <color rgb="FF000080"/>
      </top>
      <bottom style="thin">
        <color auto="1"/>
      </bottom>
      <diagonal/>
    </border>
    <border>
      <left/>
      <right/>
      <top style="thin">
        <color auto="1"/>
      </top>
      <bottom style="medium">
        <color rgb="FF000080"/>
      </bottom>
      <diagonal/>
    </border>
    <border>
      <left/>
      <right style="thin">
        <color theme="1"/>
      </right>
      <top style="thin">
        <color theme="1"/>
      </top>
      <bottom style="thin">
        <color theme="1"/>
      </bottom>
      <diagonal/>
    </border>
    <border>
      <left/>
      <right style="medium">
        <color rgb="FF000080"/>
      </right>
      <top style="medium">
        <color rgb="FF000080"/>
      </top>
      <bottom/>
      <diagonal/>
    </border>
    <border>
      <left/>
      <right style="medium">
        <color rgb="FF000080"/>
      </right>
      <top/>
      <bottom/>
      <diagonal/>
    </border>
    <border>
      <left/>
      <right style="medium">
        <color rgb="FF000080"/>
      </right>
      <top/>
      <bottom style="medium">
        <color rgb="FF000080"/>
      </bottom>
      <diagonal/>
    </border>
    <border>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rgb="FF808080"/>
      </right>
      <top/>
      <bottom/>
      <diagonal/>
    </border>
    <border>
      <left style="medium">
        <color rgb="FF808080"/>
      </left>
      <right/>
      <top/>
      <bottom/>
      <diagonal/>
    </border>
    <border>
      <left/>
      <right style="medium">
        <color rgb="FF808080"/>
      </right>
      <top/>
      <bottom/>
      <diagonal/>
    </border>
    <border>
      <left style="medium">
        <color rgb="FF808080"/>
      </left>
      <right style="medium">
        <color rgb="FF808080"/>
      </right>
      <top/>
      <bottom/>
      <diagonal/>
    </border>
    <border>
      <left style="medium">
        <color auto="1"/>
      </left>
      <right style="medium">
        <color rgb="FF808080"/>
      </right>
      <top/>
      <bottom style="medium">
        <color rgb="FF808080"/>
      </bottom>
      <diagonal/>
    </border>
    <border>
      <left style="medium">
        <color rgb="FF808080"/>
      </left>
      <right/>
      <top/>
      <bottom style="medium">
        <color rgb="FF808080"/>
      </bottom>
      <diagonal/>
    </border>
    <border>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right/>
      <top style="medium">
        <color rgb="FF808080"/>
      </top>
      <bottom style="medium">
        <color rgb="FF808080"/>
      </bottom>
      <diagonal/>
    </border>
    <border>
      <left style="medium">
        <color auto="1"/>
      </left>
      <right/>
      <top style="medium">
        <color rgb="FF808080"/>
      </top>
      <bottom style="medium">
        <color auto="1"/>
      </bottom>
      <diagonal/>
    </border>
    <border>
      <left/>
      <right/>
      <top style="medium">
        <color rgb="FF808080"/>
      </top>
      <bottom style="medium">
        <color auto="1"/>
      </bottom>
      <diagonal/>
    </border>
    <border>
      <left/>
      <right style="medium">
        <color rgb="FF808080"/>
      </right>
      <top style="medium">
        <color rgb="FF808080"/>
      </top>
      <bottom style="medium">
        <color auto="1"/>
      </bottom>
      <diagonal/>
    </border>
    <border>
      <left/>
      <right style="medium">
        <color rgb="FF808080"/>
      </right>
      <top/>
      <bottom style="medium">
        <color auto="1"/>
      </bottom>
      <diagonal/>
    </border>
    <border>
      <left style="medium">
        <color rgb="FF808080"/>
      </left>
      <right style="medium">
        <color rgb="FF808080"/>
      </right>
      <top style="medium">
        <color rgb="FF808080"/>
      </top>
      <bottom style="medium">
        <color auto="1"/>
      </bottom>
      <diagonal/>
    </border>
    <border>
      <left style="medium">
        <color auto="1"/>
      </left>
      <right/>
      <top style="medium">
        <color auto="1"/>
      </top>
      <bottom style="medium">
        <color rgb="FF0F243E"/>
      </bottom>
      <diagonal/>
    </border>
    <border>
      <left/>
      <right style="medium">
        <color rgb="FF0F243E"/>
      </right>
      <top style="medium">
        <color auto="1"/>
      </top>
      <bottom style="medium">
        <color rgb="FF0F243E"/>
      </bottom>
      <diagonal/>
    </border>
    <border>
      <left style="medium">
        <color rgb="FF0F243E"/>
      </left>
      <right style="medium">
        <color rgb="FF0F243E"/>
      </right>
      <top style="medium">
        <color rgb="FF0F243E"/>
      </top>
      <bottom style="medium">
        <color rgb="FF0F243E"/>
      </bottom>
      <diagonal/>
    </border>
    <border>
      <left style="medium">
        <color auto="1"/>
      </left>
      <right/>
      <top style="medium">
        <color rgb="FF0F243E"/>
      </top>
      <bottom style="medium">
        <color rgb="FF0F243E"/>
      </bottom>
      <diagonal/>
    </border>
    <border>
      <left/>
      <right style="medium">
        <color rgb="FF0F243E"/>
      </right>
      <top style="medium">
        <color rgb="FF0F243E"/>
      </top>
      <bottom style="medium">
        <color rgb="FF0F243E"/>
      </bottom>
      <diagonal/>
    </border>
    <border>
      <left style="medium">
        <color rgb="FF0F243E"/>
      </left>
      <right/>
      <top style="medium">
        <color rgb="FF0F243E"/>
      </top>
      <bottom style="medium">
        <color rgb="FF0F243E"/>
      </bottom>
      <diagonal/>
    </border>
    <border>
      <left/>
      <right/>
      <top style="medium">
        <color rgb="FF0F243E"/>
      </top>
      <bottom style="medium">
        <color rgb="FF0F243E"/>
      </bottom>
      <diagonal/>
    </border>
    <border>
      <left style="medium">
        <color auto="1"/>
      </left>
      <right/>
      <top style="medium">
        <color rgb="FF0F243E"/>
      </top>
      <bottom style="medium">
        <color auto="1"/>
      </bottom>
      <diagonal/>
    </border>
    <border>
      <left/>
      <right style="medium">
        <color rgb="FF0F243E"/>
      </right>
      <top style="medium">
        <color rgb="FF0F243E"/>
      </top>
      <bottom style="medium">
        <color auto="1"/>
      </bottom>
      <diagonal/>
    </border>
    <border>
      <left style="medium">
        <color rgb="FF808080"/>
      </left>
      <right style="medium">
        <color rgb="FF808080"/>
      </right>
      <top style="medium">
        <color auto="1"/>
      </top>
      <bottom/>
      <diagonal/>
    </border>
    <border>
      <left style="medium">
        <color rgb="FF808080"/>
      </left>
      <right style="medium">
        <color auto="1"/>
      </right>
      <top/>
      <bottom/>
      <diagonal/>
    </border>
    <border>
      <left style="medium">
        <color rgb="FF808080"/>
      </left>
      <right style="medium">
        <color auto="1"/>
      </right>
      <top/>
      <bottom style="medium">
        <color rgb="FF808080"/>
      </bottom>
      <diagonal/>
    </border>
    <border>
      <left style="medium">
        <color rgb="FF808080"/>
      </left>
      <right style="medium">
        <color auto="1"/>
      </right>
      <top style="medium">
        <color rgb="FF808080"/>
      </top>
      <bottom style="medium">
        <color rgb="FF808080"/>
      </bottom>
      <diagonal/>
    </border>
    <border>
      <left style="medium">
        <color rgb="FF808080"/>
      </left>
      <right/>
      <top style="medium">
        <color rgb="FF808080"/>
      </top>
      <bottom style="medium">
        <color auto="1"/>
      </bottom>
      <diagonal/>
    </border>
    <border>
      <left style="medium">
        <color rgb="FF808080"/>
      </left>
      <right style="medium">
        <color auto="1"/>
      </right>
      <top style="medium">
        <color rgb="FF808080"/>
      </top>
      <bottom style="medium">
        <color auto="1"/>
      </bottom>
      <diagonal/>
    </border>
    <border>
      <left style="medium">
        <color rgb="FF0F243E"/>
      </left>
      <right style="medium">
        <color auto="1"/>
      </right>
      <top style="medium">
        <color rgb="FF0F243E"/>
      </top>
      <bottom style="medium">
        <color rgb="FF0F243E"/>
      </bottom>
      <diagonal/>
    </border>
    <border>
      <left/>
      <right style="medium">
        <color auto="1"/>
      </right>
      <top style="medium">
        <color rgb="FF0F243E"/>
      </top>
      <bottom style="medium">
        <color rgb="FF0F243E"/>
      </bottom>
      <diagonal/>
    </border>
  </borders>
  <cellStyleXfs count="11">
    <xf numFmtId="0" fontId="0" fillId="0" borderId="0"/>
    <xf numFmtId="43" fontId="3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44" fontId="37" fillId="0" borderId="0" applyFont="0" applyFill="0" applyBorder="0" applyAlignment="0" applyProtection="0"/>
    <xf numFmtId="0" fontId="37" fillId="0" borderId="0"/>
    <xf numFmtId="0" fontId="31" fillId="0" borderId="0"/>
    <xf numFmtId="0" fontId="31" fillId="0" borderId="0"/>
    <xf numFmtId="0" fontId="37" fillId="0" borderId="0"/>
    <xf numFmtId="0" fontId="32" fillId="22" borderId="0" applyNumberFormat="0" applyBorder="0" applyAlignment="0" applyProtection="0"/>
    <xf numFmtId="44" fontId="37" fillId="0" borderId="0" applyFont="0" applyFill="0" applyBorder="0" applyAlignment="0" applyProtection="0"/>
  </cellStyleXfs>
  <cellXfs count="510">
    <xf numFmtId="0" fontId="0" fillId="0" borderId="0" xfId="0"/>
    <xf numFmtId="0" fontId="37" fillId="0" borderId="0" xfId="5"/>
    <xf numFmtId="0" fontId="37" fillId="2" borderId="0" xfId="5" applyFill="1"/>
    <xf numFmtId="0" fontId="37" fillId="2" borderId="0" xfId="5" applyFill="1" applyAlignment="1">
      <alignment horizontal="center"/>
    </xf>
    <xf numFmtId="0" fontId="37" fillId="0" borderId="0" xfId="5" applyAlignment="1">
      <alignment horizontal="center"/>
    </xf>
    <xf numFmtId="0" fontId="2" fillId="0" borderId="0" xfId="5" applyFont="1"/>
    <xf numFmtId="0" fontId="37" fillId="0" borderId="3" xfId="5" applyBorder="1"/>
    <xf numFmtId="0" fontId="37" fillId="0" borderId="5" xfId="5" applyBorder="1"/>
    <xf numFmtId="0" fontId="37" fillId="0" borderId="8" xfId="5" applyBorder="1"/>
    <xf numFmtId="0" fontId="37" fillId="0" borderId="5" xfId="5" applyBorder="1" applyAlignment="1">
      <alignment horizontal="left"/>
    </xf>
    <xf numFmtId="0" fontId="37" fillId="0" borderId="0" xfId="5" applyAlignment="1">
      <alignment horizontal="center" vertical="center"/>
    </xf>
    <xf numFmtId="0" fontId="37" fillId="0" borderId="3" xfId="5" applyBorder="1" applyAlignment="1">
      <alignment horizontal="left"/>
    </xf>
    <xf numFmtId="0" fontId="0" fillId="2" borderId="0" xfId="0" applyFill="1"/>
    <xf numFmtId="0" fontId="9" fillId="2" borderId="0" xfId="0" applyFont="1" applyFill="1" applyAlignment="1">
      <alignment horizontal="left" vertical="center"/>
    </xf>
    <xf numFmtId="0" fontId="37" fillId="0" borderId="1" xfId="5" applyBorder="1" applyAlignment="1">
      <alignment horizontal="center"/>
    </xf>
    <xf numFmtId="0" fontId="9" fillId="0" borderId="0" xfId="5" applyFont="1"/>
    <xf numFmtId="0" fontId="37" fillId="0" borderId="14" xfId="5" applyBorder="1"/>
    <xf numFmtId="0" fontId="37" fillId="0" borderId="16" xfId="5" applyBorder="1"/>
    <xf numFmtId="0" fontId="37" fillId="0" borderId="17" xfId="5" applyBorder="1"/>
    <xf numFmtId="0" fontId="37" fillId="2" borderId="0" xfId="5" applyFill="1" applyAlignment="1">
      <alignment horizontal="left"/>
    </xf>
    <xf numFmtId="0" fontId="37" fillId="0" borderId="16" xfId="5" applyBorder="1" applyAlignment="1">
      <alignment horizontal="left"/>
    </xf>
    <xf numFmtId="0" fontId="37" fillId="0" borderId="14" xfId="5" applyBorder="1" applyAlignment="1">
      <alignment horizontal="left"/>
    </xf>
    <xf numFmtId="14" fontId="37" fillId="2" borderId="0" xfId="5" applyNumberFormat="1" applyFill="1"/>
    <xf numFmtId="43" fontId="37" fillId="2" borderId="0" xfId="5" applyNumberFormat="1" applyFill="1"/>
    <xf numFmtId="42" fontId="37" fillId="0" borderId="0" xfId="5" applyNumberFormat="1" applyAlignment="1">
      <alignment horizontal="center"/>
    </xf>
    <xf numFmtId="1" fontId="37" fillId="0" borderId="0" xfId="5" applyNumberFormat="1" applyAlignment="1">
      <alignment horizontal="right"/>
    </xf>
    <xf numFmtId="166" fontId="37" fillId="0" borderId="0" xfId="5" applyNumberFormat="1" applyAlignment="1">
      <alignment horizontal="center"/>
    </xf>
    <xf numFmtId="44" fontId="0" fillId="0" borderId="0" xfId="4" applyFont="1"/>
    <xf numFmtId="44" fontId="37" fillId="0" borderId="0" xfId="5" applyNumberFormat="1"/>
    <xf numFmtId="167" fontId="0" fillId="0" borderId="0" xfId="3" applyNumberFormat="1" applyFont="1"/>
    <xf numFmtId="0" fontId="1" fillId="0" borderId="20" xfId="5" applyFont="1" applyBorder="1" applyAlignment="1">
      <alignment horizontal="center" vertical="center"/>
    </xf>
    <xf numFmtId="49" fontId="1" fillId="0" borderId="20" xfId="5" applyNumberFormat="1" applyFont="1" applyBorder="1" applyAlignment="1">
      <alignment horizontal="center" vertical="center" wrapText="1"/>
    </xf>
    <xf numFmtId="0" fontId="37" fillId="0" borderId="21" xfId="5" applyBorder="1"/>
    <xf numFmtId="0" fontId="37" fillId="0" borderId="21" xfId="5" applyBorder="1" applyAlignment="1">
      <alignment horizontal="center"/>
    </xf>
    <xf numFmtId="3" fontId="37" fillId="0" borderId="22" xfId="5" applyNumberFormat="1" applyBorder="1" applyAlignment="1">
      <alignment horizontal="center" vertical="center"/>
    </xf>
    <xf numFmtId="0" fontId="37" fillId="0" borderId="11" xfId="5" applyBorder="1"/>
    <xf numFmtId="0" fontId="37" fillId="0" borderId="11" xfId="5" applyBorder="1" applyAlignment="1">
      <alignment horizontal="center"/>
    </xf>
    <xf numFmtId="3" fontId="37" fillId="0" borderId="11" xfId="5" applyNumberFormat="1" applyBorder="1" applyAlignment="1">
      <alignment horizontal="center" vertical="center"/>
    </xf>
    <xf numFmtId="49" fontId="1" fillId="0" borderId="24" xfId="5" applyNumberFormat="1" applyFont="1" applyBorder="1" applyAlignment="1">
      <alignment horizontal="center" vertical="center" wrapText="1"/>
    </xf>
    <xf numFmtId="0" fontId="0" fillId="0" borderId="0" xfId="0" applyAlignment="1">
      <alignment horizontal="center"/>
    </xf>
    <xf numFmtId="14" fontId="0" fillId="0" borderId="0" xfId="0" applyNumberFormat="1"/>
    <xf numFmtId="168" fontId="0" fillId="0" borderId="0" xfId="0" applyNumberFormat="1"/>
    <xf numFmtId="0" fontId="0" fillId="0" borderId="0" xfId="0" applyAlignment="1">
      <alignment horizontal="right"/>
    </xf>
    <xf numFmtId="0" fontId="1" fillId="0" borderId="20" xfId="0" applyFont="1" applyBorder="1" applyAlignment="1">
      <alignment horizontal="center"/>
    </xf>
    <xf numFmtId="10" fontId="0" fillId="0" borderId="21" xfId="0" applyNumberFormat="1" applyBorder="1" applyAlignment="1">
      <alignment vertical="center"/>
    </xf>
    <xf numFmtId="43" fontId="0" fillId="0" borderId="21" xfId="0" applyNumberFormat="1" applyBorder="1" applyAlignment="1">
      <alignment vertical="center"/>
    </xf>
    <xf numFmtId="10" fontId="0" fillId="0" borderId="11" xfId="0" applyNumberFormat="1" applyBorder="1" applyAlignment="1">
      <alignment vertical="center"/>
    </xf>
    <xf numFmtId="43" fontId="0" fillId="0" borderId="11" xfId="0" applyNumberFormat="1" applyBorder="1" applyAlignment="1">
      <alignment vertical="center"/>
    </xf>
    <xf numFmtId="0" fontId="1" fillId="0" borderId="4" xfId="5" applyFont="1" applyBorder="1" applyAlignment="1">
      <alignment horizontal="center" vertical="center"/>
    </xf>
    <xf numFmtId="0" fontId="37" fillId="0" borderId="1" xfId="5" applyBorder="1" applyAlignment="1">
      <alignment horizontal="center" vertical="center"/>
    </xf>
    <xf numFmtId="0" fontId="0" fillId="0" borderId="0" xfId="0" applyAlignment="1">
      <alignment horizontal="left"/>
    </xf>
    <xf numFmtId="0" fontId="1" fillId="0" borderId="11" xfId="0" applyFont="1" applyBorder="1" applyAlignment="1">
      <alignment horizontal="center"/>
    </xf>
    <xf numFmtId="0" fontId="1" fillId="0" borderId="20" xfId="0" applyFont="1" applyBorder="1"/>
    <xf numFmtId="0" fontId="1" fillId="0" borderId="24" xfId="0" applyFont="1" applyBorder="1" applyAlignment="1">
      <alignment horizontal="center"/>
    </xf>
    <xf numFmtId="0" fontId="0" fillId="0" borderId="21" xfId="0" applyBorder="1" applyAlignment="1">
      <alignment horizontal="center"/>
    </xf>
    <xf numFmtId="0" fontId="12" fillId="0" borderId="11" xfId="0" applyFont="1" applyBorder="1" applyAlignment="1">
      <alignment horizontal="center"/>
    </xf>
    <xf numFmtId="0" fontId="0" fillId="0" borderId="11" xfId="0" applyBorder="1" applyAlignment="1">
      <alignment horizontal="center"/>
    </xf>
    <xf numFmtId="0" fontId="0" fillId="0" borderId="11" xfId="0" applyBorder="1"/>
    <xf numFmtId="0" fontId="0" fillId="0" borderId="11" xfId="0" applyBorder="1" applyAlignment="1">
      <alignment horizontal="left"/>
    </xf>
    <xf numFmtId="2" fontId="0" fillId="0" borderId="11" xfId="0" applyNumberFormat="1" applyBorder="1" applyAlignment="1">
      <alignment horizontal="center"/>
    </xf>
    <xf numFmtId="169" fontId="0" fillId="0" borderId="0" xfId="3" applyNumberFormat="1" applyFont="1" applyBorder="1" applyAlignment="1">
      <alignment vertical="center"/>
    </xf>
    <xf numFmtId="1" fontId="1" fillId="0" borderId="20" xfId="0" applyNumberFormat="1" applyFont="1" applyBorder="1" applyAlignment="1">
      <alignment horizontal="center" vertical="center"/>
    </xf>
    <xf numFmtId="1" fontId="1" fillId="0" borderId="24" xfId="0" applyNumberFormat="1" applyFont="1" applyBorder="1" applyAlignment="1">
      <alignment horizontal="center" vertical="center"/>
    </xf>
    <xf numFmtId="1" fontId="0" fillId="0" borderId="11" xfId="0" applyNumberFormat="1" applyBorder="1" applyAlignment="1">
      <alignment horizontal="center" vertical="center"/>
    </xf>
    <xf numFmtId="168" fontId="0" fillId="0" borderId="11" xfId="0" applyNumberFormat="1" applyBorder="1" applyAlignment="1">
      <alignment horizontal="left" vertical="center" indent="1"/>
    </xf>
    <xf numFmtId="169" fontId="0" fillId="0" borderId="0" xfId="3" applyNumberFormat="1" applyFont="1" applyBorder="1" applyAlignment="1"/>
    <xf numFmtId="0" fontId="1" fillId="0" borderId="0" xfId="0" applyFont="1" applyAlignment="1">
      <alignment horizontal="center"/>
    </xf>
    <xf numFmtId="1" fontId="1" fillId="0" borderId="0" xfId="0" applyNumberFormat="1" applyFont="1" applyAlignment="1">
      <alignment horizontal="center" vertical="center"/>
    </xf>
    <xf numFmtId="168" fontId="0" fillId="0" borderId="0" xfId="0" applyNumberFormat="1" applyAlignment="1">
      <alignment horizontal="left" vertical="center" indent="1"/>
    </xf>
    <xf numFmtId="0" fontId="13" fillId="0" borderId="0" xfId="0" applyFont="1" applyAlignment="1">
      <alignment vertical="center"/>
    </xf>
    <xf numFmtId="0" fontId="13" fillId="0" borderId="0" xfId="0" applyFont="1"/>
    <xf numFmtId="0" fontId="1" fillId="9" borderId="11" xfId="0" applyFont="1" applyFill="1" applyBorder="1" applyAlignment="1">
      <alignment horizontal="center"/>
    </xf>
    <xf numFmtId="0" fontId="1" fillId="9" borderId="24" xfId="0" applyFont="1" applyFill="1" applyBorder="1" applyAlignment="1">
      <alignment horizontal="center"/>
    </xf>
    <xf numFmtId="0" fontId="1" fillId="9" borderId="6" xfId="0" applyFont="1" applyFill="1" applyBorder="1" applyAlignment="1">
      <alignment horizontal="center"/>
    </xf>
    <xf numFmtId="0" fontId="0" fillId="9" borderId="7" xfId="0" applyFill="1" applyBorder="1"/>
    <xf numFmtId="0" fontId="1" fillId="0" borderId="3" xfId="0" applyFont="1" applyBorder="1" applyAlignment="1">
      <alignment horizontal="center"/>
    </xf>
    <xf numFmtId="0" fontId="0" fillId="0" borderId="7" xfId="0" applyBorder="1"/>
    <xf numFmtId="0" fontId="0" fillId="0" borderId="6" xfId="0" applyBorder="1" applyAlignment="1">
      <alignment horizontal="left"/>
    </xf>
    <xf numFmtId="0" fontId="0" fillId="9" borderId="13" xfId="0" applyFill="1" applyBorder="1"/>
    <xf numFmtId="0" fontId="0" fillId="0" borderId="13" xfId="0" applyBorder="1" applyAlignment="1">
      <alignment horizontal="left"/>
    </xf>
    <xf numFmtId="0" fontId="0" fillId="0" borderId="13" xfId="0" applyBorder="1"/>
    <xf numFmtId="168" fontId="0" fillId="0" borderId="0" xfId="0" applyNumberFormat="1" applyAlignment="1">
      <alignment horizontal="center"/>
    </xf>
    <xf numFmtId="0" fontId="15" fillId="0" borderId="0" xfId="0" applyFont="1"/>
    <xf numFmtId="43" fontId="0" fillId="0" borderId="0" xfId="0" applyNumberFormat="1"/>
    <xf numFmtId="43" fontId="0" fillId="0" borderId="0" xfId="0" applyNumberFormat="1" applyAlignment="1">
      <alignment horizontal="center"/>
    </xf>
    <xf numFmtId="170" fontId="0" fillId="0" borderId="0" xfId="0" applyNumberFormat="1"/>
    <xf numFmtId="41" fontId="0" fillId="0" borderId="0" xfId="0" applyNumberFormat="1"/>
    <xf numFmtId="0" fontId="1" fillId="7" borderId="20" xfId="0" applyFont="1" applyFill="1" applyBorder="1" applyAlignment="1">
      <alignment horizontal="center"/>
    </xf>
    <xf numFmtId="0" fontId="0" fillId="0" borderId="21" xfId="0" applyBorder="1"/>
    <xf numFmtId="0" fontId="0" fillId="10" borderId="21" xfId="0" applyFill="1" applyBorder="1" applyAlignment="1">
      <alignment horizontal="center"/>
    </xf>
    <xf numFmtId="168" fontId="0" fillId="10" borderId="21" xfId="0" applyNumberFormat="1" applyFill="1" applyBorder="1" applyAlignment="1">
      <alignment horizontal="center"/>
    </xf>
    <xf numFmtId="43" fontId="0" fillId="10" borderId="21" xfId="0" applyNumberFormat="1" applyFill="1" applyBorder="1"/>
    <xf numFmtId="171" fontId="0" fillId="0" borderId="21" xfId="0" applyNumberFormat="1" applyBorder="1" applyAlignment="1">
      <alignment horizontal="center"/>
    </xf>
    <xf numFmtId="41" fontId="0" fillId="0" borderId="21" xfId="0" applyNumberFormat="1" applyBorder="1"/>
    <xf numFmtId="0" fontId="0" fillId="10" borderId="11" xfId="0" applyFill="1" applyBorder="1" applyAlignment="1">
      <alignment horizontal="center"/>
    </xf>
    <xf numFmtId="168" fontId="0" fillId="10" borderId="11" xfId="0" applyNumberFormat="1" applyFill="1" applyBorder="1" applyAlignment="1">
      <alignment horizontal="center"/>
    </xf>
    <xf numFmtId="14" fontId="0" fillId="10" borderId="11" xfId="0" applyNumberFormat="1" applyFill="1" applyBorder="1" applyAlignment="1">
      <alignment horizontal="center"/>
    </xf>
    <xf numFmtId="41" fontId="0" fillId="0" borderId="11" xfId="0" applyNumberFormat="1" applyBorder="1"/>
    <xf numFmtId="0" fontId="0" fillId="11" borderId="11" xfId="0" applyFill="1" applyBorder="1" applyAlignment="1">
      <alignment horizontal="center"/>
    </xf>
    <xf numFmtId="0" fontId="0" fillId="11" borderId="11" xfId="0" applyFill="1" applyBorder="1"/>
    <xf numFmtId="43" fontId="0" fillId="0" borderId="11" xfId="0" applyNumberFormat="1" applyBorder="1"/>
    <xf numFmtId="171" fontId="0" fillId="0" borderId="11" xfId="0" applyNumberFormat="1" applyBorder="1" applyAlignment="1">
      <alignment horizontal="center"/>
    </xf>
    <xf numFmtId="44" fontId="0" fillId="0" borderId="11" xfId="0" applyNumberFormat="1" applyBorder="1"/>
    <xf numFmtId="41" fontId="0" fillId="0" borderId="11" xfId="1" applyNumberFormat="1" applyFont="1" applyBorder="1"/>
    <xf numFmtId="0" fontId="0" fillId="0" borderId="24" xfId="0" applyBorder="1"/>
    <xf numFmtId="41" fontId="0" fillId="0" borderId="24" xfId="1" applyNumberFormat="1" applyFont="1" applyBorder="1"/>
    <xf numFmtId="41" fontId="0" fillId="0" borderId="22" xfId="0" applyNumberFormat="1" applyBorder="1"/>
    <xf numFmtId="0" fontId="1" fillId="12" borderId="6" xfId="0" applyFont="1" applyFill="1" applyBorder="1" applyAlignment="1">
      <alignment horizontal="center"/>
    </xf>
    <xf numFmtId="0" fontId="0" fillId="0" borderId="22" xfId="0" applyBorder="1"/>
    <xf numFmtId="43" fontId="0" fillId="0" borderId="21" xfId="0" applyNumberFormat="1" applyBorder="1" applyAlignment="1">
      <alignment horizontal="center"/>
    </xf>
    <xf numFmtId="43" fontId="0" fillId="0" borderId="11" xfId="0" applyNumberFormat="1" applyBorder="1" applyAlignment="1">
      <alignment horizontal="center"/>
    </xf>
    <xf numFmtId="37" fontId="0" fillId="0" borderId="11" xfId="0" applyNumberFormat="1" applyBorder="1" applyAlignment="1">
      <alignment horizontal="center"/>
    </xf>
    <xf numFmtId="171" fontId="0" fillId="0" borderId="0" xfId="0" applyNumberFormat="1" applyAlignment="1">
      <alignment horizontal="center"/>
    </xf>
    <xf numFmtId="44" fontId="0" fillId="0" borderId="0" xfId="0" applyNumberFormat="1"/>
    <xf numFmtId="44" fontId="0" fillId="7" borderId="11" xfId="0" applyNumberFormat="1" applyFill="1" applyBorder="1" applyAlignment="1">
      <alignment horizontal="center"/>
    </xf>
    <xf numFmtId="0" fontId="0" fillId="7" borderId="11" xfId="0" applyFill="1" applyBorder="1" applyAlignment="1">
      <alignment horizontal="center"/>
    </xf>
    <xf numFmtId="169" fontId="0" fillId="0" borderId="11" xfId="3" applyNumberFormat="1" applyFont="1" applyBorder="1" applyAlignment="1">
      <alignment horizontal="center"/>
    </xf>
    <xf numFmtId="44" fontId="0" fillId="0" borderId="11" xfId="0" applyNumberFormat="1" applyBorder="1" applyAlignment="1">
      <alignment horizontal="center"/>
    </xf>
    <xf numFmtId="172" fontId="0" fillId="0" borderId="21" xfId="0" applyNumberFormat="1" applyBorder="1" applyAlignment="1">
      <alignment horizontal="center"/>
    </xf>
    <xf numFmtId="172" fontId="0" fillId="0" borderId="11" xfId="0" applyNumberFormat="1" applyBorder="1" applyAlignment="1">
      <alignment horizontal="center"/>
    </xf>
    <xf numFmtId="171" fontId="0" fillId="0" borderId="0" xfId="0" applyNumberFormat="1" applyAlignment="1">
      <alignment horizontal="right" indent="1"/>
    </xf>
    <xf numFmtId="43" fontId="0" fillId="0" borderId="0" xfId="0" applyNumberFormat="1" applyAlignment="1">
      <alignment horizontal="right"/>
    </xf>
    <xf numFmtId="43" fontId="0" fillId="0" borderId="0" xfId="1" applyFont="1"/>
    <xf numFmtId="0" fontId="0" fillId="0" borderId="0" xfId="0" applyAlignment="1">
      <alignment horizontal="left" indent="1"/>
    </xf>
    <xf numFmtId="0" fontId="1" fillId="12" borderId="11" xfId="0" applyFont="1" applyFill="1" applyBorder="1" applyAlignment="1">
      <alignment horizontal="center"/>
    </xf>
    <xf numFmtId="0" fontId="1" fillId="12" borderId="24" xfId="0" applyFont="1" applyFill="1" applyBorder="1" applyAlignment="1">
      <alignment horizontal="center"/>
    </xf>
    <xf numFmtId="0" fontId="0" fillId="12" borderId="7" xfId="0" applyFill="1" applyBorder="1"/>
    <xf numFmtId="0" fontId="0" fillId="12" borderId="13" xfId="0" applyFill="1" applyBorder="1"/>
    <xf numFmtId="0" fontId="1" fillId="14" borderId="20" xfId="0" applyFont="1" applyFill="1" applyBorder="1" applyAlignment="1">
      <alignment horizontal="center"/>
    </xf>
    <xf numFmtId="0" fontId="1" fillId="0" borderId="20" xfId="5" applyFont="1" applyBorder="1" applyAlignment="1">
      <alignment horizontal="center"/>
    </xf>
    <xf numFmtId="168" fontId="37" fillId="0" borderId="21" xfId="5" applyNumberFormat="1" applyBorder="1" applyAlignment="1">
      <alignment horizontal="center"/>
    </xf>
    <xf numFmtId="43" fontId="37" fillId="0" borderId="21" xfId="5" applyNumberFormat="1" applyBorder="1"/>
    <xf numFmtId="171" fontId="37" fillId="0" borderId="21" xfId="5" applyNumberFormat="1" applyBorder="1" applyAlignment="1">
      <alignment horizontal="center"/>
    </xf>
    <xf numFmtId="43" fontId="37" fillId="0" borderId="11" xfId="5" applyNumberFormat="1" applyBorder="1"/>
    <xf numFmtId="171" fontId="37" fillId="0" borderId="11" xfId="5" applyNumberFormat="1" applyBorder="1" applyAlignment="1">
      <alignment horizontal="center"/>
    </xf>
    <xf numFmtId="0" fontId="13" fillId="0" borderId="0" xfId="5" applyFont="1"/>
    <xf numFmtId="1" fontId="37" fillId="0" borderId="0" xfId="5" applyNumberFormat="1" applyAlignment="1">
      <alignment horizontal="center"/>
    </xf>
    <xf numFmtId="49" fontId="37" fillId="0" borderId="0" xfId="5" applyNumberFormat="1" applyAlignment="1">
      <alignment horizontal="center"/>
    </xf>
    <xf numFmtId="0" fontId="37" fillId="0" borderId="0" xfId="5" applyAlignment="1">
      <alignment horizontal="left" indent="1"/>
    </xf>
    <xf numFmtId="41" fontId="37" fillId="0" borderId="0" xfId="5" applyNumberFormat="1"/>
    <xf numFmtId="10" fontId="37" fillId="0" borderId="0" xfId="5" applyNumberFormat="1"/>
    <xf numFmtId="3" fontId="37" fillId="0" borderId="0" xfId="5" applyNumberFormat="1"/>
    <xf numFmtId="168" fontId="37" fillId="0" borderId="0" xfId="5" applyNumberFormat="1"/>
    <xf numFmtId="49" fontId="0" fillId="0" borderId="0" xfId="0" applyNumberFormat="1" applyAlignment="1">
      <alignment horizontal="left" indent="1"/>
    </xf>
    <xf numFmtId="41" fontId="0" fillId="0" borderId="0" xfId="0" applyNumberFormat="1" applyAlignment="1">
      <alignment horizontal="left" indent="1"/>
    </xf>
    <xf numFmtId="49" fontId="0" fillId="0" borderId="0" xfId="0" applyNumberFormat="1" applyAlignment="1">
      <alignment horizontal="left"/>
    </xf>
    <xf numFmtId="173" fontId="0" fillId="0" borderId="0" xfId="0" applyNumberFormat="1" applyAlignment="1">
      <alignment horizontal="left" indent="1"/>
    </xf>
    <xf numFmtId="3" fontId="37" fillId="0" borderId="0" xfId="5" applyNumberFormat="1" applyAlignment="1">
      <alignment horizontal="center"/>
    </xf>
    <xf numFmtId="49" fontId="1" fillId="0" borderId="0" xfId="0" applyNumberFormat="1" applyFont="1" applyAlignment="1">
      <alignment horizontal="left"/>
    </xf>
    <xf numFmtId="41" fontId="1" fillId="0" borderId="0" xfId="0" applyNumberFormat="1" applyFont="1" applyAlignment="1">
      <alignment horizontal="left"/>
    </xf>
    <xf numFmtId="41" fontId="0" fillId="0" borderId="0" xfId="0" applyNumberFormat="1" applyAlignment="1">
      <alignment horizontal="left"/>
    </xf>
    <xf numFmtId="9" fontId="0" fillId="0" borderId="0" xfId="3" applyFont="1" applyBorder="1" applyAlignment="1">
      <alignment horizontal="center"/>
    </xf>
    <xf numFmtId="41" fontId="0" fillId="0" borderId="0" xfId="0" applyNumberFormat="1" applyAlignment="1">
      <alignment horizontal="center"/>
    </xf>
    <xf numFmtId="9" fontId="1" fillId="0" borderId="0" xfId="3" applyFont="1" applyBorder="1" applyAlignment="1">
      <alignment horizontal="center"/>
    </xf>
    <xf numFmtId="0" fontId="37" fillId="0" borderId="0" xfId="5" applyAlignment="1">
      <alignment horizontal="left" indent="2"/>
    </xf>
    <xf numFmtId="43" fontId="37" fillId="0" borderId="0" xfId="5" applyNumberFormat="1"/>
    <xf numFmtId="38" fontId="37" fillId="0" borderId="0" xfId="5" applyNumberFormat="1"/>
    <xf numFmtId="37" fontId="37" fillId="0" borderId="0" xfId="5" applyNumberFormat="1"/>
    <xf numFmtId="0" fontId="37" fillId="0" borderId="0" xfId="5" applyAlignment="1">
      <alignment horizontal="left"/>
    </xf>
    <xf numFmtId="171" fontId="0" fillId="0" borderId="0" xfId="3" applyNumberFormat="1" applyFont="1" applyBorder="1" applyAlignment="1">
      <alignment horizontal="center"/>
    </xf>
    <xf numFmtId="42" fontId="37" fillId="0" borderId="0" xfId="5" applyNumberFormat="1"/>
    <xf numFmtId="43" fontId="0" fillId="0" borderId="0" xfId="2" applyNumberFormat="1" applyFont="1" applyBorder="1"/>
    <xf numFmtId="171" fontId="0" fillId="0" borderId="0" xfId="2" applyNumberFormat="1" applyFont="1" applyBorder="1" applyAlignment="1">
      <alignment horizontal="center"/>
    </xf>
    <xf numFmtId="43" fontId="37" fillId="0" borderId="0" xfId="5" applyNumberFormat="1" applyAlignment="1">
      <alignment horizontal="center"/>
    </xf>
    <xf numFmtId="9" fontId="37" fillId="0" borderId="0" xfId="5" applyNumberFormat="1" applyAlignment="1">
      <alignment horizontal="center"/>
    </xf>
    <xf numFmtId="171" fontId="37" fillId="0" borderId="0" xfId="5" applyNumberFormat="1" applyAlignment="1">
      <alignment horizontal="center"/>
    </xf>
    <xf numFmtId="43" fontId="37" fillId="0" borderId="0" xfId="5" applyNumberFormat="1" applyAlignment="1">
      <alignment horizontal="left"/>
    </xf>
    <xf numFmtId="0" fontId="0" fillId="0" borderId="29" xfId="0" applyBorder="1"/>
    <xf numFmtId="0" fontId="0" fillId="0" borderId="31" xfId="0" applyBorder="1"/>
    <xf numFmtId="0" fontId="0" fillId="0" borderId="4" xfId="0" applyBorder="1"/>
    <xf numFmtId="0" fontId="0" fillId="0" borderId="7" xfId="0" applyBorder="1" applyAlignment="1">
      <alignment horizontal="center"/>
    </xf>
    <xf numFmtId="0" fontId="19" fillId="0" borderId="0" xfId="0" applyFont="1" applyAlignment="1">
      <alignment horizontal="center"/>
    </xf>
    <xf numFmtId="0" fontId="19" fillId="0" borderId="0" xfId="0" applyFont="1" applyAlignment="1">
      <alignment horizontal="center" vertical="top"/>
    </xf>
    <xf numFmtId="14" fontId="0" fillId="0" borderId="7" xfId="0" applyNumberFormat="1" applyBorder="1" applyAlignment="1">
      <alignment horizontal="center"/>
    </xf>
    <xf numFmtId="171" fontId="0" fillId="0" borderId="7" xfId="0" applyNumberFormat="1" applyBorder="1" applyAlignment="1">
      <alignment horizontal="center"/>
    </xf>
    <xf numFmtId="165" fontId="0" fillId="0" borderId="7" xfId="0" applyNumberFormat="1" applyBorder="1" applyAlignment="1">
      <alignment horizontal="center"/>
    </xf>
    <xf numFmtId="0" fontId="0" fillId="0" borderId="39" xfId="0" applyBorder="1"/>
    <xf numFmtId="0" fontId="0" fillId="0" borderId="40" xfId="0" applyBorder="1"/>
    <xf numFmtId="0" fontId="0" fillId="0" borderId="32" xfId="0" applyBorder="1"/>
    <xf numFmtId="0" fontId="19" fillId="0" borderId="33" xfId="0" applyFont="1" applyBorder="1" applyAlignment="1">
      <alignment horizontal="center"/>
    </xf>
    <xf numFmtId="0" fontId="4" fillId="0" borderId="33" xfId="0" applyFont="1" applyBorder="1" applyAlignment="1">
      <alignment horizontal="left" vertical="top" wrapText="1"/>
    </xf>
    <xf numFmtId="0" fontId="9" fillId="0" borderId="0" xfId="0" applyFont="1" applyAlignment="1">
      <alignment horizontal="left" vertical="center"/>
    </xf>
    <xf numFmtId="0" fontId="0" fillId="0" borderId="41" xfId="0" applyBorder="1"/>
    <xf numFmtId="0" fontId="20" fillId="0" borderId="0" xfId="0" applyFont="1"/>
    <xf numFmtId="0" fontId="20" fillId="16" borderId="48" xfId="0" applyFont="1" applyFill="1" applyBorder="1" applyAlignment="1">
      <alignment vertical="top" wrapText="1"/>
    </xf>
    <xf numFmtId="0" fontId="23" fillId="16" borderId="49" xfId="0" applyFont="1" applyFill="1" applyBorder="1" applyAlignment="1">
      <alignment horizontal="left"/>
    </xf>
    <xf numFmtId="0" fontId="24" fillId="16" borderId="0" xfId="0" applyFont="1" applyFill="1" applyAlignment="1">
      <alignment vertical="top"/>
    </xf>
    <xf numFmtId="0" fontId="24" fillId="16" borderId="50" xfId="0" applyFont="1" applyFill="1" applyBorder="1" applyAlignment="1">
      <alignment vertical="top"/>
    </xf>
    <xf numFmtId="0" fontId="23" fillId="16" borderId="45" xfId="0" applyFont="1" applyFill="1" applyBorder="1" applyAlignment="1">
      <alignment vertical="top"/>
    </xf>
    <xf numFmtId="0" fontId="24" fillId="16" borderId="46" xfId="0" applyFont="1" applyFill="1" applyBorder="1" applyAlignment="1">
      <alignment vertical="top"/>
    </xf>
    <xf numFmtId="0" fontId="24" fillId="16" borderId="52" xfId="0" applyFont="1" applyFill="1" applyBorder="1" applyAlignment="1">
      <alignment vertical="top"/>
    </xf>
    <xf numFmtId="0" fontId="26" fillId="16" borderId="52" xfId="0" applyFont="1" applyFill="1" applyBorder="1" applyAlignment="1">
      <alignment horizontal="center" vertical="center" wrapText="1"/>
    </xf>
    <xf numFmtId="0" fontId="20" fillId="0" borderId="0" xfId="0" applyFont="1" applyAlignment="1" applyProtection="1">
      <alignment horizontal="center"/>
      <protection locked="0"/>
    </xf>
    <xf numFmtId="0" fontId="20" fillId="16" borderId="54" xfId="0" applyFont="1" applyFill="1" applyBorder="1" applyAlignment="1" applyProtection="1">
      <alignment horizontal="center" wrapText="1"/>
      <protection locked="0"/>
    </xf>
    <xf numFmtId="0" fontId="20" fillId="16" borderId="23" xfId="0" applyFont="1" applyFill="1" applyBorder="1" applyAlignment="1" applyProtection="1">
      <alignment horizontal="center" wrapText="1"/>
      <protection locked="0"/>
    </xf>
    <xf numFmtId="0" fontId="27" fillId="16" borderId="54" xfId="0" applyFont="1" applyFill="1" applyBorder="1" applyAlignment="1">
      <alignment horizontal="center" vertical="center" wrapText="1"/>
    </xf>
    <xf numFmtId="0" fontId="20" fillId="16" borderId="23" xfId="0" applyFont="1" applyFill="1" applyBorder="1" applyAlignment="1">
      <alignment horizontal="center" vertical="center" wrapText="1"/>
    </xf>
    <xf numFmtId="0" fontId="20" fillId="16" borderId="19" xfId="0" applyFont="1" applyFill="1" applyBorder="1" applyAlignment="1" applyProtection="1">
      <alignment vertical="center" wrapText="1"/>
      <protection locked="0"/>
    </xf>
    <xf numFmtId="0" fontId="20" fillId="16" borderId="54" xfId="0" applyFont="1" applyFill="1" applyBorder="1" applyAlignment="1" applyProtection="1">
      <alignment vertical="center" wrapText="1"/>
      <protection locked="0"/>
    </xf>
    <xf numFmtId="0" fontId="27" fillId="16" borderId="53" xfId="0" applyFont="1" applyFill="1" applyBorder="1" applyAlignment="1">
      <alignment horizontal="center" vertical="center" wrapText="1"/>
    </xf>
    <xf numFmtId="0" fontId="20" fillId="16" borderId="52" xfId="0" applyFont="1" applyFill="1" applyBorder="1" applyAlignment="1">
      <alignment horizontal="center" vertical="center" wrapText="1"/>
    </xf>
    <xf numFmtId="0" fontId="20" fillId="16" borderId="46" xfId="0" applyFont="1" applyFill="1" applyBorder="1" applyAlignment="1" applyProtection="1">
      <alignment vertical="center" wrapText="1"/>
      <protection locked="0"/>
    </xf>
    <xf numFmtId="0" fontId="20" fillId="16" borderId="43" xfId="0" applyFont="1" applyFill="1" applyBorder="1" applyAlignment="1">
      <alignment vertical="top"/>
    </xf>
    <xf numFmtId="0" fontId="20" fillId="16" borderId="47" xfId="0" applyFont="1" applyFill="1" applyBorder="1" applyAlignment="1">
      <alignment vertical="top"/>
    </xf>
    <xf numFmtId="0" fontId="27" fillId="17" borderId="53" xfId="0" applyFont="1" applyFill="1" applyBorder="1" applyAlignment="1">
      <alignment horizontal="center" vertical="center" wrapText="1"/>
    </xf>
    <xf numFmtId="0" fontId="20" fillId="16" borderId="46" xfId="0" applyFont="1" applyFill="1" applyBorder="1" applyAlignment="1">
      <alignment vertical="center" wrapText="1"/>
    </xf>
    <xf numFmtId="0" fontId="20" fillId="16" borderId="54" xfId="0" applyFont="1" applyFill="1" applyBorder="1" applyAlignment="1">
      <alignment vertical="center" wrapText="1"/>
    </xf>
    <xf numFmtId="0" fontId="20" fillId="16" borderId="23" xfId="0" applyFont="1" applyFill="1" applyBorder="1" applyAlignment="1">
      <alignment vertical="center" wrapText="1"/>
    </xf>
    <xf numFmtId="174" fontId="20" fillId="16" borderId="46" xfId="0" applyNumberFormat="1" applyFont="1" applyFill="1" applyBorder="1" applyAlignment="1">
      <alignment vertical="center" wrapText="1"/>
    </xf>
    <xf numFmtId="174" fontId="20" fillId="16" borderId="54" xfId="0" applyNumberFormat="1" applyFont="1" applyFill="1" applyBorder="1" applyAlignment="1">
      <alignment vertical="center" wrapText="1"/>
    </xf>
    <xf numFmtId="0" fontId="20" fillId="16" borderId="45" xfId="0" applyFont="1" applyFill="1" applyBorder="1" applyAlignment="1">
      <alignment vertical="top"/>
    </xf>
    <xf numFmtId="0" fontId="20" fillId="16" borderId="52" xfId="0" applyFont="1" applyFill="1" applyBorder="1" applyAlignment="1">
      <alignment vertical="top"/>
    </xf>
    <xf numFmtId="0" fontId="26" fillId="16" borderId="50" xfId="0" applyFont="1" applyFill="1" applyBorder="1" applyAlignment="1">
      <alignment horizontal="center" vertical="center" wrapText="1"/>
    </xf>
    <xf numFmtId="175" fontId="20" fillId="16" borderId="0" xfId="0" applyNumberFormat="1" applyFont="1" applyFill="1" applyAlignment="1">
      <alignment vertical="center" wrapText="1"/>
    </xf>
    <xf numFmtId="175" fontId="20" fillId="16" borderId="48" xfId="0" applyNumberFormat="1" applyFont="1" applyFill="1" applyBorder="1" applyAlignment="1">
      <alignment vertical="center" wrapText="1"/>
    </xf>
    <xf numFmtId="0" fontId="20" fillId="16" borderId="56" xfId="0" applyFont="1" applyFill="1" applyBorder="1" applyAlignment="1">
      <alignment vertical="center"/>
    </xf>
    <xf numFmtId="0" fontId="20" fillId="16" borderId="57" xfId="0" applyFont="1" applyFill="1" applyBorder="1" applyAlignment="1">
      <alignment vertical="center"/>
    </xf>
    <xf numFmtId="0" fontId="27" fillId="16" borderId="59" xfId="0" applyFont="1" applyFill="1" applyBorder="1" applyAlignment="1">
      <alignment horizontal="center" vertical="center" wrapText="1"/>
    </xf>
    <xf numFmtId="0" fontId="20" fillId="16" borderId="62" xfId="0" applyFont="1" applyFill="1" applyBorder="1" applyAlignment="1">
      <alignment horizontal="center" vertical="center" wrapText="1"/>
    </xf>
    <xf numFmtId="0" fontId="20" fillId="16" borderId="61" xfId="0" applyFont="1" applyFill="1" applyBorder="1" applyAlignment="1">
      <alignment horizontal="center" vertical="center" wrapText="1"/>
    </xf>
    <xf numFmtId="0" fontId="20" fillId="16" borderId="65" xfId="0" applyFont="1" applyFill="1" applyBorder="1" applyAlignment="1">
      <alignment horizontal="center" vertical="center" wrapText="1"/>
    </xf>
    <xf numFmtId="0" fontId="20" fillId="16" borderId="64" xfId="0" applyFont="1" applyFill="1" applyBorder="1" applyAlignment="1">
      <alignment horizontal="center" vertical="center" wrapText="1"/>
    </xf>
    <xf numFmtId="0" fontId="27" fillId="17" borderId="59" xfId="0" applyFont="1" applyFill="1" applyBorder="1" applyAlignment="1">
      <alignment horizontal="center" vertical="center" wrapText="1"/>
    </xf>
    <xf numFmtId="0" fontId="20" fillId="16" borderId="63" xfId="0" applyFont="1" applyFill="1" applyBorder="1" applyAlignment="1">
      <alignment vertical="center" wrapText="1"/>
    </xf>
    <xf numFmtId="0" fontId="20" fillId="16" borderId="65" xfId="0" applyFont="1" applyFill="1" applyBorder="1" applyAlignment="1">
      <alignment vertical="center" wrapText="1"/>
    </xf>
    <xf numFmtId="0" fontId="20" fillId="16" borderId="66" xfId="0" applyFont="1" applyFill="1" applyBorder="1" applyAlignment="1">
      <alignment vertical="center" wrapText="1"/>
    </xf>
    <xf numFmtId="0" fontId="20" fillId="16" borderId="65" xfId="0" applyFont="1" applyFill="1" applyBorder="1" applyAlignment="1" applyProtection="1">
      <alignment vertical="center" wrapText="1"/>
      <protection locked="0"/>
    </xf>
    <xf numFmtId="0" fontId="20" fillId="16" borderId="64" xfId="0" applyFont="1" applyFill="1" applyBorder="1" applyAlignment="1" applyProtection="1">
      <alignment vertical="center" wrapText="1"/>
      <protection locked="0"/>
    </xf>
    <xf numFmtId="0" fontId="20" fillId="16" borderId="62" xfId="0" applyFont="1" applyFill="1" applyBorder="1" applyAlignment="1" applyProtection="1">
      <alignment vertical="center" wrapText="1"/>
      <protection locked="0"/>
    </xf>
    <xf numFmtId="0" fontId="28" fillId="16" borderId="70" xfId="0" applyFont="1" applyFill="1" applyBorder="1" applyAlignment="1">
      <alignment horizontal="center" vertical="center" wrapText="1"/>
    </xf>
    <xf numFmtId="175" fontId="20" fillId="16" borderId="71" xfId="0" applyNumberFormat="1" applyFont="1" applyFill="1" applyBorder="1" applyAlignment="1">
      <alignment vertical="center" wrapText="1"/>
    </xf>
    <xf numFmtId="175" fontId="20" fillId="16" borderId="69" xfId="0" applyNumberFormat="1" applyFont="1" applyFill="1" applyBorder="1" applyAlignment="1">
      <alignment vertical="center" wrapText="1"/>
    </xf>
    <xf numFmtId="0" fontId="30" fillId="0" borderId="0" xfId="0" applyFont="1" applyAlignment="1">
      <alignment vertical="center"/>
    </xf>
    <xf numFmtId="0" fontId="20" fillId="16" borderId="23" xfId="0" applyFont="1" applyFill="1" applyBorder="1" applyAlignment="1" applyProtection="1">
      <alignment vertical="center" wrapText="1"/>
      <protection locked="0"/>
    </xf>
    <xf numFmtId="174" fontId="20" fillId="16" borderId="23" xfId="0" applyNumberFormat="1" applyFont="1" applyFill="1" applyBorder="1" applyAlignment="1">
      <alignment vertical="center" wrapText="1"/>
    </xf>
    <xf numFmtId="0" fontId="20" fillId="16" borderId="60" xfId="0" applyFont="1" applyFill="1" applyBorder="1" applyAlignment="1">
      <alignment horizontal="center" vertical="center" wrapText="1"/>
    </xf>
    <xf numFmtId="0" fontId="20" fillId="16" borderId="83" xfId="0" applyFont="1" applyFill="1" applyBorder="1" applyAlignment="1">
      <alignment horizontal="center" vertical="center" wrapText="1"/>
    </xf>
    <xf numFmtId="0" fontId="20" fillId="16" borderId="84" xfId="0" applyFont="1" applyFill="1" applyBorder="1" applyAlignment="1">
      <alignment vertical="center" wrapText="1"/>
    </xf>
    <xf numFmtId="0" fontId="20" fillId="16" borderId="60" xfId="0" applyFont="1" applyFill="1" applyBorder="1" applyAlignment="1" applyProtection="1">
      <alignment vertical="center" wrapText="1"/>
      <protection locked="0"/>
    </xf>
    <xf numFmtId="0" fontId="20" fillId="16" borderId="83" xfId="0" applyFont="1" applyFill="1" applyBorder="1" applyAlignment="1" applyProtection="1">
      <alignment vertical="center" wrapText="1"/>
      <protection locked="0"/>
    </xf>
    <xf numFmtId="175" fontId="20" fillId="16" borderId="85" xfId="0" applyNumberFormat="1" applyFont="1" applyFill="1" applyBorder="1" applyAlignment="1">
      <alignment vertical="center" wrapText="1"/>
    </xf>
    <xf numFmtId="175" fontId="20" fillId="16" borderId="86" xfId="0" applyNumberFormat="1" applyFont="1" applyFill="1" applyBorder="1" applyAlignment="1">
      <alignment vertical="center" wrapText="1"/>
    </xf>
    <xf numFmtId="0" fontId="19" fillId="0" borderId="0" xfId="0" quotePrefix="1" applyFont="1" applyAlignment="1">
      <alignment horizontal="center"/>
    </xf>
    <xf numFmtId="0" fontId="0" fillId="0" borderId="11" xfId="0" quotePrefix="1" applyBorder="1" applyAlignment="1">
      <alignment horizontal="left"/>
    </xf>
    <xf numFmtId="0" fontId="13" fillId="0" borderId="0" xfId="0" quotePrefix="1" applyFont="1" applyAlignment="1">
      <alignment vertical="center"/>
    </xf>
    <xf numFmtId="1" fontId="0" fillId="0" borderId="11" xfId="0" quotePrefix="1" applyNumberFormat="1" applyBorder="1" applyAlignment="1">
      <alignment horizontal="left"/>
    </xf>
    <xf numFmtId="0" fontId="15" fillId="0" borderId="0" xfId="0" quotePrefix="1" applyFont="1"/>
    <xf numFmtId="0" fontId="37" fillId="7" borderId="11" xfId="5" quotePrefix="1" applyFill="1" applyBorder="1" applyAlignment="1">
      <alignment horizontal="center"/>
    </xf>
    <xf numFmtId="0" fontId="37" fillId="0" borderId="0" xfId="5" quotePrefix="1"/>
    <xf numFmtId="0" fontId="13" fillId="0" borderId="0" xfId="5" quotePrefix="1" applyFont="1"/>
    <xf numFmtId="49" fontId="0" fillId="0" borderId="0" xfId="0" quotePrefix="1" applyNumberFormat="1" applyAlignment="1">
      <alignment horizontal="left" indent="1"/>
    </xf>
    <xf numFmtId="49" fontId="0" fillId="0" borderId="0" xfId="0" quotePrefix="1" applyNumberFormat="1" applyAlignment="1">
      <alignment horizontal="left"/>
    </xf>
    <xf numFmtId="0" fontId="21" fillId="15" borderId="43" xfId="0" applyFont="1" applyFill="1" applyBorder="1" applyAlignment="1">
      <alignment horizontal="center" vertical="center" wrapText="1"/>
    </xf>
    <xf numFmtId="0" fontId="21" fillId="15" borderId="44" xfId="0" applyFont="1" applyFill="1" applyBorder="1" applyAlignment="1">
      <alignment horizontal="center" vertical="center" wrapText="1"/>
    </xf>
    <xf numFmtId="0" fontId="21" fillId="15" borderId="47" xfId="0" applyFont="1" applyFill="1" applyBorder="1" applyAlignment="1">
      <alignment horizontal="center" vertical="center" wrapText="1"/>
    </xf>
    <xf numFmtId="0" fontId="21" fillId="15" borderId="45" xfId="0" applyFont="1" applyFill="1" applyBorder="1" applyAlignment="1">
      <alignment horizontal="center" vertical="center" wrapText="1"/>
    </xf>
    <xf numFmtId="0" fontId="21" fillId="15" borderId="46" xfId="0" applyFont="1" applyFill="1" applyBorder="1" applyAlignment="1">
      <alignment horizontal="center" vertical="center" wrapText="1"/>
    </xf>
    <xf numFmtId="0" fontId="21" fillId="15" borderId="52" xfId="0" applyFont="1" applyFill="1" applyBorder="1" applyAlignment="1">
      <alignment horizontal="center" vertical="center" wrapText="1"/>
    </xf>
    <xf numFmtId="0" fontId="22" fillId="16" borderId="43" xfId="0" applyFont="1" applyFill="1" applyBorder="1" applyAlignment="1">
      <alignment horizontal="left" vertical="top"/>
    </xf>
    <xf numFmtId="0" fontId="22" fillId="16" borderId="44" xfId="0" applyFont="1" applyFill="1" applyBorder="1" applyAlignment="1">
      <alignment horizontal="left" vertical="top"/>
    </xf>
    <xf numFmtId="0" fontId="22" fillId="16" borderId="47" xfId="0" applyFont="1" applyFill="1" applyBorder="1" applyAlignment="1">
      <alignment horizontal="left" vertical="top"/>
    </xf>
    <xf numFmtId="0" fontId="22" fillId="17" borderId="43" xfId="0" applyFont="1" applyFill="1" applyBorder="1" applyAlignment="1">
      <alignment horizontal="center" vertical="top"/>
    </xf>
    <xf numFmtId="0" fontId="22" fillId="17" borderId="44" xfId="0" applyFont="1" applyFill="1" applyBorder="1" applyAlignment="1">
      <alignment horizontal="center" vertical="top"/>
    </xf>
    <xf numFmtId="0" fontId="22" fillId="17" borderId="47" xfId="0" applyFont="1" applyFill="1" applyBorder="1" applyAlignment="1">
      <alignment horizontal="center" vertical="top"/>
    </xf>
    <xf numFmtId="0" fontId="25" fillId="17" borderId="45" xfId="0" applyFont="1" applyFill="1" applyBorder="1" applyAlignment="1">
      <alignment horizontal="center" vertical="top"/>
    </xf>
    <xf numFmtId="0" fontId="25" fillId="17" borderId="46" xfId="0" applyFont="1" applyFill="1" applyBorder="1" applyAlignment="1">
      <alignment horizontal="center" vertical="top"/>
    </xf>
    <xf numFmtId="0" fontId="25" fillId="17" borderId="52" xfId="0" applyFont="1" applyFill="1" applyBorder="1" applyAlignment="1">
      <alignment horizontal="center" vertical="top"/>
    </xf>
    <xf numFmtId="0" fontId="20" fillId="16" borderId="48" xfId="0" applyFont="1" applyFill="1" applyBorder="1" applyAlignment="1">
      <alignment vertical="top" wrapText="1"/>
    </xf>
    <xf numFmtId="0" fontId="20" fillId="16" borderId="51" xfId="0" applyFont="1" applyFill="1" applyBorder="1" applyAlignment="1">
      <alignment vertical="top" wrapText="1"/>
    </xf>
    <xf numFmtId="0" fontId="25" fillId="16" borderId="63" xfId="0" applyFont="1" applyFill="1" applyBorder="1" applyAlignment="1">
      <alignment vertical="center" wrapText="1"/>
    </xf>
    <xf numFmtId="0" fontId="20" fillId="16" borderId="64" xfId="0" applyFont="1" applyFill="1" applyBorder="1" applyAlignment="1">
      <alignment vertical="center" wrapText="1"/>
    </xf>
    <xf numFmtId="0" fontId="20" fillId="16" borderId="63" xfId="0" applyFont="1" applyFill="1" applyBorder="1" applyAlignment="1">
      <alignment vertical="center" wrapText="1"/>
    </xf>
    <xf numFmtId="0" fontId="20" fillId="16" borderId="18" xfId="0" applyFont="1" applyFill="1" applyBorder="1" applyAlignment="1">
      <alignment vertical="top" wrapText="1"/>
    </xf>
    <xf numFmtId="0" fontId="20" fillId="16" borderId="23" xfId="0" applyFont="1" applyFill="1" applyBorder="1" applyAlignment="1">
      <alignment vertical="top" wrapText="1"/>
    </xf>
    <xf numFmtId="0" fontId="20" fillId="16" borderId="18" xfId="0" applyFont="1" applyFill="1" applyBorder="1" applyAlignment="1">
      <alignment vertical="center" wrapText="1"/>
    </xf>
    <xf numFmtId="0" fontId="20" fillId="16" borderId="23" xfId="0" applyFont="1" applyFill="1" applyBorder="1" applyAlignment="1">
      <alignment vertical="center" wrapText="1"/>
    </xf>
    <xf numFmtId="0" fontId="26" fillId="16" borderId="43" xfId="0" applyFont="1" applyFill="1" applyBorder="1" applyAlignment="1">
      <alignment horizontal="left" vertical="top" wrapText="1"/>
    </xf>
    <xf numFmtId="0" fontId="26" fillId="16" borderId="44" xfId="0" applyFont="1" applyFill="1" applyBorder="1" applyAlignment="1">
      <alignment horizontal="left" vertical="top" wrapText="1"/>
    </xf>
    <xf numFmtId="0" fontId="26" fillId="16" borderId="47" xfId="0" applyFont="1" applyFill="1" applyBorder="1" applyAlignment="1">
      <alignment horizontal="left" vertical="top" wrapText="1"/>
    </xf>
    <xf numFmtId="0" fontId="26" fillId="16" borderId="67" xfId="0" applyFont="1" applyFill="1" applyBorder="1" applyAlignment="1">
      <alignment horizontal="left" vertical="top" wrapText="1"/>
    </xf>
    <xf numFmtId="0" fontId="26" fillId="16" borderId="68" xfId="0" applyFont="1" applyFill="1" applyBorder="1" applyAlignment="1">
      <alignment horizontal="left" vertical="top" wrapText="1"/>
    </xf>
    <xf numFmtId="0" fontId="26" fillId="16" borderId="69" xfId="0" applyFont="1" applyFill="1" applyBorder="1" applyAlignment="1">
      <alignment horizontal="left" vertical="top" wrapText="1"/>
    </xf>
    <xf numFmtId="0" fontId="22" fillId="20" borderId="18" xfId="0" applyFont="1" applyFill="1" applyBorder="1" applyAlignment="1">
      <alignment horizontal="center" vertical="center" wrapText="1"/>
    </xf>
    <xf numFmtId="0" fontId="22" fillId="20" borderId="19" xfId="0" applyFont="1" applyFill="1" applyBorder="1" applyAlignment="1">
      <alignment horizontal="center" vertical="center" wrapText="1"/>
    </xf>
    <xf numFmtId="0" fontId="22" fillId="20" borderId="23" xfId="0" applyFont="1" applyFill="1" applyBorder="1" applyAlignment="1">
      <alignment horizontal="center" vertical="center" wrapText="1"/>
    </xf>
    <xf numFmtId="0" fontId="20" fillId="16" borderId="45" xfId="0" applyFont="1" applyFill="1" applyBorder="1" applyAlignment="1">
      <alignment vertical="top" wrapText="1"/>
    </xf>
    <xf numFmtId="0" fontId="20" fillId="16" borderId="46" xfId="0" applyFont="1" applyFill="1" applyBorder="1" applyAlignment="1">
      <alignment vertical="top" wrapText="1"/>
    </xf>
    <xf numFmtId="0" fontId="20" fillId="16" borderId="52" xfId="0" applyFont="1" applyFill="1" applyBorder="1" applyAlignment="1">
      <alignment vertical="top" wrapText="1"/>
    </xf>
    <xf numFmtId="175" fontId="20" fillId="16" borderId="45" xfId="0" applyNumberFormat="1" applyFont="1" applyFill="1" applyBorder="1" applyAlignment="1">
      <alignment horizontal="center" vertical="center" wrapText="1"/>
    </xf>
    <xf numFmtId="175" fontId="20" fillId="16" borderId="46" xfId="0" applyNumberFormat="1" applyFont="1" applyFill="1" applyBorder="1" applyAlignment="1">
      <alignment horizontal="center" vertical="center" wrapText="1"/>
    </xf>
    <xf numFmtId="175" fontId="20" fillId="16" borderId="52" xfId="0" applyNumberFormat="1" applyFont="1" applyFill="1" applyBorder="1" applyAlignment="1">
      <alignment horizontal="center" vertical="center" wrapText="1"/>
    </xf>
    <xf numFmtId="0" fontId="20" fillId="16" borderId="19" xfId="0" applyFont="1" applyFill="1" applyBorder="1" applyAlignment="1">
      <alignment vertical="top" wrapText="1"/>
    </xf>
    <xf numFmtId="0" fontId="20" fillId="16" borderId="44" xfId="0" applyFont="1" applyFill="1" applyBorder="1" applyAlignment="1">
      <alignment vertical="top" wrapText="1"/>
    </xf>
    <xf numFmtId="0" fontId="20" fillId="16" borderId="47" xfId="0" applyFont="1" applyFill="1" applyBorder="1" applyAlignment="1">
      <alignment vertical="top" wrapText="1"/>
    </xf>
    <xf numFmtId="175" fontId="20" fillId="16" borderId="43" xfId="0" applyNumberFormat="1" applyFont="1" applyFill="1" applyBorder="1" applyAlignment="1">
      <alignment horizontal="center" vertical="center" wrapText="1"/>
    </xf>
    <xf numFmtId="0" fontId="20" fillId="16" borderId="44" xfId="0" applyFont="1" applyFill="1" applyBorder="1" applyAlignment="1">
      <alignment horizontal="center" vertical="center" wrapText="1"/>
    </xf>
    <xf numFmtId="0" fontId="20" fillId="16" borderId="47" xfId="0" applyFont="1" applyFill="1" applyBorder="1" applyAlignment="1">
      <alignment horizontal="center" vertical="center" wrapText="1"/>
    </xf>
    <xf numFmtId="0" fontId="29" fillId="21" borderId="72" xfId="0" applyFont="1" applyFill="1" applyBorder="1" applyAlignment="1">
      <alignment horizontal="center" vertical="center"/>
    </xf>
    <xf numFmtId="0" fontId="29" fillId="21" borderId="73" xfId="0" applyFont="1" applyFill="1" applyBorder="1" applyAlignment="1">
      <alignment horizontal="center" vertical="center"/>
    </xf>
    <xf numFmtId="0" fontId="29" fillId="21" borderId="74" xfId="0" applyFont="1" applyFill="1" applyBorder="1" applyAlignment="1">
      <alignment horizontal="center" vertical="center"/>
    </xf>
    <xf numFmtId="0" fontId="22" fillId="21" borderId="74" xfId="0" applyFont="1" applyFill="1" applyBorder="1" applyAlignment="1">
      <alignment horizontal="center" vertical="center"/>
    </xf>
    <xf numFmtId="0" fontId="22" fillId="21" borderId="77" xfId="0" applyFont="1" applyFill="1" applyBorder="1" applyAlignment="1">
      <alignment horizontal="center" vertical="center"/>
    </xf>
    <xf numFmtId="0" fontId="22" fillId="21" borderId="87" xfId="0" applyFont="1" applyFill="1" applyBorder="1" applyAlignment="1">
      <alignment horizontal="center" vertical="center"/>
    </xf>
    <xf numFmtId="0" fontId="20" fillId="16" borderId="75" xfId="0" applyFont="1" applyFill="1" applyBorder="1" applyAlignment="1">
      <alignment vertical="top" wrapText="1"/>
    </xf>
    <xf numFmtId="0" fontId="20" fillId="16" borderId="76" xfId="0" applyFont="1" applyFill="1" applyBorder="1" applyAlignment="1">
      <alignment vertical="top" wrapText="1"/>
    </xf>
    <xf numFmtId="0" fontId="20" fillId="16" borderId="77" xfId="0" applyFont="1" applyFill="1" applyBorder="1" applyAlignment="1">
      <alignment vertical="top" wrapText="1"/>
    </xf>
    <xf numFmtId="0" fontId="20" fillId="16" borderId="77" xfId="0" applyFont="1" applyFill="1" applyBorder="1" applyAlignment="1">
      <alignment horizontal="left" vertical="top" wrapText="1"/>
    </xf>
    <xf numFmtId="0" fontId="20" fillId="16" borderId="78" xfId="0" applyFont="1" applyFill="1" applyBorder="1" applyAlignment="1">
      <alignment horizontal="left" vertical="top" wrapText="1"/>
    </xf>
    <xf numFmtId="0" fontId="20" fillId="16" borderId="88" xfId="0" applyFont="1" applyFill="1" applyBorder="1" applyAlignment="1">
      <alignment horizontal="left" vertical="top" wrapText="1"/>
    </xf>
    <xf numFmtId="0" fontId="20" fillId="16" borderId="79" xfId="0" applyFont="1" applyFill="1" applyBorder="1" applyAlignment="1">
      <alignment vertical="center" wrapText="1"/>
    </xf>
    <xf numFmtId="0" fontId="20" fillId="16" borderId="80" xfId="0" applyFont="1" applyFill="1" applyBorder="1" applyAlignment="1">
      <alignment vertical="center" wrapText="1"/>
    </xf>
    <xf numFmtId="0" fontId="27" fillId="16" borderId="48" xfId="0" applyFont="1" applyFill="1" applyBorder="1" applyAlignment="1">
      <alignment horizontal="center" vertical="center" wrapText="1"/>
    </xf>
    <xf numFmtId="0" fontId="27" fillId="16" borderId="53" xfId="0" applyFont="1" applyFill="1" applyBorder="1" applyAlignment="1">
      <alignment horizontal="center" vertical="center" wrapText="1"/>
    </xf>
    <xf numFmtId="0" fontId="27" fillId="16" borderId="55" xfId="0" applyFont="1" applyFill="1" applyBorder="1" applyAlignment="1">
      <alignment horizontal="center" vertical="center" wrapText="1"/>
    </xf>
    <xf numFmtId="0" fontId="27" fillId="16" borderId="59" xfId="0" applyFont="1" applyFill="1" applyBorder="1" applyAlignment="1">
      <alignment horizontal="center" vertical="center" wrapText="1"/>
    </xf>
    <xf numFmtId="0" fontId="20" fillId="16" borderId="48" xfId="0" applyFont="1" applyFill="1" applyBorder="1" applyAlignment="1">
      <alignment horizontal="center" vertical="center" wrapText="1"/>
    </xf>
    <xf numFmtId="0" fontId="20" fillId="16" borderId="51" xfId="0" applyFont="1" applyFill="1" applyBorder="1" applyAlignment="1">
      <alignment horizontal="center" vertical="center" wrapText="1"/>
    </xf>
    <xf numFmtId="0" fontId="20" fillId="16" borderId="53" xfId="0" applyFont="1" applyFill="1" applyBorder="1" applyAlignment="1">
      <alignment horizontal="center" vertical="center" wrapText="1"/>
    </xf>
    <xf numFmtId="0" fontId="20" fillId="16" borderId="48" xfId="0" applyFont="1" applyFill="1" applyBorder="1" applyAlignment="1">
      <alignment horizontal="center" vertical="center"/>
    </xf>
    <xf numFmtId="0" fontId="20" fillId="16" borderId="53" xfId="0" applyFont="1" applyFill="1" applyBorder="1" applyAlignment="1">
      <alignment horizontal="center" vertical="center"/>
    </xf>
    <xf numFmtId="0" fontId="20" fillId="16" borderId="58" xfId="0" applyFont="1" applyFill="1" applyBorder="1" applyAlignment="1">
      <alignment horizontal="center" vertical="center" wrapText="1"/>
    </xf>
    <xf numFmtId="0" fontId="20" fillId="16" borderId="62" xfId="0" applyFont="1" applyFill="1" applyBorder="1" applyAlignment="1">
      <alignment horizontal="center" vertical="center" wrapText="1"/>
    </xf>
    <xf numFmtId="0" fontId="22" fillId="19" borderId="43" xfId="0" applyFont="1" applyFill="1" applyBorder="1" applyAlignment="1">
      <alignment horizontal="center" vertical="center"/>
    </xf>
    <xf numFmtId="0" fontId="22" fillId="19" borderId="44" xfId="0" applyFont="1" applyFill="1" applyBorder="1" applyAlignment="1">
      <alignment horizontal="center" vertical="center"/>
    </xf>
    <xf numFmtId="0" fontId="22" fillId="19" borderId="47" xfId="0" applyFont="1" applyFill="1" applyBorder="1" applyAlignment="1">
      <alignment horizontal="center" vertical="center"/>
    </xf>
    <xf numFmtId="0" fontId="20" fillId="19" borderId="45" xfId="0" applyFont="1" applyFill="1" applyBorder="1" applyAlignment="1">
      <alignment horizontal="center" vertical="top" wrapText="1"/>
    </xf>
    <xf numFmtId="0" fontId="20" fillId="19" borderId="46" xfId="0" applyFont="1" applyFill="1" applyBorder="1" applyAlignment="1">
      <alignment horizontal="center" vertical="top" wrapText="1"/>
    </xf>
    <xf numFmtId="0" fontId="20" fillId="19" borderId="52" xfId="0" applyFont="1" applyFill="1" applyBorder="1" applyAlignment="1">
      <alignment horizontal="center" vertical="top" wrapText="1"/>
    </xf>
    <xf numFmtId="0" fontId="25" fillId="16" borderId="60" xfId="0" applyFont="1" applyFill="1" applyBorder="1" applyAlignment="1">
      <alignment horizontal="left" vertical="top" wrapText="1"/>
    </xf>
    <xf numFmtId="0" fontId="25" fillId="16" borderId="61" xfId="0" applyFont="1" applyFill="1" applyBorder="1" applyAlignment="1">
      <alignment horizontal="left" vertical="top" wrapText="1"/>
    </xf>
    <xf numFmtId="0" fontId="25" fillId="16" borderId="45" xfId="0" applyFont="1" applyFill="1" applyBorder="1" applyAlignment="1">
      <alignment horizontal="left" vertical="top" wrapText="1"/>
    </xf>
    <xf numFmtId="0" fontId="25" fillId="16" borderId="52" xfId="0" applyFont="1" applyFill="1" applyBorder="1" applyAlignment="1">
      <alignment horizontal="left" vertical="top" wrapText="1"/>
    </xf>
    <xf numFmtId="0" fontId="26" fillId="16" borderId="18" xfId="0" applyFont="1" applyFill="1" applyBorder="1" applyAlignment="1">
      <alignment horizontal="left" vertical="top" wrapText="1"/>
    </xf>
    <xf numFmtId="0" fontId="26" fillId="16" borderId="19" xfId="0" applyFont="1" applyFill="1" applyBorder="1" applyAlignment="1">
      <alignment horizontal="left" vertical="top" wrapText="1"/>
    </xf>
    <xf numFmtId="0" fontId="26" fillId="16" borderId="23" xfId="0" applyFont="1" applyFill="1" applyBorder="1" applyAlignment="1">
      <alignment horizontal="left" vertical="top" wrapText="1"/>
    </xf>
    <xf numFmtId="0" fontId="20" fillId="16" borderId="43" xfId="0" applyFont="1" applyFill="1" applyBorder="1" applyAlignment="1" applyProtection="1">
      <alignment vertical="center"/>
      <protection locked="0"/>
    </xf>
    <xf numFmtId="0" fontId="20" fillId="16" borderId="45" xfId="0" applyFont="1" applyFill="1" applyBorder="1" applyAlignment="1" applyProtection="1">
      <alignment vertical="center"/>
      <protection locked="0"/>
    </xf>
    <xf numFmtId="0" fontId="20" fillId="16" borderId="43" xfId="0" applyFont="1" applyFill="1" applyBorder="1" applyAlignment="1" applyProtection="1">
      <alignment vertical="center" wrapText="1"/>
      <protection locked="0"/>
    </xf>
    <xf numFmtId="0" fontId="20" fillId="16" borderId="45" xfId="0" applyFont="1" applyFill="1" applyBorder="1" applyAlignment="1" applyProtection="1">
      <alignment vertical="center" wrapText="1"/>
      <protection locked="0"/>
    </xf>
    <xf numFmtId="0" fontId="20" fillId="16" borderId="58" xfId="0" applyFont="1" applyFill="1" applyBorder="1" applyAlignment="1" applyProtection="1">
      <alignment horizontal="center" vertical="center" wrapText="1"/>
      <protection locked="0"/>
    </xf>
    <xf numFmtId="0" fontId="20" fillId="16" borderId="62" xfId="0" applyFont="1" applyFill="1" applyBorder="1" applyAlignment="1" applyProtection="1">
      <alignment horizontal="center" vertical="center" wrapText="1"/>
      <protection locked="0"/>
    </xf>
    <xf numFmtId="0" fontId="20" fillId="16" borderId="48" xfId="0" applyFont="1" applyFill="1" applyBorder="1" applyAlignment="1" applyProtection="1">
      <alignment vertical="center"/>
      <protection locked="0"/>
    </xf>
    <xf numFmtId="0" fontId="20" fillId="16" borderId="53" xfId="0" applyFont="1" applyFill="1" applyBorder="1" applyAlignment="1" applyProtection="1">
      <alignment vertical="center"/>
      <protection locked="0"/>
    </xf>
    <xf numFmtId="0" fontId="20" fillId="16" borderId="48" xfId="0" applyFont="1" applyFill="1" applyBorder="1" applyAlignment="1" applyProtection="1">
      <alignment vertical="center" wrapText="1"/>
      <protection locked="0"/>
    </xf>
    <xf numFmtId="0" fontId="20" fillId="16" borderId="53" xfId="0" applyFont="1" applyFill="1" applyBorder="1" applyAlignment="1" applyProtection="1">
      <alignment vertical="center" wrapText="1"/>
      <protection locked="0"/>
    </xf>
    <xf numFmtId="0" fontId="22" fillId="17" borderId="18" xfId="0" applyFont="1" applyFill="1" applyBorder="1" applyAlignment="1">
      <alignment horizontal="center" vertical="center" wrapText="1"/>
    </xf>
    <xf numFmtId="0" fontId="22" fillId="17" borderId="19" xfId="0" applyFont="1" applyFill="1" applyBorder="1" applyAlignment="1">
      <alignment horizontal="center" vertical="center" wrapText="1"/>
    </xf>
    <xf numFmtId="0" fontId="22" fillId="17" borderId="23" xfId="0" applyFont="1" applyFill="1" applyBorder="1" applyAlignment="1">
      <alignment horizontal="center" vertical="center" wrapText="1"/>
    </xf>
    <xf numFmtId="0" fontId="22" fillId="18" borderId="18" xfId="0" applyFont="1" applyFill="1" applyBorder="1" applyAlignment="1">
      <alignment horizontal="center" vertical="center" wrapText="1"/>
    </xf>
    <xf numFmtId="0" fontId="22" fillId="18" borderId="19" xfId="0" applyFont="1" applyFill="1" applyBorder="1" applyAlignment="1">
      <alignment horizontal="center" vertical="center" wrapText="1"/>
    </xf>
    <xf numFmtId="0" fontId="22" fillId="18" borderId="23" xfId="0" applyFont="1" applyFill="1" applyBorder="1" applyAlignment="1">
      <alignment horizontal="center" vertical="center" wrapText="1"/>
    </xf>
    <xf numFmtId="0" fontId="20" fillId="16" borderId="81" xfId="0" applyFont="1" applyFill="1" applyBorder="1" applyAlignment="1" applyProtection="1">
      <alignment horizontal="center" vertical="center" wrapText="1"/>
      <protection locked="0"/>
    </xf>
    <xf numFmtId="0" fontId="20" fillId="16" borderId="48" xfId="0" applyFont="1" applyFill="1" applyBorder="1" applyAlignment="1" applyProtection="1">
      <alignment horizontal="center" vertical="center"/>
      <protection locked="0"/>
    </xf>
    <xf numFmtId="0" fontId="20" fillId="16" borderId="53" xfId="0" applyFont="1" applyFill="1" applyBorder="1" applyAlignment="1" applyProtection="1">
      <alignment horizontal="center" vertical="center"/>
      <protection locked="0"/>
    </xf>
    <xf numFmtId="0" fontId="20" fillId="16" borderId="47" xfId="0" applyFont="1" applyFill="1" applyBorder="1" applyAlignment="1" applyProtection="1">
      <alignment vertical="center"/>
      <protection locked="0"/>
    </xf>
    <xf numFmtId="0" fontId="20" fillId="16" borderId="52" xfId="0" applyFont="1" applyFill="1" applyBorder="1" applyAlignment="1" applyProtection="1">
      <alignment vertical="center"/>
      <protection locked="0"/>
    </xf>
    <xf numFmtId="0" fontId="20" fillId="16" borderId="47" xfId="0" applyFont="1" applyFill="1" applyBorder="1" applyAlignment="1" applyProtection="1">
      <alignment vertical="center" wrapText="1"/>
      <protection locked="0"/>
    </xf>
    <xf numFmtId="0" fontId="20" fillId="16" borderId="52" xfId="0" applyFont="1" applyFill="1" applyBorder="1" applyAlignment="1" applyProtection="1">
      <alignment vertical="center" wrapText="1"/>
      <protection locked="0"/>
    </xf>
    <xf numFmtId="0" fontId="20" fillId="16" borderId="82" xfId="0" applyFont="1" applyFill="1" applyBorder="1" applyAlignment="1" applyProtection="1">
      <alignment horizontal="center" vertical="center" wrapText="1"/>
      <protection locked="0"/>
    </xf>
    <xf numFmtId="0" fontId="20" fillId="16" borderId="83" xfId="0" applyFont="1" applyFill="1" applyBorder="1" applyAlignment="1" applyProtection="1">
      <alignment horizontal="center" vertical="center" wrapText="1"/>
      <protection locked="0"/>
    </xf>
    <xf numFmtId="0" fontId="0" fillId="0" borderId="0" xfId="0" applyAlignment="1">
      <alignment horizontal="center"/>
    </xf>
    <xf numFmtId="0" fontId="3" fillId="2" borderId="29"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39"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0" xfId="0" applyFont="1" applyFill="1" applyAlignment="1">
      <alignment horizontal="center" vertical="center"/>
    </xf>
    <xf numFmtId="0" fontId="3" fillId="2" borderId="40"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0" xfId="0" applyFont="1" applyFill="1" applyAlignment="1">
      <alignment horizontal="center" vertical="center"/>
    </xf>
    <xf numFmtId="0" fontId="1" fillId="2" borderId="40"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33" xfId="0" applyFont="1" applyFill="1" applyBorder="1" applyAlignment="1">
      <alignment horizontal="center" vertical="center"/>
    </xf>
    <xf numFmtId="0" fontId="3" fillId="2" borderId="41" xfId="0" applyFont="1" applyFill="1" applyBorder="1" applyAlignment="1">
      <alignment horizontal="center" vertical="center"/>
    </xf>
    <xf numFmtId="0" fontId="4" fillId="0" borderId="30" xfId="0" applyFont="1" applyBorder="1" applyAlignment="1">
      <alignment horizontal="right"/>
    </xf>
    <xf numFmtId="0" fontId="1" fillId="0" borderId="0" xfId="0" applyFont="1" applyAlignment="1">
      <alignment horizontal="left"/>
    </xf>
    <xf numFmtId="0" fontId="1" fillId="10" borderId="1" xfId="0" applyFont="1" applyFill="1" applyBorder="1" applyAlignment="1" applyProtection="1">
      <alignment horizontal="left" indent="1"/>
      <protection locked="0"/>
    </xf>
    <xf numFmtId="0" fontId="1" fillId="0" borderId="0" xfId="0" applyFont="1" applyAlignment="1">
      <alignment horizontal="center"/>
    </xf>
    <xf numFmtId="0" fontId="1" fillId="10" borderId="1" xfId="0" applyFont="1" applyFill="1" applyBorder="1" applyAlignment="1" applyProtection="1">
      <alignment horizontal="center"/>
      <protection locked="0"/>
    </xf>
    <xf numFmtId="0" fontId="0" fillId="10" borderId="1" xfId="0" applyFill="1" applyBorder="1" applyAlignment="1" applyProtection="1">
      <alignment horizontal="center"/>
      <protection locked="0"/>
    </xf>
    <xf numFmtId="0" fontId="0" fillId="0" borderId="33" xfId="0" applyBorder="1" applyAlignment="1">
      <alignment horizontal="center"/>
    </xf>
    <xf numFmtId="0" fontId="0" fillId="0" borderId="37" xfId="0" applyBorder="1" applyAlignment="1">
      <alignment horizontal="center"/>
    </xf>
    <xf numFmtId="0" fontId="0" fillId="0" borderId="4" xfId="0" applyBorder="1" applyAlignment="1">
      <alignment horizontal="center" vertical="center"/>
    </xf>
    <xf numFmtId="0" fontId="5" fillId="5" borderId="24" xfId="0" applyFont="1" applyFill="1" applyBorder="1" applyAlignment="1">
      <alignment horizontal="center" vertical="center"/>
    </xf>
    <xf numFmtId="0" fontId="5" fillId="5" borderId="11" xfId="0" applyFont="1" applyFill="1" applyBorder="1" applyAlignment="1">
      <alignment horizontal="center" vertical="center"/>
    </xf>
    <xf numFmtId="0" fontId="0" fillId="0" borderId="34"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168" fontId="0" fillId="10" borderId="4" xfId="0" applyNumberFormat="1" applyFill="1" applyBorder="1" applyAlignment="1" applyProtection="1">
      <alignment horizontal="center" vertical="center"/>
      <protection locked="0"/>
    </xf>
    <xf numFmtId="168" fontId="0" fillId="10" borderId="42" xfId="0" applyNumberFormat="1" applyFill="1" applyBorder="1" applyAlignment="1" applyProtection="1">
      <alignment horizontal="center" vertical="center"/>
      <protection locked="0"/>
    </xf>
    <xf numFmtId="44" fontId="0" fillId="10" borderId="11" xfId="0" applyNumberFormat="1" applyFill="1" applyBorder="1" applyAlignment="1" applyProtection="1">
      <alignment horizontal="center" vertical="center"/>
      <protection locked="0"/>
    </xf>
    <xf numFmtId="44" fontId="0" fillId="0" borderId="11" xfId="0" applyNumberFormat="1" applyBorder="1" applyAlignment="1">
      <alignment horizontal="center" vertical="center"/>
    </xf>
    <xf numFmtId="0" fontId="0" fillId="0" borderId="36" xfId="0" applyBorder="1"/>
    <xf numFmtId="0" fontId="1" fillId="0" borderId="11" xfId="0" applyFont="1" applyBorder="1" applyAlignment="1">
      <alignment horizontal="left" vertical="center"/>
    </xf>
    <xf numFmtId="168" fontId="1" fillId="0" borderId="5" xfId="0" applyNumberFormat="1" applyFont="1" applyBorder="1" applyAlignment="1" applyProtection="1">
      <alignment horizontal="center" vertical="center"/>
      <protection locked="0"/>
    </xf>
    <xf numFmtId="168" fontId="1" fillId="0" borderId="0" xfId="0" applyNumberFormat="1" applyFont="1" applyAlignment="1" applyProtection="1">
      <alignment horizontal="center" vertical="center"/>
      <protection locked="0"/>
    </xf>
    <xf numFmtId="168" fontId="1" fillId="0" borderId="2" xfId="0" applyNumberFormat="1" applyFont="1" applyBorder="1" applyAlignment="1" applyProtection="1">
      <alignment horizontal="center" vertical="center"/>
      <protection locked="0"/>
    </xf>
    <xf numFmtId="0" fontId="0" fillId="0" borderId="11" xfId="0" quotePrefix="1" applyBorder="1" applyAlignment="1">
      <alignment horizontal="left" vertical="center"/>
    </xf>
    <xf numFmtId="0" fontId="0" fillId="0" borderId="11" xfId="0" applyBorder="1" applyAlignment="1">
      <alignment horizontal="left" vertical="center"/>
    </xf>
    <xf numFmtId="165" fontId="0" fillId="0" borderId="7" xfId="0" applyNumberFormat="1" applyBorder="1" applyAlignment="1">
      <alignment horizontal="center"/>
    </xf>
    <xf numFmtId="169" fontId="1" fillId="0" borderId="11" xfId="0" quotePrefix="1" applyNumberFormat="1" applyFont="1" applyBorder="1" applyAlignment="1">
      <alignment horizontal="center" vertical="center"/>
    </xf>
    <xf numFmtId="169" fontId="1" fillId="0" borderId="11" xfId="0" applyNumberFormat="1" applyFont="1" applyBorder="1" applyAlignment="1">
      <alignment horizontal="center" vertical="center"/>
    </xf>
    <xf numFmtId="0" fontId="0" fillId="0" borderId="7" xfId="0" applyBorder="1" applyAlignment="1">
      <alignment horizontal="center"/>
    </xf>
    <xf numFmtId="14" fontId="0" fillId="0" borderId="7" xfId="0" applyNumberFormat="1" applyBorder="1" applyAlignment="1">
      <alignment horizontal="center"/>
    </xf>
    <xf numFmtId="171" fontId="0" fillId="0" borderId="7" xfId="0" applyNumberFormat="1" applyBorder="1" applyAlignment="1">
      <alignment horizontal="center"/>
    </xf>
    <xf numFmtId="0" fontId="0" fillId="0" borderId="30" xfId="0" applyBorder="1"/>
    <xf numFmtId="0" fontId="1" fillId="0" borderId="0" xfId="0" applyFont="1" applyAlignment="1">
      <alignment horizontal="center" vertical="center" wrapText="1"/>
    </xf>
    <xf numFmtId="0" fontId="17" fillId="0" borderId="0" xfId="0" applyFont="1" applyAlignment="1">
      <alignment horizontal="center" wrapText="1"/>
    </xf>
    <xf numFmtId="0" fontId="18"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wrapText="1"/>
    </xf>
    <xf numFmtId="0" fontId="18" fillId="0" borderId="0" xfId="0" applyFont="1" applyAlignment="1">
      <alignment horizontal="left"/>
    </xf>
    <xf numFmtId="0" fontId="9" fillId="0" borderId="0" xfId="0" applyFont="1" applyAlignment="1">
      <alignment horizontal="left" vertical="center"/>
    </xf>
    <xf numFmtId="0" fontId="11" fillId="5" borderId="18" xfId="0" applyFont="1" applyFill="1" applyBorder="1" applyAlignment="1">
      <alignment horizontal="center" vertical="center"/>
    </xf>
    <xf numFmtId="0" fontId="11" fillId="5" borderId="19" xfId="0" applyFont="1" applyFill="1" applyBorder="1" applyAlignment="1">
      <alignment horizontal="center" vertical="center"/>
    </xf>
    <xf numFmtId="0" fontId="11" fillId="5" borderId="23" xfId="0" applyFont="1" applyFill="1" applyBorder="1" applyAlignment="1">
      <alignment horizontal="center" vertical="center"/>
    </xf>
    <xf numFmtId="0" fontId="11" fillId="7" borderId="18" xfId="0" applyFont="1" applyFill="1" applyBorder="1" applyAlignment="1">
      <alignment horizontal="left" vertical="center" indent="1"/>
    </xf>
    <xf numFmtId="0" fontId="11" fillId="7" borderId="19" xfId="0" applyFont="1" applyFill="1" applyBorder="1" applyAlignment="1">
      <alignment horizontal="left" vertical="center" indent="1"/>
    </xf>
    <xf numFmtId="0" fontId="11" fillId="7" borderId="23" xfId="0" applyFont="1" applyFill="1" applyBorder="1" applyAlignment="1">
      <alignment horizontal="left" vertical="center" indent="1"/>
    </xf>
    <xf numFmtId="0" fontId="1" fillId="0" borderId="11" xfId="0" applyFont="1" applyBorder="1" applyAlignment="1">
      <alignment horizontal="center"/>
    </xf>
    <xf numFmtId="0" fontId="14" fillId="8" borderId="18" xfId="0" applyFont="1" applyFill="1" applyBorder="1" applyAlignment="1">
      <alignment horizontal="center" vertical="center"/>
    </xf>
    <xf numFmtId="0" fontId="14" fillId="8" borderId="19" xfId="0" applyFont="1" applyFill="1" applyBorder="1" applyAlignment="1">
      <alignment horizontal="center" vertical="center"/>
    </xf>
    <xf numFmtId="0" fontId="14" fillId="8" borderId="23" xfId="0" applyFont="1" applyFill="1" applyBorder="1" applyAlignment="1">
      <alignment horizontal="center" vertical="center"/>
    </xf>
    <xf numFmtId="0" fontId="1" fillId="9" borderId="11" xfId="0" applyFont="1" applyFill="1" applyBorder="1" applyAlignment="1">
      <alignment horizontal="center"/>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13" xfId="0" applyFont="1" applyFill="1" applyBorder="1" applyAlignment="1">
      <alignment horizontal="center" vertical="center"/>
    </xf>
    <xf numFmtId="0" fontId="1" fillId="7" borderId="11" xfId="0" applyFont="1" applyFill="1" applyBorder="1"/>
    <xf numFmtId="0" fontId="0" fillId="0" borderId="6" xfId="0" applyBorder="1"/>
    <xf numFmtId="0" fontId="0" fillId="0" borderId="7" xfId="0" applyBorder="1"/>
    <xf numFmtId="0" fontId="0" fillId="0" borderId="13" xfId="0" applyBorder="1"/>
    <xf numFmtId="0" fontId="1" fillId="0" borderId="22" xfId="0" applyFont="1" applyBorder="1"/>
    <xf numFmtId="0" fontId="1" fillId="12" borderId="6" xfId="0" applyFont="1" applyFill="1" applyBorder="1" applyAlignment="1">
      <alignment horizontal="center"/>
    </xf>
    <xf numFmtId="0" fontId="1" fillId="12" borderId="7" xfId="0" applyFont="1" applyFill="1" applyBorder="1" applyAlignment="1">
      <alignment horizontal="center"/>
    </xf>
    <xf numFmtId="0" fontId="1" fillId="12" borderId="13" xfId="0" applyFont="1" applyFill="1" applyBorder="1" applyAlignment="1">
      <alignment horizontal="center"/>
    </xf>
    <xf numFmtId="0" fontId="1" fillId="13" borderId="6" xfId="0" applyFont="1" applyFill="1" applyBorder="1" applyAlignment="1">
      <alignment horizontal="center"/>
    </xf>
    <xf numFmtId="0" fontId="1" fillId="13" borderId="7" xfId="0" applyFont="1" applyFill="1" applyBorder="1" applyAlignment="1">
      <alignment horizontal="center"/>
    </xf>
    <xf numFmtId="0" fontId="1" fillId="13" borderId="13" xfId="0" applyFont="1" applyFill="1" applyBorder="1" applyAlignment="1">
      <alignment horizontal="center"/>
    </xf>
    <xf numFmtId="0" fontId="16" fillId="7" borderId="11" xfId="0" applyFont="1" applyFill="1" applyBorder="1" applyAlignment="1">
      <alignment horizontal="center"/>
    </xf>
    <xf numFmtId="0" fontId="0" fillId="7" borderId="6" xfId="0" applyFill="1" applyBorder="1" applyAlignment="1">
      <alignment horizontal="center"/>
    </xf>
    <xf numFmtId="0" fontId="0" fillId="7" borderId="7" xfId="0" applyFill="1" applyBorder="1" applyAlignment="1">
      <alignment horizontal="center"/>
    </xf>
    <xf numFmtId="0" fontId="0" fillId="7" borderId="13" xfId="0" applyFill="1" applyBorder="1" applyAlignment="1">
      <alignment horizontal="center"/>
    </xf>
    <xf numFmtId="0" fontId="1" fillId="12" borderId="11" xfId="0" applyFont="1" applyFill="1" applyBorder="1" applyAlignment="1">
      <alignment horizontal="center"/>
    </xf>
    <xf numFmtId="0" fontId="1" fillId="0" borderId="25" xfId="5" applyFont="1" applyBorder="1" applyAlignment="1">
      <alignment horizontal="center"/>
    </xf>
    <xf numFmtId="0" fontId="1" fillId="0" borderId="26" xfId="5" applyFont="1" applyBorder="1" applyAlignment="1">
      <alignment horizontal="center"/>
    </xf>
    <xf numFmtId="0" fontId="37" fillId="0" borderId="27" xfId="5" applyBorder="1"/>
    <xf numFmtId="0" fontId="37" fillId="0" borderId="28" xfId="5" applyBorder="1"/>
    <xf numFmtId="0" fontId="37" fillId="0" borderId="6" xfId="5" applyBorder="1"/>
    <xf numFmtId="0" fontId="37" fillId="0" borderId="13" xfId="5" applyBorder="1"/>
    <xf numFmtId="0" fontId="11" fillId="5" borderId="11" xfId="5" applyFont="1" applyFill="1" applyBorder="1" applyAlignment="1">
      <alignment horizontal="center" vertical="center"/>
    </xf>
    <xf numFmtId="0" fontId="1" fillId="14" borderId="6" xfId="0" applyFont="1" applyFill="1" applyBorder="1" applyAlignment="1">
      <alignment horizontal="center" vertical="center"/>
    </xf>
    <xf numFmtId="0" fontId="1" fillId="14" borderId="7" xfId="0" applyFont="1" applyFill="1" applyBorder="1" applyAlignment="1">
      <alignment horizontal="center" vertical="center"/>
    </xf>
    <xf numFmtId="0" fontId="1" fillId="14" borderId="13" xfId="0" applyFont="1" applyFill="1" applyBorder="1" applyAlignment="1">
      <alignment horizontal="center" vertical="center"/>
    </xf>
    <xf numFmtId="0" fontId="1" fillId="0" borderId="1" xfId="5" applyFont="1" applyBorder="1"/>
    <xf numFmtId="0" fontId="0" fillId="0" borderId="21" xfId="0" applyBorder="1" applyAlignment="1">
      <alignment horizontal="center" vertical="center"/>
    </xf>
    <xf numFmtId="0" fontId="0" fillId="0" borderId="11" xfId="0" applyBorder="1" applyAlignment="1">
      <alignment horizontal="center" vertical="center"/>
    </xf>
    <xf numFmtId="44" fontId="37" fillId="0" borderId="0" xfId="5" applyNumberFormat="1" applyAlignment="1">
      <alignment horizontal="center"/>
    </xf>
    <xf numFmtId="4" fontId="37" fillId="0" borderId="0" xfId="5" applyNumberFormat="1" applyAlignment="1">
      <alignment horizontal="center"/>
    </xf>
    <xf numFmtId="39" fontId="0" fillId="0" borderId="0" xfId="2" applyNumberFormat="1" applyFont="1" applyAlignment="1">
      <alignment horizontal="center"/>
    </xf>
    <xf numFmtId="42" fontId="37" fillId="0" borderId="0" xfId="5" applyNumberFormat="1" applyAlignment="1">
      <alignment horizontal="center"/>
    </xf>
    <xf numFmtId="0" fontId="10" fillId="3" borderId="18" xfId="5" applyFont="1" applyFill="1" applyBorder="1" applyAlignment="1">
      <alignment horizontal="center" vertical="center"/>
    </xf>
    <xf numFmtId="0" fontId="10" fillId="3" borderId="19" xfId="5" applyFont="1" applyFill="1" applyBorder="1" applyAlignment="1">
      <alignment horizontal="center" vertical="center"/>
    </xf>
    <xf numFmtId="0" fontId="10" fillId="3" borderId="23" xfId="5" applyFont="1" applyFill="1" applyBorder="1" applyAlignment="1">
      <alignment horizontal="center" vertical="center"/>
    </xf>
    <xf numFmtId="0" fontId="37" fillId="2" borderId="0" xfId="5" applyFill="1" applyAlignment="1">
      <alignment horizontal="center"/>
    </xf>
    <xf numFmtId="0" fontId="1" fillId="0" borderId="0" xfId="5" applyFont="1" applyAlignment="1">
      <alignment horizontal="center"/>
    </xf>
    <xf numFmtId="0" fontId="37" fillId="0" borderId="0" xfId="5" applyAlignment="1">
      <alignment horizontal="center"/>
    </xf>
    <xf numFmtId="0" fontId="2" fillId="0" borderId="0" xfId="0" applyFont="1" applyAlignment="1">
      <alignment horizontal="center"/>
    </xf>
    <xf numFmtId="0" fontId="9" fillId="0" borderId="0" xfId="0" applyFont="1" applyAlignment="1">
      <alignment horizontal="right" vertical="center"/>
    </xf>
    <xf numFmtId="0" fontId="4" fillId="0" borderId="0" xfId="5" applyFont="1" applyAlignment="1">
      <alignment horizontal="right"/>
    </xf>
    <xf numFmtId="0" fontId="1" fillId="0" borderId="1" xfId="5" applyFont="1" applyBorder="1" applyAlignment="1">
      <alignment horizontal="left"/>
    </xf>
    <xf numFmtId="0" fontId="1" fillId="6" borderId="1" xfId="5" applyFont="1" applyFill="1" applyBorder="1" applyAlignment="1" applyProtection="1">
      <alignment horizontal="left" indent="1"/>
      <protection locked="0"/>
    </xf>
    <xf numFmtId="0" fontId="1" fillId="0" borderId="1" xfId="5" applyFont="1" applyBorder="1" applyAlignment="1">
      <alignment horizontal="center"/>
    </xf>
    <xf numFmtId="0" fontId="37" fillId="0" borderId="1" xfId="5" applyBorder="1" applyAlignment="1">
      <alignment horizontal="center"/>
    </xf>
    <xf numFmtId="0" fontId="1" fillId="6" borderId="1" xfId="5" applyFont="1" applyFill="1" applyBorder="1" applyAlignment="1" applyProtection="1">
      <alignment horizontal="center"/>
      <protection locked="0"/>
    </xf>
    <xf numFmtId="0" fontId="37" fillId="6" borderId="1" xfId="5" applyFill="1" applyBorder="1" applyAlignment="1" applyProtection="1">
      <alignment horizontal="center"/>
      <protection locked="0"/>
    </xf>
    <xf numFmtId="0" fontId="37" fillId="2" borderId="1" xfId="5" applyFill="1" applyBorder="1" applyAlignment="1">
      <alignment horizontal="center"/>
    </xf>
    <xf numFmtId="0" fontId="37" fillId="0" borderId="4" xfId="5" applyBorder="1" applyAlignment="1">
      <alignment horizontal="center" vertical="center"/>
    </xf>
    <xf numFmtId="0" fontId="37" fillId="0" borderId="6" xfId="5" applyBorder="1" applyAlignment="1">
      <alignment horizontal="left"/>
    </xf>
    <xf numFmtId="0" fontId="37" fillId="0" borderId="7" xfId="5" applyBorder="1" applyAlignment="1">
      <alignment horizontal="left"/>
    </xf>
    <xf numFmtId="0" fontId="37" fillId="0" borderId="13" xfId="5" applyBorder="1" applyAlignment="1">
      <alignment horizontal="left"/>
    </xf>
    <xf numFmtId="44" fontId="37" fillId="6" borderId="11" xfId="5" applyNumberFormat="1" applyFill="1" applyBorder="1" applyAlignment="1" applyProtection="1">
      <alignment horizontal="center"/>
      <protection locked="0"/>
    </xf>
    <xf numFmtId="10" fontId="37" fillId="6" borderId="11" xfId="5" applyNumberFormat="1" applyFill="1" applyBorder="1" applyAlignment="1" applyProtection="1">
      <alignment horizontal="right" indent="1"/>
      <protection locked="0"/>
    </xf>
    <xf numFmtId="44" fontId="37" fillId="0" borderId="11" xfId="5" applyNumberFormat="1" applyBorder="1" applyAlignment="1">
      <alignment horizontal="center"/>
    </xf>
    <xf numFmtId="9" fontId="37" fillId="6" borderId="11" xfId="5" applyNumberFormat="1" applyFill="1" applyBorder="1" applyAlignment="1" applyProtection="1">
      <alignment horizontal="right" indent="1"/>
      <protection locked="0"/>
    </xf>
    <xf numFmtId="1" fontId="37" fillId="0" borderId="11" xfId="5" applyNumberFormat="1" applyBorder="1" applyAlignment="1">
      <alignment horizontal="right" indent="1"/>
    </xf>
    <xf numFmtId="0" fontId="37" fillId="0" borderId="9" xfId="5" applyBorder="1" applyAlignment="1">
      <alignment horizontal="center" vertical="center"/>
    </xf>
    <xf numFmtId="0" fontId="9" fillId="2" borderId="0" xfId="0" applyFont="1" applyFill="1" applyAlignment="1">
      <alignment horizontal="left" vertical="center"/>
    </xf>
    <xf numFmtId="0" fontId="37" fillId="2" borderId="2" xfId="5" applyFill="1" applyBorder="1" applyAlignment="1">
      <alignment horizontal="center"/>
    </xf>
    <xf numFmtId="0" fontId="6" fillId="5" borderId="11" xfId="5" applyFont="1" applyFill="1" applyBorder="1" applyAlignment="1">
      <alignment horizontal="center" vertical="center"/>
    </xf>
    <xf numFmtId="0" fontId="7" fillId="6" borderId="6" xfId="5" applyFont="1" applyFill="1" applyBorder="1" applyAlignment="1" applyProtection="1">
      <alignment horizontal="left" vertical="top" wrapText="1"/>
      <protection locked="0"/>
    </xf>
    <xf numFmtId="0" fontId="8" fillId="6" borderId="7" xfId="5" applyFont="1" applyFill="1" applyBorder="1" applyAlignment="1" applyProtection="1">
      <alignment horizontal="left" vertical="top" wrapText="1"/>
      <protection locked="0"/>
    </xf>
    <xf numFmtId="0" fontId="8" fillId="6" borderId="13" xfId="5" applyFont="1" applyFill="1" applyBorder="1" applyAlignment="1" applyProtection="1">
      <alignment horizontal="left" vertical="top" wrapText="1"/>
      <protection locked="0"/>
    </xf>
    <xf numFmtId="0" fontId="37" fillId="0" borderId="12" xfId="5" applyBorder="1" applyAlignment="1">
      <alignment horizontal="center" vertical="center"/>
    </xf>
    <xf numFmtId="0" fontId="37" fillId="2" borderId="10" xfId="5" applyFill="1" applyBorder="1" applyAlignment="1">
      <alignment horizontal="center"/>
    </xf>
    <xf numFmtId="0" fontId="1" fillId="0" borderId="6" xfId="5" applyFont="1" applyBorder="1" applyAlignment="1">
      <alignment horizontal="left" vertical="center" indent="1"/>
    </xf>
    <xf numFmtId="0" fontId="1" fillId="0" borderId="7" xfId="5" applyFont="1" applyBorder="1" applyAlignment="1">
      <alignment horizontal="left" vertical="center" indent="1"/>
    </xf>
    <xf numFmtId="0" fontId="1" fillId="0" borderId="13" xfId="5" applyFont="1" applyBorder="1" applyAlignment="1">
      <alignment horizontal="left" vertical="center" indent="1"/>
    </xf>
    <xf numFmtId="165" fontId="2" fillId="0" borderId="11" xfId="5" applyNumberFormat="1" applyFont="1" applyBorder="1" applyAlignment="1">
      <alignment horizontal="center"/>
    </xf>
    <xf numFmtId="0" fontId="37" fillId="4" borderId="10" xfId="5" applyFill="1" applyBorder="1" applyAlignment="1">
      <alignment horizontal="center"/>
    </xf>
    <xf numFmtId="0" fontId="37" fillId="2" borderId="15" xfId="5" applyFill="1" applyBorder="1" applyAlignment="1">
      <alignment horizontal="center"/>
    </xf>
    <xf numFmtId="0" fontId="3" fillId="0" borderId="0" xfId="0" applyFont="1" applyAlignment="1">
      <alignment horizontal="left" vertical="top" wrapText="1"/>
    </xf>
    <xf numFmtId="0" fontId="37" fillId="0" borderId="7" xfId="5" applyBorder="1" applyAlignment="1">
      <alignment horizontal="center" vertical="center"/>
    </xf>
    <xf numFmtId="0" fontId="37" fillId="0" borderId="6" xfId="5" applyBorder="1" applyAlignment="1">
      <alignment horizontal="left" indent="1"/>
    </xf>
    <xf numFmtId="0" fontId="37" fillId="0" borderId="7" xfId="5" applyBorder="1" applyAlignment="1">
      <alignment horizontal="left" indent="1"/>
    </xf>
    <xf numFmtId="0" fontId="37" fillId="0" borderId="13" xfId="5" applyBorder="1" applyAlignment="1">
      <alignment horizontal="left" indent="1"/>
    </xf>
    <xf numFmtId="164" fontId="37" fillId="0" borderId="6" xfId="5" applyNumberFormat="1" applyBorder="1" applyAlignment="1" applyProtection="1">
      <alignment horizontal="right"/>
      <protection locked="0"/>
    </xf>
    <xf numFmtId="164" fontId="37" fillId="0" borderId="7" xfId="5" applyNumberFormat="1" applyBorder="1" applyAlignment="1" applyProtection="1">
      <alignment horizontal="right"/>
      <protection locked="0"/>
    </xf>
    <xf numFmtId="164" fontId="37" fillId="0" borderId="13" xfId="5" applyNumberFormat="1" applyBorder="1" applyAlignment="1" applyProtection="1">
      <alignment horizontal="right"/>
      <protection locked="0"/>
    </xf>
    <xf numFmtId="41" fontId="37" fillId="0" borderId="11" xfId="5" applyNumberFormat="1" applyBorder="1" applyAlignment="1" applyProtection="1">
      <alignment horizontal="center"/>
      <protection locked="0"/>
    </xf>
    <xf numFmtId="0" fontId="37" fillId="0" borderId="0" xfId="5" applyAlignment="1">
      <alignment horizontal="center" vertical="center"/>
    </xf>
    <xf numFmtId="0" fontId="5" fillId="3" borderId="11" xfId="5" applyFont="1" applyFill="1" applyBorder="1" applyAlignment="1">
      <alignment horizontal="center" vertical="center"/>
    </xf>
  </cellXfs>
  <cellStyles count="11">
    <cellStyle name="Currency 2" xfId="4" xr:uid="{00000000-0005-0000-0000-000031000000}"/>
    <cellStyle name="Normal 2" xfId="5" xr:uid="{00000000-0005-0000-0000-000032000000}"/>
    <cellStyle name="Normal 3 2" xfId="6" xr:uid="{00000000-0005-0000-0000-000033000000}"/>
    <cellStyle name="Normal 3 2 4" xfId="7" xr:uid="{00000000-0005-0000-0000-000034000000}"/>
    <cellStyle name="千位分隔" xfId="1" builtinId="3"/>
    <cellStyle name="常规" xfId="0" builtinId="0"/>
    <cellStyle name="常规 2" xfId="8" xr:uid="{00000000-0005-0000-0000-000035000000}"/>
    <cellStyle name="百分比" xfId="3" builtinId="5"/>
    <cellStyle name="着色 2 2" xfId="9" xr:uid="{00000000-0005-0000-0000-000036000000}"/>
    <cellStyle name="货币" xfId="2" builtinId="4"/>
    <cellStyle name="货币 2" xfId="10" xr:uid="{00000000-0005-0000-0000-000037000000}"/>
  </cellStyles>
  <dxfs count="7">
    <dxf>
      <font>
        <b val="0"/>
        <i val="0"/>
        <strike val="0"/>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9" defaultPivotStyle="PivotStyleLight16"/>
  <colors>
    <mruColors>
      <color rgb="FFFFFFEB"/>
      <color rgb="FF000099"/>
      <color rgb="FF800000"/>
      <color rgb="FFFFFFF0"/>
      <color rgb="FFFFFFE6"/>
      <color rgb="FF000080"/>
      <color rgb="FF000066"/>
      <color rgb="FF008000"/>
      <color rgb="FFA50021"/>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481853</xdr:colOff>
      <xdr:row>2</xdr:row>
      <xdr:rowOff>22413</xdr:rowOff>
    </xdr:from>
    <xdr:to>
      <xdr:col>2</xdr:col>
      <xdr:colOff>2667000</xdr:colOff>
      <xdr:row>4</xdr:row>
      <xdr:rowOff>1098767</xdr:rowOff>
    </xdr:to>
    <xdr:pic>
      <xdr:nvPicPr>
        <xdr:cNvPr id="3" name="图片 2">
          <a:extLst>
            <a:ext uri="{FF2B5EF4-FFF2-40B4-BE49-F238E27FC236}">
              <a16:creationId xmlns:a16="http://schemas.microsoft.com/office/drawing/2014/main" id="{4F973528-18F7-D47D-CC20-208B8F327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317" y="566699"/>
          <a:ext cx="2185147" cy="189278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1"/>
  <sheetViews>
    <sheetView tabSelected="1" zoomScale="70" zoomScaleNormal="70" workbookViewId="0">
      <selection activeCell="E5" sqref="E5"/>
    </sheetView>
  </sheetViews>
  <sheetFormatPr defaultColWidth="8.7109375" defaultRowHeight="21"/>
  <cols>
    <col min="1" max="1" width="7.42578125" customWidth="1"/>
    <col min="2" max="2" width="11.7109375" customWidth="1"/>
    <col min="3" max="3" width="71.28515625" customWidth="1"/>
    <col min="4" max="4" width="13.85546875" style="183" customWidth="1"/>
    <col min="5" max="14" width="22" customWidth="1"/>
  </cols>
  <sheetData>
    <row r="1" spans="1:14" ht="19.5" customHeight="1">
      <c r="A1" s="252" t="s">
        <v>6</v>
      </c>
      <c r="B1" s="253"/>
      <c r="C1" s="253"/>
      <c r="D1" s="253"/>
      <c r="E1" s="253"/>
      <c r="F1" s="253"/>
      <c r="G1" s="253"/>
      <c r="H1" s="253"/>
      <c r="I1" s="253"/>
      <c r="J1" s="253"/>
      <c r="K1" s="253"/>
      <c r="L1" s="253"/>
      <c r="M1" s="253"/>
      <c r="N1" s="254"/>
    </row>
    <row r="2" spans="1:14" ht="24" thickBot="1">
      <c r="A2" s="255" t="s">
        <v>7</v>
      </c>
      <c r="B2" s="256"/>
      <c r="C2" s="256"/>
      <c r="D2" s="256"/>
      <c r="E2" s="256"/>
      <c r="F2" s="256"/>
      <c r="G2" s="256"/>
      <c r="H2" s="256"/>
      <c r="I2" s="256"/>
      <c r="J2" s="256"/>
      <c r="K2" s="256"/>
      <c r="L2" s="256"/>
      <c r="M2" s="256"/>
      <c r="N2" s="257"/>
    </row>
    <row r="3" spans="1:14">
      <c r="A3" s="258"/>
      <c r="B3" s="259"/>
      <c r="C3" s="260"/>
      <c r="D3" s="315" t="s">
        <v>8</v>
      </c>
      <c r="E3" s="267" t="s">
        <v>9</v>
      </c>
      <c r="F3" s="267" t="s">
        <v>9</v>
      </c>
      <c r="G3" s="267" t="s">
        <v>9</v>
      </c>
      <c r="H3" s="267" t="s">
        <v>9</v>
      </c>
      <c r="I3" s="267" t="s">
        <v>9</v>
      </c>
      <c r="J3" s="267" t="s">
        <v>9</v>
      </c>
      <c r="K3" s="267" t="s">
        <v>9</v>
      </c>
      <c r="L3" s="267" t="s">
        <v>9</v>
      </c>
      <c r="M3" s="267" t="s">
        <v>9</v>
      </c>
      <c r="N3" s="267" t="s">
        <v>9</v>
      </c>
    </row>
    <row r="4" spans="1:14" ht="42.75" customHeight="1" thickBot="1">
      <c r="A4" s="185"/>
      <c r="B4" s="186"/>
      <c r="C4" s="187"/>
      <c r="D4" s="316"/>
      <c r="E4" s="268"/>
      <c r="F4" s="268"/>
      <c r="G4" s="268"/>
      <c r="H4" s="268"/>
      <c r="I4" s="268"/>
      <c r="J4" s="268"/>
      <c r="K4" s="268"/>
      <c r="L4" s="268"/>
      <c r="M4" s="268"/>
      <c r="N4" s="268"/>
    </row>
    <row r="5" spans="1:14" ht="90" customHeight="1" thickBot="1">
      <c r="A5" s="188"/>
      <c r="B5" s="189"/>
      <c r="C5" s="190"/>
      <c r="D5" s="317"/>
      <c r="E5" s="184"/>
      <c r="F5" s="184"/>
      <c r="G5" s="184"/>
      <c r="H5" s="184"/>
      <c r="I5" s="184"/>
      <c r="J5" s="184"/>
      <c r="K5" s="184"/>
      <c r="L5" s="184"/>
      <c r="M5" s="184"/>
      <c r="N5" s="184"/>
    </row>
    <row r="6" spans="1:14">
      <c r="A6" s="261" t="s">
        <v>10</v>
      </c>
      <c r="B6" s="262"/>
      <c r="C6" s="262"/>
      <c r="D6" s="262"/>
      <c r="E6" s="262"/>
      <c r="F6" s="262"/>
      <c r="G6" s="262"/>
      <c r="H6" s="262"/>
      <c r="I6" s="262"/>
      <c r="J6" s="262"/>
      <c r="K6" s="262"/>
      <c r="L6" s="262"/>
      <c r="M6" s="262"/>
      <c r="N6" s="263"/>
    </row>
    <row r="7" spans="1:14" ht="24" customHeight="1" thickBot="1">
      <c r="A7" s="264" t="s">
        <v>11</v>
      </c>
      <c r="B7" s="265"/>
      <c r="C7" s="265"/>
      <c r="D7" s="265"/>
      <c r="E7" s="265"/>
      <c r="F7" s="265"/>
      <c r="G7" s="265"/>
      <c r="H7" s="265"/>
      <c r="I7" s="265"/>
      <c r="J7" s="265"/>
      <c r="K7" s="265"/>
      <c r="L7" s="265"/>
      <c r="M7" s="265"/>
      <c r="N7" s="266"/>
    </row>
    <row r="8" spans="1:14" ht="42.75" customHeight="1" thickBot="1">
      <c r="A8" s="332" t="s">
        <v>12</v>
      </c>
      <c r="B8" s="333"/>
      <c r="C8" s="334"/>
      <c r="D8" s="191" t="s">
        <v>13</v>
      </c>
      <c r="E8" s="192"/>
      <c r="F8" s="193"/>
      <c r="G8" s="194"/>
      <c r="H8" s="194"/>
      <c r="I8" s="194"/>
      <c r="J8" s="194"/>
      <c r="K8" s="194"/>
      <c r="L8" s="194"/>
      <c r="M8" s="194"/>
      <c r="N8" s="193"/>
    </row>
    <row r="9" spans="1:14" ht="30.75" customHeight="1" thickBot="1">
      <c r="A9" s="345" t="s">
        <v>14</v>
      </c>
      <c r="B9" s="346"/>
      <c r="C9" s="346"/>
      <c r="D9" s="346"/>
      <c r="E9" s="346"/>
      <c r="F9" s="346"/>
      <c r="G9" s="346"/>
      <c r="H9" s="346"/>
      <c r="I9" s="346"/>
      <c r="J9" s="346"/>
      <c r="K9" s="346"/>
      <c r="L9" s="346"/>
      <c r="M9" s="346"/>
      <c r="N9" s="347"/>
    </row>
    <row r="10" spans="1:14" ht="24.75" customHeight="1" thickBot="1">
      <c r="A10" s="348" t="s">
        <v>15</v>
      </c>
      <c r="B10" s="349"/>
      <c r="C10" s="349"/>
      <c r="D10" s="349"/>
      <c r="E10" s="349"/>
      <c r="F10" s="349"/>
      <c r="G10" s="349"/>
      <c r="H10" s="349"/>
      <c r="I10" s="349"/>
      <c r="J10" s="349"/>
      <c r="K10" s="349"/>
      <c r="L10" s="349"/>
      <c r="M10" s="349"/>
      <c r="N10" s="350"/>
    </row>
    <row r="11" spans="1:14" ht="25.5" customHeight="1" thickBot="1">
      <c r="A11" s="195" t="s">
        <v>16</v>
      </c>
      <c r="B11" s="272" t="s">
        <v>17</v>
      </c>
      <c r="C11" s="273"/>
      <c r="D11" s="196" t="s">
        <v>8</v>
      </c>
      <c r="E11" s="197"/>
      <c r="F11" s="198"/>
      <c r="G11" s="198"/>
      <c r="H11" s="233"/>
      <c r="I11" s="233"/>
      <c r="J11" s="233"/>
      <c r="K11" s="233"/>
      <c r="L11" s="233"/>
      <c r="M11" s="233"/>
      <c r="N11" s="233"/>
    </row>
    <row r="12" spans="1:14" ht="25.5" customHeight="1" thickBot="1">
      <c r="A12" s="199" t="s">
        <v>18</v>
      </c>
      <c r="B12" s="272" t="s">
        <v>19</v>
      </c>
      <c r="C12" s="273"/>
      <c r="D12" s="200" t="s">
        <v>20</v>
      </c>
      <c r="E12" s="201"/>
      <c r="F12" s="198"/>
      <c r="G12" s="198"/>
      <c r="H12" s="233"/>
      <c r="I12" s="233"/>
      <c r="J12" s="233"/>
      <c r="K12" s="233"/>
      <c r="L12" s="233"/>
      <c r="M12" s="233"/>
      <c r="N12" s="233"/>
    </row>
    <row r="13" spans="1:14" ht="25.5" customHeight="1" thickBot="1">
      <c r="A13" s="199" t="s">
        <v>21</v>
      </c>
      <c r="B13" s="272" t="s">
        <v>22</v>
      </c>
      <c r="C13" s="273"/>
      <c r="D13" s="200" t="s">
        <v>23</v>
      </c>
      <c r="E13" s="201"/>
      <c r="F13" s="198"/>
      <c r="G13" s="198"/>
      <c r="H13" s="233"/>
      <c r="I13" s="233"/>
      <c r="J13" s="233"/>
      <c r="K13" s="233"/>
      <c r="L13" s="233"/>
      <c r="M13" s="233"/>
      <c r="N13" s="233"/>
    </row>
    <row r="14" spans="1:14" ht="25.5" customHeight="1" thickBot="1">
      <c r="A14" s="199" t="s">
        <v>24</v>
      </c>
      <c r="B14" s="272" t="s">
        <v>25</v>
      </c>
      <c r="C14" s="273"/>
      <c r="D14" s="200" t="s">
        <v>23</v>
      </c>
      <c r="E14" s="201"/>
      <c r="F14" s="198"/>
      <c r="G14" s="198"/>
      <c r="H14" s="233"/>
      <c r="I14" s="233"/>
      <c r="J14" s="233"/>
      <c r="K14" s="233"/>
      <c r="L14" s="233"/>
      <c r="M14" s="233"/>
      <c r="N14" s="233"/>
    </row>
    <row r="15" spans="1:14" ht="25.5" customHeight="1" thickBot="1">
      <c r="A15" s="199" t="s">
        <v>26</v>
      </c>
      <c r="B15" s="272" t="s">
        <v>27</v>
      </c>
      <c r="C15" s="273"/>
      <c r="D15" s="200" t="s">
        <v>23</v>
      </c>
      <c r="E15" s="201"/>
      <c r="F15" s="198"/>
      <c r="G15" s="198"/>
      <c r="H15" s="233"/>
      <c r="I15" s="233"/>
      <c r="J15" s="233"/>
      <c r="K15" s="233"/>
      <c r="L15" s="233"/>
      <c r="M15" s="233"/>
      <c r="N15" s="233"/>
    </row>
    <row r="16" spans="1:14" ht="18.75" customHeight="1">
      <c r="A16" s="311" t="s">
        <v>28</v>
      </c>
      <c r="B16" s="202" t="s">
        <v>29</v>
      </c>
      <c r="C16" s="203"/>
      <c r="D16" s="318" t="s">
        <v>23</v>
      </c>
      <c r="E16" s="335"/>
      <c r="F16" s="341"/>
      <c r="G16" s="341"/>
      <c r="H16" s="341"/>
      <c r="I16" s="352"/>
      <c r="J16" s="352"/>
      <c r="K16" s="341"/>
      <c r="L16" s="341"/>
      <c r="M16" s="341"/>
      <c r="N16" s="354"/>
    </row>
    <row r="17" spans="1:14" ht="43.5" customHeight="1" thickBot="1">
      <c r="A17" s="312"/>
      <c r="B17" s="330" t="s">
        <v>30</v>
      </c>
      <c r="C17" s="331"/>
      <c r="D17" s="319"/>
      <c r="E17" s="336"/>
      <c r="F17" s="342"/>
      <c r="G17" s="342"/>
      <c r="H17" s="342"/>
      <c r="I17" s="353"/>
      <c r="J17" s="353"/>
      <c r="K17" s="342"/>
      <c r="L17" s="342"/>
      <c r="M17" s="342"/>
      <c r="N17" s="355"/>
    </row>
    <row r="18" spans="1:14" ht="25.5" customHeight="1" thickBot="1">
      <c r="A18" s="199" t="s">
        <v>31</v>
      </c>
      <c r="B18" s="272" t="s">
        <v>32</v>
      </c>
      <c r="C18" s="273"/>
      <c r="D18" s="200" t="s">
        <v>23</v>
      </c>
      <c r="E18" s="201"/>
      <c r="F18" s="198"/>
      <c r="G18" s="198"/>
      <c r="H18" s="233"/>
      <c r="I18" s="233"/>
      <c r="J18" s="233"/>
      <c r="K18" s="233"/>
      <c r="L18" s="233"/>
      <c r="M18" s="233"/>
      <c r="N18" s="233"/>
    </row>
    <row r="19" spans="1:14" ht="66" customHeight="1" thickBot="1">
      <c r="A19" s="199" t="s">
        <v>33</v>
      </c>
      <c r="B19" s="272" t="s">
        <v>34</v>
      </c>
      <c r="C19" s="273"/>
      <c r="D19" s="200" t="s">
        <v>23</v>
      </c>
      <c r="E19" s="201"/>
      <c r="F19" s="198"/>
      <c r="G19" s="198"/>
      <c r="H19" s="233"/>
      <c r="I19" s="233"/>
      <c r="J19" s="233"/>
      <c r="K19" s="233"/>
      <c r="L19" s="233"/>
      <c r="M19" s="233"/>
      <c r="N19" s="233"/>
    </row>
    <row r="20" spans="1:14" ht="25.5" customHeight="1" thickBot="1">
      <c r="A20" s="204"/>
      <c r="B20" s="272" t="s">
        <v>35</v>
      </c>
      <c r="C20" s="273"/>
      <c r="D20" s="200" t="s">
        <v>5</v>
      </c>
      <c r="E20" s="205">
        <f>SUM(E11,E13:E19)-E12</f>
        <v>0</v>
      </c>
      <c r="F20" s="206">
        <f t="shared" ref="F20:N20" si="0">SUM(F11,F13:F19)-F12</f>
        <v>0</v>
      </c>
      <c r="G20" s="206">
        <f t="shared" si="0"/>
        <v>0</v>
      </c>
      <c r="H20" s="207">
        <f t="shared" si="0"/>
        <v>0</v>
      </c>
      <c r="I20" s="207">
        <f t="shared" si="0"/>
        <v>0</v>
      </c>
      <c r="J20" s="207">
        <f t="shared" si="0"/>
        <v>0</v>
      </c>
      <c r="K20" s="207">
        <f t="shared" si="0"/>
        <v>0</v>
      </c>
      <c r="L20" s="207">
        <f t="shared" si="0"/>
        <v>0</v>
      </c>
      <c r="M20" s="207">
        <f t="shared" si="0"/>
        <v>0</v>
      </c>
      <c r="N20" s="207">
        <f t="shared" si="0"/>
        <v>0</v>
      </c>
    </row>
    <row r="21" spans="1:14" ht="37.5" customHeight="1" thickBot="1">
      <c r="A21" s="199" t="s">
        <v>36</v>
      </c>
      <c r="B21" s="274" t="s">
        <v>37</v>
      </c>
      <c r="C21" s="275"/>
      <c r="D21" s="200" t="s">
        <v>38</v>
      </c>
      <c r="E21" s="205">
        <f>E8</f>
        <v>0</v>
      </c>
      <c r="F21" s="206">
        <f>F8</f>
        <v>0</v>
      </c>
      <c r="G21" s="206">
        <f>G8</f>
        <v>0</v>
      </c>
      <c r="H21" s="207">
        <f>H8</f>
        <v>0</v>
      </c>
      <c r="I21" s="207">
        <f t="shared" ref="I21:N21" si="1">I8</f>
        <v>0</v>
      </c>
      <c r="J21" s="207">
        <f t="shared" si="1"/>
        <v>0</v>
      </c>
      <c r="K21" s="207">
        <f t="shared" si="1"/>
        <v>0</v>
      </c>
      <c r="L21" s="207">
        <f t="shared" si="1"/>
        <v>0</v>
      </c>
      <c r="M21" s="207">
        <f t="shared" si="1"/>
        <v>0</v>
      </c>
      <c r="N21" s="207">
        <f t="shared" si="1"/>
        <v>0</v>
      </c>
    </row>
    <row r="22" spans="1:14" ht="25.5" customHeight="1" thickBot="1">
      <c r="A22" s="204"/>
      <c r="B22" s="274" t="s">
        <v>39</v>
      </c>
      <c r="C22" s="275"/>
      <c r="D22" s="200" t="s">
        <v>5</v>
      </c>
      <c r="E22" s="208">
        <f t="shared" ref="E22:H22" si="2">IF(E21=0,0,E20/E21)</f>
        <v>0</v>
      </c>
      <c r="F22" s="209">
        <f t="shared" si="2"/>
        <v>0</v>
      </c>
      <c r="G22" s="209">
        <f t="shared" si="2"/>
        <v>0</v>
      </c>
      <c r="H22" s="234">
        <f t="shared" si="2"/>
        <v>0</v>
      </c>
      <c r="I22" s="234">
        <f t="shared" ref="I22:N22" si="3">IF(I21=0,0,I20/I21)</f>
        <v>0</v>
      </c>
      <c r="J22" s="234">
        <f t="shared" si="3"/>
        <v>0</v>
      </c>
      <c r="K22" s="234">
        <f t="shared" si="3"/>
        <v>0</v>
      </c>
      <c r="L22" s="234">
        <f t="shared" si="3"/>
        <v>0</v>
      </c>
      <c r="M22" s="234">
        <f t="shared" si="3"/>
        <v>0</v>
      </c>
      <c r="N22" s="234">
        <f t="shared" si="3"/>
        <v>0</v>
      </c>
    </row>
    <row r="23" spans="1:14" ht="20.25" customHeight="1">
      <c r="A23" s="311" t="s">
        <v>40</v>
      </c>
      <c r="B23" s="202" t="s">
        <v>41</v>
      </c>
      <c r="C23" s="203"/>
      <c r="D23" s="315" t="s">
        <v>20</v>
      </c>
      <c r="E23" s="337"/>
      <c r="F23" s="343"/>
      <c r="G23" s="343"/>
      <c r="H23" s="343"/>
      <c r="I23" s="343"/>
      <c r="J23" s="343"/>
      <c r="K23" s="343"/>
      <c r="L23" s="343"/>
      <c r="M23" s="343"/>
      <c r="N23" s="356"/>
    </row>
    <row r="24" spans="1:14" ht="29.25" customHeight="1" thickBot="1">
      <c r="A24" s="312"/>
      <c r="B24" s="210" t="s">
        <v>42</v>
      </c>
      <c r="C24" s="211"/>
      <c r="D24" s="317"/>
      <c r="E24" s="338"/>
      <c r="F24" s="344"/>
      <c r="G24" s="344"/>
      <c r="H24" s="344"/>
      <c r="I24" s="344"/>
      <c r="J24" s="344"/>
      <c r="K24" s="344"/>
      <c r="L24" s="344"/>
      <c r="M24" s="344"/>
      <c r="N24" s="357"/>
    </row>
    <row r="25" spans="1:14" ht="25.5" customHeight="1" thickBot="1">
      <c r="A25" s="276" t="s">
        <v>43</v>
      </c>
      <c r="B25" s="277"/>
      <c r="C25" s="278"/>
      <c r="D25" s="212" t="s">
        <v>13</v>
      </c>
      <c r="E25" s="213">
        <f>E22-E23</f>
        <v>0</v>
      </c>
      <c r="F25" s="214">
        <f>F22-F23</f>
        <v>0</v>
      </c>
      <c r="G25" s="214">
        <f>G22-G23</f>
        <v>0</v>
      </c>
      <c r="H25" s="214">
        <f>H22-H23</f>
        <v>0</v>
      </c>
      <c r="I25" s="214">
        <f t="shared" ref="I25:N25" si="4">I22-I23</f>
        <v>0</v>
      </c>
      <c r="J25" s="214">
        <f t="shared" si="4"/>
        <v>0</v>
      </c>
      <c r="K25" s="214">
        <f t="shared" si="4"/>
        <v>0</v>
      </c>
      <c r="L25" s="214">
        <f t="shared" si="4"/>
        <v>0</v>
      </c>
      <c r="M25" s="214">
        <f t="shared" si="4"/>
        <v>0</v>
      </c>
      <c r="N25" s="214">
        <f t="shared" si="4"/>
        <v>0</v>
      </c>
    </row>
    <row r="26" spans="1:14" ht="22.5" customHeight="1">
      <c r="A26" s="322" t="s">
        <v>44</v>
      </c>
      <c r="B26" s="323"/>
      <c r="C26" s="323"/>
      <c r="D26" s="323"/>
      <c r="E26" s="323"/>
      <c r="F26" s="323"/>
      <c r="G26" s="323"/>
      <c r="H26" s="323"/>
      <c r="I26" s="323"/>
      <c r="J26" s="323"/>
      <c r="K26" s="323"/>
      <c r="L26" s="323"/>
      <c r="M26" s="323"/>
      <c r="N26" s="324"/>
    </row>
    <row r="27" spans="1:14" ht="27" customHeight="1" thickBot="1">
      <c r="A27" s="325" t="s">
        <v>45</v>
      </c>
      <c r="B27" s="326"/>
      <c r="C27" s="326"/>
      <c r="D27" s="326"/>
      <c r="E27" s="326"/>
      <c r="F27" s="326"/>
      <c r="G27" s="326"/>
      <c r="H27" s="326"/>
      <c r="I27" s="326"/>
      <c r="J27" s="326"/>
      <c r="K27" s="326"/>
      <c r="L27" s="326"/>
      <c r="M27" s="326"/>
      <c r="N27" s="327"/>
    </row>
    <row r="28" spans="1:14" ht="14.25" customHeight="1">
      <c r="A28" s="313" t="s">
        <v>46</v>
      </c>
      <c r="B28" s="215" t="s">
        <v>47</v>
      </c>
      <c r="C28" s="216"/>
      <c r="D28" s="320" t="s">
        <v>8</v>
      </c>
      <c r="E28" s="339"/>
      <c r="F28" s="339"/>
      <c r="G28" s="339"/>
      <c r="H28" s="351"/>
      <c r="I28" s="351"/>
      <c r="J28" s="351"/>
      <c r="K28" s="351"/>
      <c r="L28" s="351"/>
      <c r="M28" s="351"/>
      <c r="N28" s="358"/>
    </row>
    <row r="29" spans="1:14" ht="21" customHeight="1">
      <c r="A29" s="313"/>
      <c r="B29" s="215" t="s">
        <v>48</v>
      </c>
      <c r="C29" s="216"/>
      <c r="D29" s="320"/>
      <c r="E29" s="339"/>
      <c r="F29" s="339"/>
      <c r="G29" s="339"/>
      <c r="H29" s="339"/>
      <c r="I29" s="339"/>
      <c r="J29" s="339"/>
      <c r="K29" s="339"/>
      <c r="L29" s="339"/>
      <c r="M29" s="339"/>
      <c r="N29" s="358"/>
    </row>
    <row r="30" spans="1:14" ht="33.75" customHeight="1" thickBot="1">
      <c r="A30" s="314"/>
      <c r="B30" s="328" t="s">
        <v>49</v>
      </c>
      <c r="C30" s="329"/>
      <c r="D30" s="321"/>
      <c r="E30" s="340"/>
      <c r="F30" s="340"/>
      <c r="G30" s="340"/>
      <c r="H30" s="340"/>
      <c r="I30" s="340"/>
      <c r="J30" s="340"/>
      <c r="K30" s="340"/>
      <c r="L30" s="340"/>
      <c r="M30" s="340"/>
      <c r="N30" s="359"/>
    </row>
    <row r="31" spans="1:14" ht="39" customHeight="1" thickBot="1">
      <c r="A31" s="217" t="s">
        <v>50</v>
      </c>
      <c r="B31" s="269" t="s">
        <v>51</v>
      </c>
      <c r="C31" s="270"/>
      <c r="D31" s="219" t="s">
        <v>52</v>
      </c>
      <c r="E31" s="220" t="s">
        <v>53</v>
      </c>
      <c r="F31" s="221" t="s">
        <v>53</v>
      </c>
      <c r="G31" s="218" t="s">
        <v>53</v>
      </c>
      <c r="H31" s="235" t="s">
        <v>53</v>
      </c>
      <c r="I31" s="235" t="s">
        <v>53</v>
      </c>
      <c r="J31" s="235" t="s">
        <v>53</v>
      </c>
      <c r="K31" s="235" t="s">
        <v>53</v>
      </c>
      <c r="L31" s="235" t="s">
        <v>53</v>
      </c>
      <c r="M31" s="235" t="s">
        <v>53</v>
      </c>
      <c r="N31" s="236" t="s">
        <v>53</v>
      </c>
    </row>
    <row r="32" spans="1:14" ht="25.5" customHeight="1" thickBot="1">
      <c r="A32" s="222"/>
      <c r="B32" s="271" t="s">
        <v>54</v>
      </c>
      <c r="C32" s="270"/>
      <c r="D32" s="219" t="s">
        <v>5</v>
      </c>
      <c r="E32" s="224">
        <f>E28*0.75</f>
        <v>0</v>
      </c>
      <c r="F32" s="225">
        <f t="shared" ref="F32:N32" si="5">F28*0.75</f>
        <v>0</v>
      </c>
      <c r="G32" s="224">
        <f t="shared" si="5"/>
        <v>0</v>
      </c>
      <c r="H32" s="223">
        <f t="shared" si="5"/>
        <v>0</v>
      </c>
      <c r="I32" s="223">
        <f t="shared" si="5"/>
        <v>0</v>
      </c>
      <c r="J32" s="223">
        <f t="shared" si="5"/>
        <v>0</v>
      </c>
      <c r="K32" s="223">
        <f t="shared" si="5"/>
        <v>0</v>
      </c>
      <c r="L32" s="223">
        <f t="shared" si="5"/>
        <v>0</v>
      </c>
      <c r="M32" s="223">
        <f t="shared" si="5"/>
        <v>0</v>
      </c>
      <c r="N32" s="237">
        <f t="shared" si="5"/>
        <v>0</v>
      </c>
    </row>
    <row r="33" spans="1:14" ht="39.75" customHeight="1" thickBot="1">
      <c r="A33" s="217" t="s">
        <v>55</v>
      </c>
      <c r="B33" s="271" t="s">
        <v>56</v>
      </c>
      <c r="C33" s="270"/>
      <c r="D33" s="219" t="s">
        <v>57</v>
      </c>
      <c r="E33" s="226"/>
      <c r="F33" s="227"/>
      <c r="G33" s="228"/>
      <c r="H33" s="238"/>
      <c r="I33" s="238"/>
      <c r="J33" s="238"/>
      <c r="K33" s="238"/>
      <c r="L33" s="238"/>
      <c r="M33" s="238"/>
      <c r="N33" s="239"/>
    </row>
    <row r="34" spans="1:14" ht="25.5" customHeight="1" thickBot="1">
      <c r="A34" s="279" t="s">
        <v>58</v>
      </c>
      <c r="B34" s="280"/>
      <c r="C34" s="281"/>
      <c r="D34" s="229" t="s">
        <v>13</v>
      </c>
      <c r="E34" s="230">
        <f t="shared" ref="E34:N34" si="6">E32-E33</f>
        <v>0</v>
      </c>
      <c r="F34" s="231">
        <f t="shared" si="6"/>
        <v>0</v>
      </c>
      <c r="G34" s="230">
        <f t="shared" si="6"/>
        <v>0</v>
      </c>
      <c r="H34" s="240">
        <f t="shared" si="6"/>
        <v>0</v>
      </c>
      <c r="I34" s="240">
        <f t="shared" si="6"/>
        <v>0</v>
      </c>
      <c r="J34" s="240">
        <f t="shared" si="6"/>
        <v>0</v>
      </c>
      <c r="K34" s="240">
        <f t="shared" si="6"/>
        <v>0</v>
      </c>
      <c r="L34" s="240">
        <f t="shared" si="6"/>
        <v>0</v>
      </c>
      <c r="M34" s="240">
        <f t="shared" si="6"/>
        <v>0</v>
      </c>
      <c r="N34" s="241">
        <f t="shared" si="6"/>
        <v>0</v>
      </c>
    </row>
    <row r="35" spans="1:14" ht="19.5" customHeight="1" thickBot="1">
      <c r="A35" s="282" t="s">
        <v>59</v>
      </c>
      <c r="B35" s="283"/>
      <c r="C35" s="283"/>
      <c r="D35" s="283"/>
      <c r="E35" s="283"/>
      <c r="F35" s="283"/>
      <c r="G35" s="283"/>
      <c r="H35" s="283"/>
      <c r="I35" s="283"/>
      <c r="J35" s="283"/>
      <c r="K35" s="283"/>
      <c r="L35" s="283"/>
      <c r="M35" s="283"/>
      <c r="N35" s="284"/>
    </row>
    <row r="36" spans="1:14" ht="69.75" customHeight="1" thickBot="1">
      <c r="A36" s="285" t="s">
        <v>60</v>
      </c>
      <c r="B36" s="286"/>
      <c r="C36" s="286"/>
      <c r="D36" s="287"/>
      <c r="E36" s="288" t="str">
        <f>IF(SUM(E25:N25,E34:N34)&gt;0,SUM(E25:N25,E34:N34),"")</f>
        <v/>
      </c>
      <c r="F36" s="289"/>
      <c r="G36" s="289"/>
      <c r="H36" s="289"/>
      <c r="I36" s="289"/>
      <c r="J36" s="289"/>
      <c r="K36" s="289"/>
      <c r="L36" s="289"/>
      <c r="M36" s="289"/>
      <c r="N36" s="290"/>
    </row>
    <row r="37" spans="1:14" ht="45.75" customHeight="1" thickBot="1">
      <c r="A37" s="272" t="s">
        <v>61</v>
      </c>
      <c r="B37" s="291"/>
      <c r="C37" s="292"/>
      <c r="D37" s="293"/>
      <c r="E37" s="294" t="str">
        <f>IF(SUM(E25:N25,E34:N34)&lt;0,SUM(E25:N25,E34:N34),"")</f>
        <v/>
      </c>
      <c r="F37" s="295"/>
      <c r="G37" s="295"/>
      <c r="H37" s="295"/>
      <c r="I37" s="295"/>
      <c r="J37" s="295"/>
      <c r="K37" s="295"/>
      <c r="L37" s="295"/>
      <c r="M37" s="295"/>
      <c r="N37" s="296"/>
    </row>
    <row r="38" spans="1:14" ht="27.75" customHeight="1" thickBot="1">
      <c r="A38" s="297" t="s">
        <v>62</v>
      </c>
      <c r="B38" s="298"/>
      <c r="C38" s="299" t="s">
        <v>63</v>
      </c>
      <c r="D38" s="299"/>
      <c r="E38" s="300" t="s">
        <v>64</v>
      </c>
      <c r="F38" s="300"/>
      <c r="G38" s="300"/>
      <c r="H38" s="301"/>
      <c r="I38" s="301"/>
      <c r="J38" s="301"/>
      <c r="K38" s="301"/>
      <c r="L38" s="301"/>
      <c r="M38" s="301"/>
      <c r="N38" s="302"/>
    </row>
    <row r="39" spans="1:14" ht="68.25" customHeight="1" thickBot="1">
      <c r="A39" s="303" t="s">
        <v>65</v>
      </c>
      <c r="B39" s="304"/>
      <c r="C39" s="305" t="s">
        <v>66</v>
      </c>
      <c r="D39" s="304"/>
      <c r="E39" s="306" t="s">
        <v>67</v>
      </c>
      <c r="F39" s="307"/>
      <c r="G39" s="307"/>
      <c r="H39" s="307"/>
      <c r="I39" s="307"/>
      <c r="J39" s="307"/>
      <c r="K39" s="307"/>
      <c r="L39" s="307"/>
      <c r="M39" s="307"/>
      <c r="N39" s="308"/>
    </row>
    <row r="40" spans="1:14" ht="44.25" customHeight="1" thickBot="1">
      <c r="A40" s="309" t="s">
        <v>68</v>
      </c>
      <c r="B40" s="310"/>
      <c r="C40" s="305" t="s">
        <v>69</v>
      </c>
      <c r="D40" s="304"/>
      <c r="E40" s="306" t="s">
        <v>70</v>
      </c>
      <c r="F40" s="307"/>
      <c r="G40" s="307"/>
      <c r="H40" s="307"/>
      <c r="I40" s="307"/>
      <c r="J40" s="307"/>
      <c r="K40" s="307"/>
      <c r="L40" s="307"/>
      <c r="M40" s="307"/>
      <c r="N40" s="308"/>
    </row>
    <row r="41" spans="1:14">
      <c r="A41" s="232" t="s">
        <v>71</v>
      </c>
    </row>
  </sheetData>
  <mergeCells count="88">
    <mergeCell ref="N16:N17"/>
    <mergeCell ref="N23:N24"/>
    <mergeCell ref="N28:N30"/>
    <mergeCell ref="L16:L17"/>
    <mergeCell ref="L23:L24"/>
    <mergeCell ref="L28:L30"/>
    <mergeCell ref="M16:M17"/>
    <mergeCell ref="M23:M24"/>
    <mergeCell ref="M28:M30"/>
    <mergeCell ref="J16:J17"/>
    <mergeCell ref="J23:J24"/>
    <mergeCell ref="J28:J30"/>
    <mergeCell ref="K16:K17"/>
    <mergeCell ref="K23:K24"/>
    <mergeCell ref="K28:K30"/>
    <mergeCell ref="H23:H24"/>
    <mergeCell ref="H28:H30"/>
    <mergeCell ref="I16:I17"/>
    <mergeCell ref="I23:I24"/>
    <mergeCell ref="I28:I30"/>
    <mergeCell ref="E16:E17"/>
    <mergeCell ref="E23:E24"/>
    <mergeCell ref="E28:E30"/>
    <mergeCell ref="F3:F4"/>
    <mergeCell ref="F16:F17"/>
    <mergeCell ref="F23:F24"/>
    <mergeCell ref="F28:F30"/>
    <mergeCell ref="A9:N9"/>
    <mergeCell ref="A10:N10"/>
    <mergeCell ref="B11:C11"/>
    <mergeCell ref="B12:C12"/>
    <mergeCell ref="G16:G17"/>
    <mergeCell ref="G23:G24"/>
    <mergeCell ref="G28:G30"/>
    <mergeCell ref="H3:H4"/>
    <mergeCell ref="H16:H17"/>
    <mergeCell ref="A16:A17"/>
    <mergeCell ref="A23:A24"/>
    <mergeCell ref="A28:A30"/>
    <mergeCell ref="D3:D5"/>
    <mergeCell ref="D16:D17"/>
    <mergeCell ref="D23:D24"/>
    <mergeCell ref="D28:D30"/>
    <mergeCell ref="A26:N26"/>
    <mergeCell ref="A27:N27"/>
    <mergeCell ref="B30:C30"/>
    <mergeCell ref="B13:C13"/>
    <mergeCell ref="B14:C14"/>
    <mergeCell ref="B15:C15"/>
    <mergeCell ref="B17:C17"/>
    <mergeCell ref="B18:C18"/>
    <mergeCell ref="A8:C8"/>
    <mergeCell ref="A39:B39"/>
    <mergeCell ref="C39:D39"/>
    <mergeCell ref="E39:N39"/>
    <mergeCell ref="A40:B40"/>
    <mergeCell ref="C40:D40"/>
    <mergeCell ref="E40:N40"/>
    <mergeCell ref="A37:D37"/>
    <mergeCell ref="E37:N37"/>
    <mergeCell ref="A38:B38"/>
    <mergeCell ref="C38:D38"/>
    <mergeCell ref="E38:N38"/>
    <mergeCell ref="B33:C33"/>
    <mergeCell ref="A34:C34"/>
    <mergeCell ref="A35:N35"/>
    <mergeCell ref="A36:D36"/>
    <mergeCell ref="E36:N36"/>
    <mergeCell ref="B31:C31"/>
    <mergeCell ref="B32:C32"/>
    <mergeCell ref="B19:C19"/>
    <mergeCell ref="B20:C20"/>
    <mergeCell ref="B21:C21"/>
    <mergeCell ref="B22:C22"/>
    <mergeCell ref="A25:C25"/>
    <mergeCell ref="A1:N1"/>
    <mergeCell ref="A2:N2"/>
    <mergeCell ref="A3:C3"/>
    <mergeCell ref="A6:N6"/>
    <mergeCell ref="A7:N7"/>
    <mergeCell ref="E3:E4"/>
    <mergeCell ref="G3:G4"/>
    <mergeCell ref="I3:I4"/>
    <mergeCell ref="K3:K4"/>
    <mergeCell ref="M3:M4"/>
    <mergeCell ref="J3:J4"/>
    <mergeCell ref="L3:L4"/>
    <mergeCell ref="N3:N4"/>
  </mergeCells>
  <phoneticPr fontId="12" type="noConversion"/>
  <dataValidations count="9">
    <dataValidation type="whole" allowBlank="1" showInputMessage="1" showErrorMessage="1" error="Must enter a number between 1-12" sqref="E8:N8" xr:uid="{00000000-0002-0000-0500-000000000000}">
      <formula1>1</formula1>
      <formula2>12</formula2>
    </dataValidation>
    <dataValidation type="custom" allowBlank="1" showInputMessage="1" showErrorMessage="1" error="Positive value must be less than total expenses" sqref="E13:N13" xr:uid="{00000000-0002-0000-0500-000001000000}">
      <formula1>AND(E13&gt;=0,E13&lt;E12)</formula1>
    </dataValidation>
    <dataValidation type="custom" allowBlank="1" showInputMessage="1" showErrorMessage="1" error="Positive value must be less than total expenses" sqref="E14:N14" xr:uid="{00000000-0002-0000-0500-000002000000}">
      <formula1>AND(E14&gt;=0,E14&lt;E12)</formula1>
    </dataValidation>
    <dataValidation type="custom" allowBlank="1" showInputMessage="1" showErrorMessage="1" error="Positive value must be less than total expenses" sqref="E15:N15" xr:uid="{00000000-0002-0000-0500-000003000000}">
      <formula1>AND(E15&gt;=0,E15&lt;E12)</formula1>
    </dataValidation>
    <dataValidation type="custom" allowBlank="1" showInputMessage="1" showErrorMessage="1" error="Positive value must be less than total expenses" sqref="E18:N18" xr:uid="{00000000-0002-0000-0500-000004000000}">
      <formula1>AND(E18&gt;=0,E18&lt;E12)</formula1>
    </dataValidation>
    <dataValidation type="custom" allowBlank="1" showInputMessage="1" showErrorMessage="1" error="Positive value must be less than total expenses" sqref="E19:N19" xr:uid="{00000000-0002-0000-0500-000005000000}">
      <formula1>AND(E19&gt;=0,E19&lt;E12)</formula1>
    </dataValidation>
    <dataValidation type="whole" operator="greaterThanOrEqual" allowBlank="1" showInputMessage="1" showErrorMessage="1" error="Number must be positive" sqref="H23:M23 E33:N33 N23:N24 E23:G24" xr:uid="{00000000-0002-0000-0500-000006000000}">
      <formula1>0</formula1>
    </dataValidation>
    <dataValidation type="custom" allowBlank="1" showInputMessage="1" showErrorMessage="1" error="Positive value must be less than total expenses" sqref="E16:N17" xr:uid="{00000000-0002-0000-0500-000007000000}">
      <formula1>AND(E16&gt;=0,E16&lt;E12)</formula1>
    </dataValidation>
    <dataValidation type="whole" operator="greaterThanOrEqual" allowBlank="1" showInputMessage="1" showErrorMessage="1" error="Please enter a positive number" sqref="E11:N12" xr:uid="{00000000-0002-0000-0500-000008000000}">
      <formula1>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tabColor rgb="FF800000"/>
    <pageSetUpPr autoPageBreaks="0"/>
  </sheetPr>
  <dimension ref="A1:DB80"/>
  <sheetViews>
    <sheetView showGridLines="0" showRowColHeaders="0" topLeftCell="A13" workbookViewId="0">
      <selection activeCell="O7" sqref="O7:BQ7"/>
    </sheetView>
  </sheetViews>
  <sheetFormatPr defaultColWidth="9.7109375" defaultRowHeight="12.75"/>
  <cols>
    <col min="1" max="1" width="2.7109375" customWidth="1"/>
    <col min="2" max="2" width="1.7109375" customWidth="1"/>
    <col min="3" max="105" width="0.7109375" customWidth="1"/>
    <col min="106" max="106" width="1.7109375" customWidth="1"/>
  </cols>
  <sheetData>
    <row r="1" spans="1:106" ht="12" customHeight="1">
      <c r="C1" s="360"/>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0"/>
      <c r="AS1" s="360"/>
      <c r="AT1" s="360"/>
      <c r="AU1" s="360"/>
      <c r="AV1" s="360"/>
      <c r="AW1" s="360"/>
      <c r="AX1" s="360"/>
      <c r="AY1" s="360"/>
      <c r="AZ1" s="360"/>
      <c r="BA1" s="360"/>
      <c r="BB1" s="360"/>
      <c r="BC1" s="360"/>
      <c r="BD1" s="360"/>
      <c r="BE1" s="360"/>
      <c r="BF1" s="360"/>
      <c r="BG1" s="360"/>
      <c r="BH1" s="360"/>
      <c r="BI1" s="360"/>
      <c r="BJ1" s="360"/>
      <c r="BK1" s="360"/>
      <c r="BL1" s="360"/>
      <c r="BM1" s="360"/>
      <c r="BN1" s="360"/>
      <c r="BO1" s="360"/>
      <c r="BP1" s="360"/>
      <c r="BQ1" s="360"/>
      <c r="BR1" s="360"/>
      <c r="BS1" s="360"/>
      <c r="BT1" s="360"/>
      <c r="BU1" s="360"/>
      <c r="BV1" s="360"/>
      <c r="BW1" s="360"/>
      <c r="BX1" s="360"/>
      <c r="BY1" s="360"/>
      <c r="BZ1" s="360"/>
      <c r="CA1" s="360"/>
      <c r="CB1" s="360"/>
      <c r="CC1" s="360"/>
      <c r="CD1" s="360"/>
      <c r="CE1" s="360"/>
      <c r="CF1" s="360"/>
      <c r="CG1" s="360"/>
      <c r="CH1" s="360"/>
      <c r="CI1" s="360"/>
      <c r="CJ1" s="360"/>
      <c r="CK1" s="360"/>
      <c r="CL1" s="360"/>
      <c r="CM1" s="360"/>
      <c r="CN1" s="360"/>
      <c r="CO1" s="360"/>
      <c r="CP1" s="360"/>
      <c r="CQ1" s="360"/>
      <c r="CR1" s="360"/>
      <c r="CS1" s="360"/>
      <c r="CT1" s="360"/>
      <c r="CU1" s="360"/>
      <c r="CV1" s="360"/>
      <c r="CW1" s="360"/>
      <c r="CX1" s="360"/>
      <c r="CY1" s="360"/>
      <c r="CZ1" s="360"/>
      <c r="DA1" s="360"/>
      <c r="DB1" s="39"/>
    </row>
    <row r="2" spans="1:106" ht="6" customHeight="1">
      <c r="B2" s="361"/>
      <c r="C2" s="362"/>
      <c r="D2" s="362"/>
      <c r="E2" s="362"/>
      <c r="F2" s="362"/>
      <c r="G2" s="362"/>
      <c r="H2" s="362"/>
      <c r="I2" s="362"/>
      <c r="J2" s="362"/>
      <c r="K2" s="362"/>
      <c r="L2" s="362"/>
      <c r="M2" s="362"/>
      <c r="N2" s="362"/>
      <c r="O2" s="362"/>
      <c r="P2" s="362"/>
      <c r="Q2" s="362"/>
      <c r="R2" s="362"/>
      <c r="S2" s="362"/>
      <c r="T2" s="362"/>
      <c r="U2" s="362"/>
      <c r="V2" s="362"/>
      <c r="W2" s="362"/>
      <c r="X2" s="362"/>
      <c r="Y2" s="362"/>
      <c r="Z2" s="362"/>
      <c r="AA2" s="362"/>
      <c r="AB2" s="362"/>
      <c r="AC2" s="362"/>
      <c r="AD2" s="362"/>
      <c r="AE2" s="362"/>
      <c r="AF2" s="362"/>
      <c r="AG2" s="362"/>
      <c r="AH2" s="362"/>
      <c r="AI2" s="362"/>
      <c r="AJ2" s="362"/>
      <c r="AK2" s="362"/>
      <c r="AL2" s="362"/>
      <c r="AM2" s="362"/>
      <c r="AN2" s="362"/>
      <c r="AO2" s="362"/>
      <c r="AP2" s="362"/>
      <c r="AQ2" s="362"/>
      <c r="AR2" s="362"/>
      <c r="AS2" s="362"/>
      <c r="AT2" s="362"/>
      <c r="AU2" s="362"/>
      <c r="AV2" s="362"/>
      <c r="AW2" s="362"/>
      <c r="AX2" s="362"/>
      <c r="AY2" s="362"/>
      <c r="AZ2" s="362"/>
      <c r="BA2" s="362"/>
      <c r="BB2" s="362"/>
      <c r="BC2" s="362"/>
      <c r="BD2" s="362"/>
      <c r="BE2" s="362"/>
      <c r="BF2" s="362"/>
      <c r="BG2" s="362"/>
      <c r="BH2" s="362"/>
      <c r="BI2" s="362"/>
      <c r="BJ2" s="362"/>
      <c r="BK2" s="362"/>
      <c r="BL2" s="362"/>
      <c r="BM2" s="362"/>
      <c r="BN2" s="362"/>
      <c r="BO2" s="362"/>
      <c r="BP2" s="362"/>
      <c r="BQ2" s="362"/>
      <c r="BR2" s="362"/>
      <c r="BS2" s="362"/>
      <c r="BT2" s="362"/>
      <c r="BU2" s="362"/>
      <c r="BV2" s="362"/>
      <c r="BW2" s="362"/>
      <c r="BX2" s="362"/>
      <c r="BY2" s="362"/>
      <c r="BZ2" s="362"/>
      <c r="CA2" s="362"/>
      <c r="CB2" s="362"/>
      <c r="CC2" s="362"/>
      <c r="CD2" s="362"/>
      <c r="CE2" s="362"/>
      <c r="CF2" s="362"/>
      <c r="CG2" s="362"/>
      <c r="CH2" s="362"/>
      <c r="CI2" s="362"/>
      <c r="CJ2" s="362"/>
      <c r="CK2" s="362"/>
      <c r="CL2" s="362"/>
      <c r="CM2" s="362"/>
      <c r="CN2" s="362"/>
      <c r="CO2" s="362"/>
      <c r="CP2" s="362"/>
      <c r="CQ2" s="362"/>
      <c r="CR2" s="362"/>
      <c r="CS2" s="362"/>
      <c r="CT2" s="362"/>
      <c r="CU2" s="362"/>
      <c r="CV2" s="362"/>
      <c r="CW2" s="362"/>
      <c r="CX2" s="362"/>
      <c r="CY2" s="362"/>
      <c r="CZ2" s="362"/>
      <c r="DA2" s="362"/>
      <c r="DB2" s="363"/>
    </row>
    <row r="3" spans="1:106" ht="18" customHeight="1">
      <c r="A3" s="39"/>
      <c r="B3" s="364" t="s">
        <v>72</v>
      </c>
      <c r="C3" s="365"/>
      <c r="D3" s="365"/>
      <c r="E3" s="365"/>
      <c r="F3" s="365"/>
      <c r="G3" s="365"/>
      <c r="H3" s="365"/>
      <c r="I3" s="365"/>
      <c r="J3" s="365"/>
      <c r="K3" s="365"/>
      <c r="L3" s="365"/>
      <c r="M3" s="365"/>
      <c r="N3" s="365"/>
      <c r="O3" s="365"/>
      <c r="P3" s="365"/>
      <c r="Q3" s="365"/>
      <c r="R3" s="365"/>
      <c r="S3" s="365"/>
      <c r="T3" s="365"/>
      <c r="U3" s="365"/>
      <c r="V3" s="365"/>
      <c r="W3" s="365"/>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5"/>
      <c r="AX3" s="365"/>
      <c r="AY3" s="365"/>
      <c r="AZ3" s="365"/>
      <c r="BA3" s="365"/>
      <c r="BB3" s="365"/>
      <c r="BC3" s="365"/>
      <c r="BD3" s="365"/>
      <c r="BE3" s="365"/>
      <c r="BF3" s="365"/>
      <c r="BG3" s="365"/>
      <c r="BH3" s="365"/>
      <c r="BI3" s="365"/>
      <c r="BJ3" s="365"/>
      <c r="BK3" s="365"/>
      <c r="BL3" s="365"/>
      <c r="BM3" s="365"/>
      <c r="BN3" s="365"/>
      <c r="BO3" s="365"/>
      <c r="BP3" s="365"/>
      <c r="BQ3" s="365"/>
      <c r="BR3" s="365"/>
      <c r="BS3" s="365"/>
      <c r="BT3" s="365"/>
      <c r="BU3" s="365"/>
      <c r="BV3" s="365"/>
      <c r="BW3" s="365"/>
      <c r="BX3" s="365"/>
      <c r="BY3" s="365"/>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5"/>
      <c r="CX3" s="365"/>
      <c r="CY3" s="365"/>
      <c r="CZ3" s="365"/>
      <c r="DA3" s="365"/>
      <c r="DB3" s="366"/>
    </row>
    <row r="4" spans="1:106" ht="12" customHeight="1">
      <c r="A4" s="39"/>
      <c r="B4" s="367" t="s">
        <v>73</v>
      </c>
      <c r="C4" s="368"/>
      <c r="D4" s="368"/>
      <c r="E4" s="368"/>
      <c r="F4" s="368"/>
      <c r="G4" s="368"/>
      <c r="H4" s="368"/>
      <c r="I4" s="368"/>
      <c r="J4" s="368"/>
      <c r="K4" s="368"/>
      <c r="L4" s="368"/>
      <c r="M4" s="368"/>
      <c r="N4" s="368"/>
      <c r="O4" s="368"/>
      <c r="P4" s="368"/>
      <c r="Q4" s="368"/>
      <c r="R4" s="368"/>
      <c r="S4" s="368"/>
      <c r="T4" s="368"/>
      <c r="U4" s="368"/>
      <c r="V4" s="368"/>
      <c r="W4" s="368"/>
      <c r="X4" s="368"/>
      <c r="Y4" s="368"/>
      <c r="Z4" s="368"/>
      <c r="AA4" s="368"/>
      <c r="AB4" s="368"/>
      <c r="AC4" s="368"/>
      <c r="AD4" s="368"/>
      <c r="AE4" s="368"/>
      <c r="AF4" s="368"/>
      <c r="AG4" s="368"/>
      <c r="AH4" s="368"/>
      <c r="AI4" s="368"/>
      <c r="AJ4" s="368"/>
      <c r="AK4" s="368"/>
      <c r="AL4" s="368"/>
      <c r="AM4" s="368"/>
      <c r="AN4" s="368"/>
      <c r="AO4" s="368"/>
      <c r="AP4" s="368"/>
      <c r="AQ4" s="368"/>
      <c r="AR4" s="368"/>
      <c r="AS4" s="368"/>
      <c r="AT4" s="368"/>
      <c r="AU4" s="368"/>
      <c r="AV4" s="368"/>
      <c r="AW4" s="368"/>
      <c r="AX4" s="368"/>
      <c r="AY4" s="368"/>
      <c r="AZ4" s="368"/>
      <c r="BA4" s="368"/>
      <c r="BB4" s="368"/>
      <c r="BC4" s="368"/>
      <c r="BD4" s="368"/>
      <c r="BE4" s="368"/>
      <c r="BF4" s="368"/>
      <c r="BG4" s="368"/>
      <c r="BH4" s="368"/>
      <c r="BI4" s="368"/>
      <c r="BJ4" s="368"/>
      <c r="BK4" s="368"/>
      <c r="BL4" s="368"/>
      <c r="BM4" s="368"/>
      <c r="BN4" s="368"/>
      <c r="BO4" s="368"/>
      <c r="BP4" s="368"/>
      <c r="BQ4" s="368"/>
      <c r="BR4" s="368"/>
      <c r="BS4" s="368"/>
      <c r="BT4" s="368"/>
      <c r="BU4" s="368"/>
      <c r="BV4" s="368"/>
      <c r="BW4" s="368"/>
      <c r="BX4" s="368"/>
      <c r="BY4" s="368"/>
      <c r="BZ4" s="368"/>
      <c r="CA4" s="368"/>
      <c r="CB4" s="368"/>
      <c r="CC4" s="368"/>
      <c r="CD4" s="368"/>
      <c r="CE4" s="368"/>
      <c r="CF4" s="368"/>
      <c r="CG4" s="368"/>
      <c r="CH4" s="368"/>
      <c r="CI4" s="368"/>
      <c r="CJ4" s="368"/>
      <c r="CK4" s="368"/>
      <c r="CL4" s="368"/>
      <c r="CM4" s="368"/>
      <c r="CN4" s="368"/>
      <c r="CO4" s="368"/>
      <c r="CP4" s="368"/>
      <c r="CQ4" s="368"/>
      <c r="CR4" s="368"/>
      <c r="CS4" s="368"/>
      <c r="CT4" s="368"/>
      <c r="CU4" s="368"/>
      <c r="CV4" s="368"/>
      <c r="CW4" s="368"/>
      <c r="CX4" s="368"/>
      <c r="CY4" s="368"/>
      <c r="CZ4" s="368"/>
      <c r="DA4" s="368"/>
      <c r="DB4" s="369"/>
    </row>
    <row r="5" spans="1:106" ht="6" customHeight="1">
      <c r="A5" s="39"/>
      <c r="B5" s="370"/>
      <c r="C5" s="371"/>
      <c r="D5" s="371"/>
      <c r="E5" s="371"/>
      <c r="F5" s="371"/>
      <c r="G5" s="371"/>
      <c r="H5" s="371"/>
      <c r="I5" s="371"/>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2"/>
    </row>
    <row r="6" spans="1:106" ht="12" customHeight="1">
      <c r="A6" s="39"/>
      <c r="B6" s="167"/>
      <c r="C6" s="373"/>
      <c r="D6" s="373"/>
      <c r="E6" s="373"/>
      <c r="F6" s="373"/>
      <c r="G6" s="373"/>
      <c r="H6" s="373"/>
      <c r="I6" s="373"/>
      <c r="J6" s="373"/>
      <c r="K6" s="373"/>
      <c r="L6" s="373"/>
      <c r="M6" s="373"/>
      <c r="N6" s="373"/>
      <c r="O6" s="373"/>
      <c r="P6" s="373"/>
      <c r="Q6" s="373"/>
      <c r="R6" s="373"/>
      <c r="S6" s="373"/>
      <c r="T6" s="373"/>
      <c r="U6" s="373"/>
      <c r="V6" s="373"/>
      <c r="W6" s="373"/>
      <c r="X6" s="373"/>
      <c r="Y6" s="373"/>
      <c r="Z6" s="373"/>
      <c r="AA6" s="373"/>
      <c r="AB6" s="373"/>
      <c r="AC6" s="373"/>
      <c r="AD6" s="373"/>
      <c r="AE6" s="373"/>
      <c r="AF6" s="373"/>
      <c r="AG6" s="373"/>
      <c r="AH6" s="373"/>
      <c r="AI6" s="373"/>
      <c r="AJ6" s="373"/>
      <c r="AK6" s="373"/>
      <c r="AL6" s="373"/>
      <c r="AM6" s="373"/>
      <c r="AN6" s="373"/>
      <c r="AO6" s="373"/>
      <c r="AP6" s="373"/>
      <c r="AQ6" s="373"/>
      <c r="AR6" s="373"/>
      <c r="AS6" s="373"/>
      <c r="AT6" s="373"/>
      <c r="AU6" s="373"/>
      <c r="AV6" s="373"/>
      <c r="AW6" s="373"/>
      <c r="AX6" s="373"/>
      <c r="AY6" s="373"/>
      <c r="AZ6" s="373"/>
      <c r="BA6" s="373"/>
      <c r="BB6" s="373"/>
      <c r="BC6" s="373"/>
      <c r="BD6" s="373"/>
      <c r="BE6" s="373"/>
      <c r="BF6" s="373"/>
      <c r="BG6" s="373"/>
      <c r="BH6" s="373"/>
      <c r="BI6" s="373"/>
      <c r="BJ6" s="373"/>
      <c r="BK6" s="373"/>
      <c r="BL6" s="373"/>
      <c r="BM6" s="373"/>
      <c r="BN6" s="373"/>
      <c r="BO6" s="373"/>
      <c r="BP6" s="373"/>
      <c r="BQ6" s="373"/>
      <c r="BR6" s="373"/>
      <c r="BS6" s="373"/>
      <c r="BT6" s="373"/>
      <c r="BU6" s="373"/>
      <c r="BV6" s="373"/>
      <c r="BW6" s="373"/>
      <c r="BX6" s="373"/>
      <c r="BY6" s="373"/>
      <c r="BZ6" s="373"/>
      <c r="CA6" s="373"/>
      <c r="CB6" s="373"/>
      <c r="CC6" s="373"/>
      <c r="CD6" s="373"/>
      <c r="CE6" s="373"/>
      <c r="CF6" s="373"/>
      <c r="CG6" s="373"/>
      <c r="CH6" s="373"/>
      <c r="CI6" s="373"/>
      <c r="CJ6" s="373"/>
      <c r="CK6" s="373"/>
      <c r="CL6" s="373"/>
      <c r="CM6" s="373"/>
      <c r="CN6" s="373"/>
      <c r="CO6" s="373"/>
      <c r="CP6" s="373"/>
      <c r="CQ6" s="373"/>
      <c r="CR6" s="373"/>
      <c r="CS6" s="373"/>
      <c r="CT6" s="373"/>
      <c r="CU6" s="373"/>
      <c r="CV6" s="373"/>
      <c r="CW6" s="373"/>
      <c r="CX6" s="373"/>
      <c r="CY6" s="373"/>
      <c r="CZ6" s="373"/>
      <c r="DA6" s="373"/>
      <c r="DB6" s="176"/>
    </row>
    <row r="7" spans="1:106" ht="16.149999999999999" customHeight="1">
      <c r="A7" s="39"/>
      <c r="B7" s="168"/>
      <c r="C7" s="374" t="s">
        <v>74</v>
      </c>
      <c r="D7" s="374"/>
      <c r="E7" s="374"/>
      <c r="F7" s="374"/>
      <c r="G7" s="374"/>
      <c r="H7" s="374"/>
      <c r="I7" s="374"/>
      <c r="J7" s="374"/>
      <c r="K7" s="374"/>
      <c r="L7" s="374"/>
      <c r="M7" s="374"/>
      <c r="N7" s="374"/>
      <c r="O7" s="375" t="e">
        <f>IF(#REF!="","",#REF!)</f>
        <v>#REF!</v>
      </c>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6" t="s">
        <v>75</v>
      </c>
      <c r="BS7" s="360"/>
      <c r="BT7" s="360"/>
      <c r="BU7" s="360"/>
      <c r="BV7" s="360"/>
      <c r="BW7" s="360"/>
      <c r="BX7" s="360"/>
      <c r="BY7" s="360"/>
      <c r="BZ7" s="360"/>
      <c r="CA7" s="360"/>
      <c r="CB7" s="360"/>
      <c r="CC7" s="360"/>
      <c r="CD7" s="360"/>
      <c r="CE7" s="377" t="e">
        <f>IF(#REF!="","",#REF!)</f>
        <v>#REF!</v>
      </c>
      <c r="CF7" s="378"/>
      <c r="CG7" s="378"/>
      <c r="CH7" s="378"/>
      <c r="CI7" s="378"/>
      <c r="CJ7" s="378"/>
      <c r="CK7" s="378"/>
      <c r="CL7" s="378"/>
      <c r="CM7" s="378"/>
      <c r="CN7" s="378"/>
      <c r="CO7" s="378"/>
      <c r="CP7" s="378"/>
      <c r="CQ7" s="378"/>
      <c r="CR7" s="378"/>
      <c r="CS7" s="378"/>
      <c r="CT7" s="378"/>
      <c r="CU7" s="378"/>
      <c r="CV7" s="378"/>
      <c r="CW7" s="378"/>
      <c r="CX7" s="378"/>
      <c r="CY7" s="378"/>
      <c r="CZ7" s="378"/>
      <c r="DA7" s="378"/>
      <c r="DB7" s="177"/>
    </row>
    <row r="8" spans="1:106" ht="12" customHeight="1">
      <c r="A8" s="39"/>
      <c r="B8" s="168"/>
      <c r="C8" s="379"/>
      <c r="D8" s="379"/>
      <c r="E8" s="379"/>
      <c r="F8" s="379"/>
      <c r="G8" s="379"/>
      <c r="H8" s="379"/>
      <c r="I8" s="379"/>
      <c r="J8" s="379"/>
      <c r="K8" s="379"/>
      <c r="L8" s="379"/>
      <c r="M8" s="379"/>
      <c r="N8" s="379"/>
      <c r="O8" s="380"/>
      <c r="P8" s="380"/>
      <c r="Q8" s="380"/>
      <c r="R8" s="380"/>
      <c r="S8" s="380"/>
      <c r="T8" s="380"/>
      <c r="U8" s="380"/>
      <c r="V8" s="380"/>
      <c r="W8" s="380"/>
      <c r="X8" s="380"/>
      <c r="Y8" s="380"/>
      <c r="Z8" s="380"/>
      <c r="AA8" s="380"/>
      <c r="AB8" s="380"/>
      <c r="AC8" s="380"/>
      <c r="AD8" s="380"/>
      <c r="AE8" s="380"/>
      <c r="AF8" s="380"/>
      <c r="AG8" s="380"/>
      <c r="AH8" s="380"/>
      <c r="AI8" s="380"/>
      <c r="AJ8" s="380"/>
      <c r="AK8" s="380"/>
      <c r="AL8" s="380"/>
      <c r="AM8" s="380"/>
      <c r="AN8" s="380"/>
      <c r="AO8" s="380"/>
      <c r="AP8" s="380"/>
      <c r="AQ8" s="380"/>
      <c r="AR8" s="380"/>
      <c r="AS8" s="380"/>
      <c r="AT8" s="380"/>
      <c r="AU8" s="380"/>
      <c r="AV8" s="380"/>
      <c r="AW8" s="380"/>
      <c r="AX8" s="380"/>
      <c r="AY8" s="380"/>
      <c r="AZ8" s="380"/>
      <c r="BA8" s="380"/>
      <c r="BB8" s="380"/>
      <c r="BC8" s="380"/>
      <c r="BD8" s="380"/>
      <c r="BE8" s="380"/>
      <c r="BF8" s="380"/>
      <c r="BG8" s="380"/>
      <c r="BH8" s="380"/>
      <c r="BI8" s="380"/>
      <c r="BJ8" s="380"/>
      <c r="BK8" s="380"/>
      <c r="BL8" s="380"/>
      <c r="BM8" s="380"/>
      <c r="BN8" s="380"/>
      <c r="BO8" s="380"/>
      <c r="BP8" s="380"/>
      <c r="BQ8" s="380"/>
      <c r="BR8" s="379"/>
      <c r="BS8" s="379"/>
      <c r="BT8" s="379"/>
      <c r="BU8" s="379"/>
      <c r="BV8" s="379"/>
      <c r="BW8" s="379"/>
      <c r="BX8" s="379"/>
      <c r="BY8" s="379"/>
      <c r="BZ8" s="379"/>
      <c r="CA8" s="379"/>
      <c r="CB8" s="379"/>
      <c r="CC8" s="379"/>
      <c r="CD8" s="379"/>
      <c r="CE8" s="380"/>
      <c r="CF8" s="380"/>
      <c r="CG8" s="380"/>
      <c r="CH8" s="380"/>
      <c r="CI8" s="380"/>
      <c r="CJ8" s="380"/>
      <c r="CK8" s="380"/>
      <c r="CL8" s="380"/>
      <c r="CM8" s="380"/>
      <c r="CN8" s="380"/>
      <c r="CO8" s="380"/>
      <c r="CP8" s="380"/>
      <c r="CQ8" s="380"/>
      <c r="CR8" s="380"/>
      <c r="CS8" s="380"/>
      <c r="CT8" s="380"/>
      <c r="CU8" s="380"/>
      <c r="CV8" s="380"/>
      <c r="CW8" s="380"/>
      <c r="CX8" s="380"/>
      <c r="CY8" s="380"/>
      <c r="CZ8" s="380"/>
      <c r="DA8" s="380"/>
      <c r="DB8" s="177"/>
    </row>
    <row r="9" spans="1:106" ht="12" customHeight="1">
      <c r="B9" s="168"/>
      <c r="C9" s="169"/>
      <c r="D9" s="381"/>
      <c r="E9" s="381"/>
      <c r="F9" s="381"/>
      <c r="G9" s="381"/>
      <c r="H9" s="381"/>
      <c r="I9" s="381"/>
      <c r="J9" s="381"/>
      <c r="K9" s="381"/>
      <c r="L9" s="381"/>
      <c r="M9" s="381"/>
      <c r="N9" s="381"/>
      <c r="O9" s="381"/>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1"/>
      <c r="BD9" s="381"/>
      <c r="BE9" s="381"/>
      <c r="BF9" s="381"/>
      <c r="BG9" s="381"/>
      <c r="BH9" s="381"/>
      <c r="BI9" s="381"/>
      <c r="BJ9" s="381"/>
      <c r="BK9" s="381"/>
      <c r="BL9" s="381"/>
      <c r="BM9" s="381"/>
      <c r="BN9" s="381"/>
      <c r="BO9" s="381"/>
      <c r="BP9" s="381"/>
      <c r="BQ9" s="381"/>
      <c r="BR9" s="381"/>
      <c r="BS9" s="381"/>
      <c r="BT9" s="381"/>
      <c r="BU9" s="381"/>
      <c r="BV9" s="381"/>
      <c r="BW9" s="381"/>
      <c r="BX9" s="381"/>
      <c r="BY9" s="381"/>
      <c r="BZ9" s="381"/>
      <c r="CA9" s="381"/>
      <c r="CB9" s="381"/>
      <c r="CC9" s="381"/>
      <c r="CD9" s="381"/>
      <c r="CE9" s="381"/>
      <c r="CF9" s="381"/>
      <c r="CG9" s="381"/>
      <c r="CH9" s="381"/>
      <c r="CI9" s="381"/>
      <c r="CJ9" s="381"/>
      <c r="CK9" s="381"/>
      <c r="CL9" s="381"/>
      <c r="CM9" s="381"/>
      <c r="CN9" s="381"/>
      <c r="CO9" s="381"/>
      <c r="CP9" s="381"/>
      <c r="CQ9" s="381"/>
      <c r="CR9" s="381"/>
      <c r="CS9" s="381"/>
      <c r="CT9" s="381"/>
      <c r="CU9" s="381"/>
      <c r="CV9" s="381"/>
      <c r="CW9" s="381"/>
      <c r="CX9" s="381"/>
      <c r="CY9" s="381"/>
      <c r="CZ9" s="381"/>
      <c r="DA9" s="169"/>
      <c r="DB9" s="177"/>
    </row>
    <row r="10" spans="1:106" ht="16.149999999999999" customHeight="1">
      <c r="B10" s="168"/>
      <c r="C10" s="382" t="s">
        <v>76</v>
      </c>
      <c r="D10" s="382"/>
      <c r="E10" s="382"/>
      <c r="F10" s="382"/>
      <c r="G10" s="382"/>
      <c r="H10" s="382"/>
      <c r="I10" s="382"/>
      <c r="J10" s="382"/>
      <c r="K10" s="382"/>
      <c r="L10" s="382"/>
      <c r="M10" s="382"/>
      <c r="N10" s="382"/>
      <c r="O10" s="382"/>
      <c r="P10" s="382"/>
      <c r="Q10" s="382"/>
      <c r="R10" s="382"/>
      <c r="S10" s="382"/>
      <c r="T10" s="382"/>
      <c r="U10" s="382"/>
      <c r="V10" s="382"/>
      <c r="W10" s="382"/>
      <c r="X10" s="382"/>
      <c r="Y10" s="382"/>
      <c r="Z10" s="382"/>
      <c r="AA10" s="382"/>
      <c r="AB10" s="382"/>
      <c r="AC10" s="382"/>
      <c r="AD10" s="382"/>
      <c r="AE10" s="382"/>
      <c r="AF10" s="382"/>
      <c r="AG10" s="382"/>
      <c r="AH10" s="382"/>
      <c r="AI10" s="382"/>
      <c r="AJ10" s="382"/>
      <c r="AK10" s="382"/>
      <c r="AL10" s="382"/>
      <c r="AM10" s="382"/>
      <c r="AN10" s="382"/>
      <c r="AO10" s="382"/>
      <c r="AP10" s="382"/>
      <c r="AQ10" s="382"/>
      <c r="AR10" s="382"/>
      <c r="AS10" s="382"/>
      <c r="AT10" s="382"/>
      <c r="AU10" s="382"/>
      <c r="AV10" s="382"/>
      <c r="AW10" s="382"/>
      <c r="AX10" s="382"/>
      <c r="AY10" s="382"/>
      <c r="AZ10" s="382"/>
      <c r="BA10" s="382"/>
      <c r="BB10" s="382"/>
      <c r="BC10" s="382"/>
      <c r="BD10" s="382"/>
      <c r="BE10" s="382"/>
      <c r="BF10" s="382"/>
      <c r="BG10" s="382"/>
      <c r="BH10" s="382"/>
      <c r="BI10" s="382"/>
      <c r="BJ10" s="382"/>
      <c r="BK10" s="382"/>
      <c r="BL10" s="382"/>
      <c r="BM10" s="382"/>
      <c r="BN10" s="382"/>
      <c r="BO10" s="382"/>
      <c r="BP10" s="382"/>
      <c r="BQ10" s="382"/>
      <c r="BR10" s="382"/>
      <c r="BS10" s="382"/>
      <c r="BT10" s="382"/>
      <c r="BU10" s="382"/>
      <c r="BV10" s="382"/>
      <c r="BW10" s="382"/>
      <c r="BX10" s="382"/>
      <c r="BY10" s="382"/>
      <c r="BZ10" s="382"/>
      <c r="CA10" s="382"/>
      <c r="CB10" s="382"/>
      <c r="CC10" s="382"/>
      <c r="CD10" s="382"/>
      <c r="CE10" s="382"/>
      <c r="CF10" s="382"/>
      <c r="CG10" s="382"/>
      <c r="CH10" s="382"/>
      <c r="CI10" s="382"/>
      <c r="CJ10" s="382"/>
      <c r="CK10" s="383"/>
      <c r="CL10" s="383"/>
      <c r="CM10" s="383"/>
      <c r="CN10" s="383"/>
      <c r="CO10" s="383"/>
      <c r="CP10" s="383"/>
      <c r="CQ10" s="383"/>
      <c r="CR10" s="383"/>
      <c r="CS10" s="383"/>
      <c r="CT10" s="383"/>
      <c r="CU10" s="383"/>
      <c r="CV10" s="383"/>
      <c r="CW10" s="383"/>
      <c r="CX10" s="383"/>
      <c r="CY10" s="383"/>
      <c r="CZ10" s="383"/>
      <c r="DA10" s="383"/>
      <c r="DB10" s="177"/>
    </row>
    <row r="11" spans="1:106" ht="16.149999999999999" customHeight="1">
      <c r="B11" s="168"/>
      <c r="C11" s="384" t="s">
        <v>77</v>
      </c>
      <c r="D11" s="385"/>
      <c r="E11" s="385"/>
      <c r="F11" s="385"/>
      <c r="G11" s="385"/>
      <c r="H11" s="385"/>
      <c r="I11" s="385"/>
      <c r="J11" s="385"/>
      <c r="K11" s="385"/>
      <c r="L11" s="385"/>
      <c r="M11" s="385"/>
      <c r="N11" s="385"/>
      <c r="O11" s="385"/>
      <c r="P11" s="385"/>
      <c r="Q11" s="385"/>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85"/>
      <c r="BT11" s="385"/>
      <c r="BU11" s="385"/>
      <c r="BV11" s="385"/>
      <c r="BW11" s="385"/>
      <c r="BX11" s="385"/>
      <c r="BY11" s="385"/>
      <c r="BZ11" s="385"/>
      <c r="CA11" s="385"/>
      <c r="CB11" s="385"/>
      <c r="CC11" s="385"/>
      <c r="CD11" s="385"/>
      <c r="CE11" s="385"/>
      <c r="CF11" s="385"/>
      <c r="CG11" s="385"/>
      <c r="CH11" s="385"/>
      <c r="CI11" s="385"/>
      <c r="CJ11" s="386"/>
      <c r="CK11" s="387"/>
      <c r="CL11" s="387"/>
      <c r="CM11" s="387"/>
      <c r="CN11" s="387"/>
      <c r="CO11" s="387"/>
      <c r="CP11" s="387"/>
      <c r="CQ11" s="387"/>
      <c r="CR11" s="387"/>
      <c r="CS11" s="387"/>
      <c r="CT11" s="387"/>
      <c r="CU11" s="387"/>
      <c r="CV11" s="387"/>
      <c r="CW11" s="387"/>
      <c r="CX11" s="387"/>
      <c r="CY11" s="387"/>
      <c r="CZ11" s="387"/>
      <c r="DA11" s="388"/>
      <c r="DB11" s="177"/>
    </row>
    <row r="12" spans="1:106" ht="16.149999999999999" customHeight="1">
      <c r="B12" s="168"/>
      <c r="C12" s="384" t="s">
        <v>78</v>
      </c>
      <c r="D12" s="385"/>
      <c r="E12" s="385"/>
      <c r="F12" s="385"/>
      <c r="G12" s="385"/>
      <c r="H12" s="385"/>
      <c r="I12" s="385"/>
      <c r="J12" s="385"/>
      <c r="K12" s="385"/>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85"/>
      <c r="BW12" s="385"/>
      <c r="BX12" s="385"/>
      <c r="BY12" s="385"/>
      <c r="BZ12" s="385"/>
      <c r="CA12" s="385"/>
      <c r="CB12" s="385"/>
      <c r="CC12" s="385"/>
      <c r="CD12" s="385"/>
      <c r="CE12" s="385"/>
      <c r="CF12" s="385"/>
      <c r="CG12" s="385"/>
      <c r="CH12" s="385"/>
      <c r="CI12" s="385"/>
      <c r="CJ12" s="386"/>
      <c r="CK12" s="389">
        <v>0</v>
      </c>
      <c r="CL12" s="389"/>
      <c r="CM12" s="389"/>
      <c r="CN12" s="389"/>
      <c r="CO12" s="389"/>
      <c r="CP12" s="389"/>
      <c r="CQ12" s="389"/>
      <c r="CR12" s="389"/>
      <c r="CS12" s="389"/>
      <c r="CT12" s="389"/>
      <c r="CU12" s="389"/>
      <c r="CV12" s="389"/>
      <c r="CW12" s="389"/>
      <c r="CX12" s="389"/>
      <c r="CY12" s="389"/>
      <c r="CZ12" s="389"/>
      <c r="DA12" s="389"/>
      <c r="DB12" s="177"/>
    </row>
    <row r="13" spans="1:106" ht="16.149999999999999" customHeight="1">
      <c r="B13" s="168"/>
      <c r="C13" s="384" t="s">
        <v>79</v>
      </c>
      <c r="D13" s="385"/>
      <c r="E13" s="385"/>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85"/>
      <c r="BW13" s="385"/>
      <c r="BX13" s="385"/>
      <c r="BY13" s="385"/>
      <c r="BZ13" s="385"/>
      <c r="CA13" s="385"/>
      <c r="CB13" s="385"/>
      <c r="CC13" s="385"/>
      <c r="CD13" s="385"/>
      <c r="CE13" s="385"/>
      <c r="CF13" s="385"/>
      <c r="CG13" s="385"/>
      <c r="CH13" s="385"/>
      <c r="CI13" s="385"/>
      <c r="CJ13" s="386"/>
      <c r="CK13" s="389">
        <v>0</v>
      </c>
      <c r="CL13" s="389"/>
      <c r="CM13" s="389"/>
      <c r="CN13" s="389"/>
      <c r="CO13" s="389"/>
      <c r="CP13" s="389"/>
      <c r="CQ13" s="389"/>
      <c r="CR13" s="389"/>
      <c r="CS13" s="389"/>
      <c r="CT13" s="389"/>
      <c r="CU13" s="389"/>
      <c r="CV13" s="389"/>
      <c r="CW13" s="389"/>
      <c r="CX13" s="389"/>
      <c r="CY13" s="389"/>
      <c r="CZ13" s="389"/>
      <c r="DA13" s="389"/>
      <c r="DB13" s="177"/>
    </row>
    <row r="14" spans="1:106" ht="16.149999999999999" customHeight="1">
      <c r="B14" s="168"/>
      <c r="C14" s="384" t="s">
        <v>80</v>
      </c>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c r="CA14" s="385"/>
      <c r="CB14" s="385"/>
      <c r="CC14" s="385"/>
      <c r="CD14" s="385"/>
      <c r="CE14" s="385"/>
      <c r="CF14" s="385"/>
      <c r="CG14" s="385"/>
      <c r="CH14" s="385"/>
      <c r="CI14" s="385"/>
      <c r="CJ14" s="386"/>
      <c r="CK14" s="390">
        <f>SUM(CK12:DA13)</f>
        <v>0</v>
      </c>
      <c r="CL14" s="390"/>
      <c r="CM14" s="390"/>
      <c r="CN14" s="390"/>
      <c r="CO14" s="390"/>
      <c r="CP14" s="390"/>
      <c r="CQ14" s="390"/>
      <c r="CR14" s="390"/>
      <c r="CS14" s="390"/>
      <c r="CT14" s="390"/>
      <c r="CU14" s="390"/>
      <c r="CV14" s="390"/>
      <c r="CW14" s="390"/>
      <c r="CX14" s="390"/>
      <c r="CY14" s="390"/>
      <c r="CZ14" s="390"/>
      <c r="DA14" s="390"/>
      <c r="DB14" s="177"/>
    </row>
    <row r="15" spans="1:106" ht="12" customHeight="1">
      <c r="B15" s="168"/>
      <c r="D15" s="360"/>
      <c r="E15" s="360"/>
      <c r="F15" s="360"/>
      <c r="G15" s="360"/>
      <c r="H15" s="360"/>
      <c r="I15" s="360"/>
      <c r="J15" s="360"/>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0"/>
      <c r="BD15" s="360"/>
      <c r="BE15" s="360"/>
      <c r="BF15" s="360"/>
      <c r="BG15" s="360"/>
      <c r="BH15" s="360"/>
      <c r="BI15" s="360"/>
      <c r="BJ15" s="360"/>
      <c r="BK15" s="360"/>
      <c r="BL15" s="360"/>
      <c r="BM15" s="360"/>
      <c r="BN15" s="360"/>
      <c r="BO15" s="360"/>
      <c r="BP15" s="360"/>
      <c r="BQ15" s="360"/>
      <c r="BR15" s="360"/>
      <c r="BS15" s="360"/>
      <c r="BT15" s="360"/>
      <c r="BU15" s="360"/>
      <c r="BV15" s="360"/>
      <c r="BW15" s="360"/>
      <c r="BX15" s="360"/>
      <c r="BY15" s="360"/>
      <c r="BZ15" s="360"/>
      <c r="CA15" s="360"/>
      <c r="CB15" s="360"/>
      <c r="CC15" s="360"/>
      <c r="CD15" s="360"/>
      <c r="CE15" s="360"/>
      <c r="CF15" s="360"/>
      <c r="CG15" s="360"/>
      <c r="CH15" s="360"/>
      <c r="CI15" s="360"/>
      <c r="CJ15" s="360"/>
      <c r="CK15" s="360"/>
      <c r="CL15" s="360"/>
      <c r="CM15" s="360"/>
      <c r="CN15" s="360"/>
      <c r="CO15" s="360"/>
      <c r="CP15" s="360"/>
      <c r="CQ15" s="360"/>
      <c r="CR15" s="360"/>
      <c r="CS15" s="360"/>
      <c r="CT15" s="360"/>
      <c r="CU15" s="360"/>
      <c r="CV15" s="360"/>
      <c r="CW15" s="360"/>
      <c r="CX15" s="360"/>
      <c r="CY15" s="360"/>
      <c r="CZ15" s="360"/>
      <c r="DB15" s="177"/>
    </row>
    <row r="16" spans="1:106" ht="12" customHeight="1">
      <c r="B16" s="168"/>
      <c r="C16" s="391"/>
      <c r="D16" s="391"/>
      <c r="E16" s="391"/>
      <c r="F16" s="391"/>
      <c r="G16" s="391"/>
      <c r="H16" s="391"/>
      <c r="I16" s="391"/>
      <c r="J16" s="391"/>
      <c r="K16" s="391"/>
      <c r="L16" s="391"/>
      <c r="M16" s="391"/>
      <c r="N16" s="391"/>
      <c r="O16" s="391"/>
      <c r="P16" s="391"/>
      <c r="Q16" s="391"/>
      <c r="R16" s="391"/>
      <c r="S16" s="391"/>
      <c r="T16" s="391"/>
      <c r="U16" s="391"/>
      <c r="V16" s="391"/>
      <c r="W16" s="391"/>
      <c r="X16" s="391"/>
      <c r="Y16" s="391"/>
      <c r="Z16" s="391"/>
      <c r="AA16" s="391"/>
      <c r="AB16" s="391"/>
      <c r="AC16" s="391"/>
      <c r="AD16" s="391"/>
      <c r="AE16" s="391"/>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391"/>
      <c r="BC16" s="391"/>
      <c r="BD16" s="391"/>
      <c r="BE16" s="391"/>
      <c r="BF16" s="391"/>
      <c r="BG16" s="391"/>
      <c r="BH16" s="391"/>
      <c r="BI16" s="391"/>
      <c r="BJ16" s="391"/>
      <c r="BK16" s="391"/>
      <c r="BL16" s="391"/>
      <c r="BM16" s="391"/>
      <c r="BN16" s="391"/>
      <c r="BO16" s="391"/>
      <c r="BP16" s="391"/>
      <c r="BQ16" s="391"/>
      <c r="BR16" s="391"/>
      <c r="BS16" s="391"/>
      <c r="BT16" s="391"/>
      <c r="BU16" s="391"/>
      <c r="BV16" s="391"/>
      <c r="BW16" s="391"/>
      <c r="BX16" s="391"/>
      <c r="BY16" s="391"/>
      <c r="BZ16" s="391"/>
      <c r="CA16" s="391"/>
      <c r="CB16" s="391"/>
      <c r="CC16" s="391"/>
      <c r="CD16" s="391"/>
      <c r="CE16" s="391"/>
      <c r="CF16" s="391"/>
      <c r="CG16" s="391"/>
      <c r="CH16" s="391"/>
      <c r="CI16" s="391"/>
      <c r="CJ16" s="391"/>
      <c r="CK16" s="391"/>
      <c r="CL16" s="391"/>
      <c r="CM16" s="391"/>
      <c r="CN16" s="391"/>
      <c r="CO16" s="391"/>
      <c r="CP16" s="391"/>
      <c r="CQ16" s="391"/>
      <c r="CR16" s="391"/>
      <c r="CS16" s="391"/>
      <c r="CT16" s="391"/>
      <c r="CU16" s="391"/>
      <c r="CV16" s="391"/>
      <c r="CW16" s="391"/>
      <c r="CX16" s="391"/>
      <c r="CY16" s="391"/>
      <c r="CZ16" s="391"/>
      <c r="DA16" s="391"/>
      <c r="DB16" s="177"/>
    </row>
    <row r="17" spans="2:106" ht="16.149999999999999" customHeight="1">
      <c r="B17" s="168"/>
      <c r="C17" s="383" t="s">
        <v>81</v>
      </c>
      <c r="D17" s="383"/>
      <c r="E17" s="383"/>
      <c r="F17" s="383"/>
      <c r="G17" s="383"/>
      <c r="H17" s="383"/>
      <c r="I17" s="383"/>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3"/>
      <c r="BK17" s="383"/>
      <c r="BL17" s="383"/>
      <c r="BM17" s="383"/>
      <c r="BN17" s="383"/>
      <c r="BO17" s="383"/>
      <c r="BP17" s="383"/>
      <c r="BQ17" s="383"/>
      <c r="BR17" s="383"/>
      <c r="BS17" s="383"/>
      <c r="BT17" s="383"/>
      <c r="BU17" s="383"/>
      <c r="BV17" s="383"/>
      <c r="BW17" s="383"/>
      <c r="BX17" s="383"/>
      <c r="BY17" s="383"/>
      <c r="BZ17" s="383"/>
      <c r="CA17" s="383"/>
      <c r="CB17" s="383"/>
      <c r="CC17" s="383"/>
      <c r="CD17" s="383"/>
      <c r="CE17" s="383"/>
      <c r="CF17" s="383"/>
      <c r="CG17" s="383"/>
      <c r="CH17" s="383"/>
      <c r="CI17" s="383"/>
      <c r="CJ17" s="383"/>
      <c r="CK17" s="383"/>
      <c r="CL17" s="383"/>
      <c r="CM17" s="383"/>
      <c r="CN17" s="383"/>
      <c r="CO17" s="383"/>
      <c r="CP17" s="383"/>
      <c r="CQ17" s="383"/>
      <c r="CR17" s="383"/>
      <c r="CS17" s="383"/>
      <c r="CT17" s="383"/>
      <c r="CU17" s="383"/>
      <c r="CV17" s="383"/>
      <c r="CW17" s="383"/>
      <c r="CX17" s="383"/>
      <c r="CY17" s="383"/>
      <c r="CZ17" s="383"/>
      <c r="DA17" s="383"/>
      <c r="DB17" s="177"/>
    </row>
    <row r="18" spans="2:106" ht="16.149999999999999" customHeight="1">
      <c r="B18" s="168"/>
      <c r="C18" s="392" t="s">
        <v>82</v>
      </c>
      <c r="D18" s="392"/>
      <c r="E18" s="392"/>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2"/>
      <c r="BE18" s="392"/>
      <c r="BF18" s="392"/>
      <c r="BG18" s="392"/>
      <c r="BH18" s="392"/>
      <c r="BI18" s="392"/>
      <c r="BJ18" s="392"/>
      <c r="BK18" s="392"/>
      <c r="BL18" s="392"/>
      <c r="BM18" s="392"/>
      <c r="BN18" s="392"/>
      <c r="BO18" s="392"/>
      <c r="BP18" s="392"/>
      <c r="BQ18" s="392"/>
      <c r="BR18" s="392"/>
      <c r="BS18" s="392"/>
      <c r="BT18" s="392"/>
      <c r="BU18" s="392"/>
      <c r="BV18" s="392"/>
      <c r="BW18" s="392"/>
      <c r="BX18" s="392"/>
      <c r="BY18" s="392"/>
      <c r="BZ18" s="392"/>
      <c r="CA18" s="392"/>
      <c r="CB18" s="392"/>
      <c r="CC18" s="392"/>
      <c r="CD18" s="392"/>
      <c r="CE18" s="392"/>
      <c r="CF18" s="392"/>
      <c r="CG18" s="392"/>
      <c r="CH18" s="392"/>
      <c r="CI18" s="392"/>
      <c r="CJ18" s="392"/>
      <c r="CK18" s="393" t="str">
        <f>IF(CK11="","",EDATE(CK11,6))</f>
        <v/>
      </c>
      <c r="CL18" s="394"/>
      <c r="CM18" s="394"/>
      <c r="CN18" s="394"/>
      <c r="CO18" s="394"/>
      <c r="CP18" s="394"/>
      <c r="CQ18" s="394"/>
      <c r="CR18" s="394"/>
      <c r="CS18" s="394"/>
      <c r="CT18" s="394"/>
      <c r="CU18" s="394"/>
      <c r="CV18" s="394"/>
      <c r="CW18" s="394"/>
      <c r="CX18" s="394"/>
      <c r="CY18" s="394"/>
      <c r="CZ18" s="394"/>
      <c r="DA18" s="395"/>
      <c r="DB18" s="177"/>
    </row>
    <row r="19" spans="2:106" ht="16.149999999999999" customHeight="1">
      <c r="B19" s="168"/>
      <c r="C19" s="396" t="str">
        <f>Data_Income!B948</f>
        <v>Borrower's total income beginning on 1/1/1900 and ending on 7/1/1900</v>
      </c>
      <c r="D19" s="397"/>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c r="AC19" s="397"/>
      <c r="AD19" s="397"/>
      <c r="AE19" s="397"/>
      <c r="AF19" s="397"/>
      <c r="AG19" s="397"/>
      <c r="AH19" s="397"/>
      <c r="AI19" s="397"/>
      <c r="AJ19" s="397"/>
      <c r="AK19" s="397"/>
      <c r="AL19" s="397"/>
      <c r="AM19" s="397"/>
      <c r="AN19" s="397"/>
      <c r="AO19" s="397"/>
      <c r="AP19" s="397"/>
      <c r="AQ19" s="397"/>
      <c r="AR19" s="397"/>
      <c r="AS19" s="397"/>
      <c r="AT19" s="397"/>
      <c r="AU19" s="397"/>
      <c r="AV19" s="397"/>
      <c r="AW19" s="397"/>
      <c r="AX19" s="397"/>
      <c r="AY19" s="397"/>
      <c r="AZ19" s="397"/>
      <c r="BA19" s="397"/>
      <c r="BB19" s="397"/>
      <c r="BC19" s="397"/>
      <c r="BD19" s="397"/>
      <c r="BE19" s="397"/>
      <c r="BF19" s="397"/>
      <c r="BG19" s="397"/>
      <c r="BH19" s="397"/>
      <c r="BI19" s="397"/>
      <c r="BJ19" s="397"/>
      <c r="BK19" s="397"/>
      <c r="BL19" s="397"/>
      <c r="BM19" s="397"/>
      <c r="BN19" s="397"/>
      <c r="BO19" s="397"/>
      <c r="BP19" s="397"/>
      <c r="BQ19" s="397"/>
      <c r="BR19" s="397"/>
      <c r="BS19" s="397"/>
      <c r="BT19" s="397"/>
      <c r="BU19" s="397"/>
      <c r="BV19" s="397"/>
      <c r="BW19" s="397"/>
      <c r="BX19" s="397"/>
      <c r="BY19" s="397"/>
      <c r="BZ19" s="397"/>
      <c r="CA19" s="397"/>
      <c r="CB19" s="397"/>
      <c r="CC19" s="397"/>
      <c r="CD19" s="397"/>
      <c r="CE19" s="397"/>
      <c r="CF19" s="397"/>
      <c r="CG19" s="397"/>
      <c r="CH19" s="397"/>
      <c r="CI19" s="397"/>
      <c r="CJ19" s="397"/>
      <c r="CK19" s="389">
        <v>0</v>
      </c>
      <c r="CL19" s="389"/>
      <c r="CM19" s="389"/>
      <c r="CN19" s="389"/>
      <c r="CO19" s="389"/>
      <c r="CP19" s="389"/>
      <c r="CQ19" s="389"/>
      <c r="CR19" s="389"/>
      <c r="CS19" s="389"/>
      <c r="CT19" s="389"/>
      <c r="CU19" s="389"/>
      <c r="CV19" s="389"/>
      <c r="CW19" s="389"/>
      <c r="CX19" s="389"/>
      <c r="CY19" s="389"/>
      <c r="CZ19" s="389"/>
      <c r="DA19" s="389"/>
      <c r="DB19" s="177"/>
    </row>
    <row r="20" spans="2:106" ht="16.149999999999999" customHeight="1">
      <c r="B20" s="168"/>
      <c r="C20" s="396" t="str">
        <f>Data_Income!B949</f>
        <v>Other household total income beginning on 1/1/1900 and ending on 7/1/1900</v>
      </c>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c r="AC20" s="397"/>
      <c r="AD20" s="397"/>
      <c r="AE20" s="397"/>
      <c r="AF20" s="397"/>
      <c r="AG20" s="397"/>
      <c r="AH20" s="397"/>
      <c r="AI20" s="397"/>
      <c r="AJ20" s="397"/>
      <c r="AK20" s="397"/>
      <c r="AL20" s="397"/>
      <c r="AM20" s="397"/>
      <c r="AN20" s="397"/>
      <c r="AO20" s="397"/>
      <c r="AP20" s="397"/>
      <c r="AQ20" s="397"/>
      <c r="AR20" s="397"/>
      <c r="AS20" s="397"/>
      <c r="AT20" s="397"/>
      <c r="AU20" s="397"/>
      <c r="AV20" s="397"/>
      <c r="AW20" s="397"/>
      <c r="AX20" s="397"/>
      <c r="AY20" s="397"/>
      <c r="AZ20" s="397"/>
      <c r="BA20" s="397"/>
      <c r="BB20" s="397"/>
      <c r="BC20" s="397"/>
      <c r="BD20" s="397"/>
      <c r="BE20" s="397"/>
      <c r="BF20" s="397"/>
      <c r="BG20" s="397"/>
      <c r="BH20" s="397"/>
      <c r="BI20" s="397"/>
      <c r="BJ20" s="397"/>
      <c r="BK20" s="397"/>
      <c r="BL20" s="397"/>
      <c r="BM20" s="397"/>
      <c r="BN20" s="397"/>
      <c r="BO20" s="397"/>
      <c r="BP20" s="397"/>
      <c r="BQ20" s="397"/>
      <c r="BR20" s="397"/>
      <c r="BS20" s="397"/>
      <c r="BT20" s="397"/>
      <c r="BU20" s="397"/>
      <c r="BV20" s="397"/>
      <c r="BW20" s="397"/>
      <c r="BX20" s="397"/>
      <c r="BY20" s="397"/>
      <c r="BZ20" s="397"/>
      <c r="CA20" s="397"/>
      <c r="CB20" s="397"/>
      <c r="CC20" s="397"/>
      <c r="CD20" s="397"/>
      <c r="CE20" s="397"/>
      <c r="CF20" s="397"/>
      <c r="CG20" s="397"/>
      <c r="CH20" s="397"/>
      <c r="CI20" s="397"/>
      <c r="CJ20" s="397"/>
      <c r="CK20" s="389">
        <v>0</v>
      </c>
      <c r="CL20" s="389"/>
      <c r="CM20" s="389"/>
      <c r="CN20" s="389"/>
      <c r="CO20" s="389"/>
      <c r="CP20" s="389"/>
      <c r="CQ20" s="389"/>
      <c r="CR20" s="389"/>
      <c r="CS20" s="389"/>
      <c r="CT20" s="389"/>
      <c r="CU20" s="389"/>
      <c r="CV20" s="389"/>
      <c r="CW20" s="389"/>
      <c r="CX20" s="389"/>
      <c r="CY20" s="389"/>
      <c r="CZ20" s="389"/>
      <c r="DA20" s="389"/>
      <c r="DB20" s="177"/>
    </row>
    <row r="21" spans="2:106" ht="16.149999999999999" customHeight="1">
      <c r="B21" s="168"/>
      <c r="C21" s="396" t="str">
        <f>Data_Income!B950</f>
        <v>Grand Total Household Income beginning on 1/1/1900 and ending on 7/1/1900</v>
      </c>
      <c r="D21" s="397"/>
      <c r="E21" s="397"/>
      <c r="F21" s="397"/>
      <c r="G21" s="397"/>
      <c r="H21" s="397"/>
      <c r="I21" s="397"/>
      <c r="J21" s="397"/>
      <c r="K21" s="397"/>
      <c r="L21" s="397"/>
      <c r="M21" s="397"/>
      <c r="N21" s="397"/>
      <c r="O21" s="397"/>
      <c r="P21" s="397"/>
      <c r="Q21" s="397"/>
      <c r="R21" s="397"/>
      <c r="S21" s="397"/>
      <c r="T21" s="397"/>
      <c r="U21" s="397"/>
      <c r="V21" s="397"/>
      <c r="W21" s="397"/>
      <c r="X21" s="397"/>
      <c r="Y21" s="397"/>
      <c r="Z21" s="397"/>
      <c r="AA21" s="397"/>
      <c r="AB21" s="397"/>
      <c r="AC21" s="397"/>
      <c r="AD21" s="397"/>
      <c r="AE21" s="397"/>
      <c r="AF21" s="397"/>
      <c r="AG21" s="397"/>
      <c r="AH21" s="397"/>
      <c r="AI21" s="397"/>
      <c r="AJ21" s="397"/>
      <c r="AK21" s="397"/>
      <c r="AL21" s="397"/>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7"/>
      <c r="BK21" s="397"/>
      <c r="BL21" s="397"/>
      <c r="BM21" s="397"/>
      <c r="BN21" s="397"/>
      <c r="BO21" s="397"/>
      <c r="BP21" s="397"/>
      <c r="BQ21" s="397"/>
      <c r="BR21" s="397"/>
      <c r="BS21" s="397"/>
      <c r="BT21" s="397"/>
      <c r="BU21" s="397"/>
      <c r="BV21" s="397"/>
      <c r="BW21" s="397"/>
      <c r="BX21" s="397"/>
      <c r="BY21" s="397"/>
      <c r="BZ21" s="397"/>
      <c r="CA21" s="397"/>
      <c r="CB21" s="397"/>
      <c r="CC21" s="397"/>
      <c r="CD21" s="397"/>
      <c r="CE21" s="397"/>
      <c r="CF21" s="397"/>
      <c r="CG21" s="397"/>
      <c r="CH21" s="397"/>
      <c r="CI21" s="397"/>
      <c r="CJ21" s="397"/>
      <c r="CK21" s="390">
        <f>SUM(CK19:DA20)</f>
        <v>0</v>
      </c>
      <c r="CL21" s="390"/>
      <c r="CM21" s="390"/>
      <c r="CN21" s="390"/>
      <c r="CO21" s="390"/>
      <c r="CP21" s="390"/>
      <c r="CQ21" s="390"/>
      <c r="CR21" s="390"/>
      <c r="CS21" s="390"/>
      <c r="CT21" s="390"/>
      <c r="CU21" s="390"/>
      <c r="CV21" s="390"/>
      <c r="CW21" s="390"/>
      <c r="CX21" s="390"/>
      <c r="CY21" s="390"/>
      <c r="CZ21" s="390"/>
      <c r="DA21" s="390"/>
      <c r="DB21" s="177"/>
    </row>
    <row r="22" spans="2:106" ht="16.149999999999999" customHeight="1">
      <c r="B22" s="168"/>
      <c r="C22" s="401"/>
      <c r="D22" s="401"/>
      <c r="E22" s="401"/>
      <c r="F22" s="401"/>
      <c r="G22" s="401"/>
      <c r="H22" s="401"/>
      <c r="I22" s="401"/>
      <c r="J22" s="401"/>
      <c r="K22" s="401"/>
      <c r="L22" s="401"/>
      <c r="M22" s="401"/>
      <c r="N22" s="401"/>
      <c r="O22" s="401"/>
      <c r="P22" s="401"/>
      <c r="Q22" s="401"/>
      <c r="R22" s="401"/>
      <c r="S22" s="401"/>
      <c r="T22" s="401"/>
      <c r="U22" s="401"/>
      <c r="V22" s="402"/>
      <c r="W22" s="402"/>
      <c r="X22" s="402"/>
      <c r="Y22" s="402"/>
      <c r="Z22" s="402"/>
      <c r="AA22" s="402"/>
      <c r="AB22" s="402"/>
      <c r="AC22" s="402"/>
      <c r="AD22" s="402"/>
      <c r="AE22" s="402"/>
      <c r="AF22" s="402"/>
      <c r="AG22" s="402"/>
      <c r="AH22" s="402"/>
      <c r="AI22" s="402"/>
      <c r="AJ22" s="402"/>
      <c r="AK22" s="402"/>
      <c r="AL22" s="402"/>
      <c r="AM22" s="402"/>
      <c r="AN22" s="402"/>
      <c r="AO22" s="402"/>
      <c r="AP22" s="402"/>
      <c r="AQ22" s="402"/>
      <c r="AR22" s="402"/>
      <c r="AS22" s="402"/>
      <c r="AT22" s="402"/>
      <c r="AU22" s="402"/>
      <c r="AV22" s="402"/>
      <c r="AW22" s="402"/>
      <c r="AX22" s="402"/>
      <c r="AY22" s="402"/>
      <c r="AZ22" s="402"/>
      <c r="BA22" s="402"/>
      <c r="BB22" s="402"/>
      <c r="BC22" s="402"/>
      <c r="BD22" s="402"/>
      <c r="BE22" s="402"/>
      <c r="BF22" s="402"/>
      <c r="BG22" s="402"/>
      <c r="BH22" s="402"/>
      <c r="BI22" s="402"/>
      <c r="BJ22" s="402"/>
      <c r="BK22" s="402"/>
      <c r="BL22" s="402"/>
      <c r="BM22" s="402"/>
      <c r="BN22" s="402"/>
      <c r="BO22" s="402"/>
      <c r="BP22" s="402"/>
      <c r="BQ22" s="402"/>
      <c r="BR22" s="403"/>
      <c r="BS22" s="403"/>
      <c r="BT22" s="403"/>
      <c r="BU22" s="403"/>
      <c r="BV22" s="403"/>
      <c r="BW22" s="403"/>
      <c r="BX22" s="403"/>
      <c r="BY22" s="403"/>
      <c r="BZ22" s="403"/>
      <c r="CA22" s="403"/>
      <c r="CB22" s="403"/>
      <c r="CC22" s="403"/>
      <c r="CD22" s="403"/>
      <c r="CE22" s="403"/>
      <c r="CF22" s="403"/>
      <c r="CG22" s="403"/>
      <c r="CH22" s="403"/>
      <c r="CK22" s="398"/>
      <c r="CL22" s="398"/>
      <c r="CM22" s="398"/>
      <c r="CN22" s="398"/>
      <c r="CO22" s="398"/>
      <c r="CP22" s="398"/>
      <c r="CQ22" s="398"/>
      <c r="CR22" s="398"/>
      <c r="CS22" s="398"/>
      <c r="CT22" s="398"/>
      <c r="CU22" s="398"/>
      <c r="CV22" s="398"/>
      <c r="CW22" s="398"/>
      <c r="CX22" s="398"/>
      <c r="CY22" s="398"/>
      <c r="CZ22" s="398"/>
      <c r="DA22" s="398"/>
      <c r="DB22" s="177"/>
    </row>
    <row r="23" spans="2:106" ht="16.149999999999999" customHeight="1">
      <c r="B23" s="168"/>
      <c r="C23" s="396" t="str">
        <f>Data_Income!B951</f>
        <v>Grand Total Household Monthly Income Average for the period of 1/1/1900 to 7/1/1900</v>
      </c>
      <c r="D23" s="397"/>
      <c r="E23" s="397"/>
      <c r="F23" s="397"/>
      <c r="G23" s="397"/>
      <c r="H23" s="397"/>
      <c r="I23" s="397"/>
      <c r="J23" s="397"/>
      <c r="K23" s="397"/>
      <c r="L23" s="397"/>
      <c r="M23" s="397"/>
      <c r="N23" s="397"/>
      <c r="O23" s="397"/>
      <c r="P23" s="397"/>
      <c r="Q23" s="397"/>
      <c r="R23" s="397"/>
      <c r="S23" s="397"/>
      <c r="T23" s="397"/>
      <c r="U23" s="397"/>
      <c r="V23" s="397"/>
      <c r="W23" s="397"/>
      <c r="X23" s="397"/>
      <c r="Y23" s="397"/>
      <c r="Z23" s="397"/>
      <c r="AA23" s="397"/>
      <c r="AB23" s="397"/>
      <c r="AC23" s="397"/>
      <c r="AD23" s="397"/>
      <c r="AE23" s="397"/>
      <c r="AF23" s="397"/>
      <c r="AG23" s="397"/>
      <c r="AH23" s="397"/>
      <c r="AI23" s="397"/>
      <c r="AJ23" s="397"/>
      <c r="AK23" s="397"/>
      <c r="AL23" s="397"/>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7"/>
      <c r="BK23" s="397"/>
      <c r="BL23" s="397"/>
      <c r="BM23" s="397"/>
      <c r="BN23" s="397"/>
      <c r="BO23" s="397"/>
      <c r="BP23" s="397"/>
      <c r="BQ23" s="397"/>
      <c r="BR23" s="397"/>
      <c r="BS23" s="397"/>
      <c r="BT23" s="397"/>
      <c r="BU23" s="397"/>
      <c r="BV23" s="397"/>
      <c r="BW23" s="397"/>
      <c r="BX23" s="397"/>
      <c r="BY23" s="397"/>
      <c r="BZ23" s="397"/>
      <c r="CA23" s="397"/>
      <c r="CB23" s="397"/>
      <c r="CC23" s="397"/>
      <c r="CD23" s="397"/>
      <c r="CE23" s="397"/>
      <c r="CF23" s="397"/>
      <c r="CG23" s="397"/>
      <c r="CH23" s="397"/>
      <c r="CI23" s="397"/>
      <c r="CJ23" s="397"/>
      <c r="CK23" s="390">
        <f>Data_Income!E946</f>
        <v>0</v>
      </c>
      <c r="CL23" s="390"/>
      <c r="CM23" s="390"/>
      <c r="CN23" s="390"/>
      <c r="CO23" s="390"/>
      <c r="CP23" s="390"/>
      <c r="CQ23" s="390"/>
      <c r="CR23" s="390"/>
      <c r="CS23" s="390"/>
      <c r="CT23" s="390"/>
      <c r="CU23" s="390"/>
      <c r="CV23" s="390"/>
      <c r="CW23" s="390"/>
      <c r="CX23" s="390"/>
      <c r="CY23" s="390"/>
      <c r="CZ23" s="390"/>
      <c r="DA23" s="390"/>
      <c r="DB23" s="177"/>
    </row>
    <row r="24" spans="2:106" ht="16.149999999999999" customHeight="1">
      <c r="B24" s="168"/>
      <c r="C24" s="170"/>
      <c r="D24" s="170"/>
      <c r="E24" s="170"/>
      <c r="F24" s="170"/>
      <c r="G24" s="170"/>
      <c r="H24" s="170"/>
      <c r="I24" s="170"/>
      <c r="J24" s="170"/>
      <c r="K24" s="170"/>
      <c r="L24" s="170"/>
      <c r="M24" s="170"/>
      <c r="N24" s="170"/>
      <c r="O24" s="170"/>
      <c r="P24" s="170"/>
      <c r="Q24" s="170"/>
      <c r="R24" s="170"/>
      <c r="S24" s="170"/>
      <c r="T24" s="170"/>
      <c r="U24" s="170"/>
      <c r="V24" s="173"/>
      <c r="W24" s="173"/>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4"/>
      <c r="BS24" s="174"/>
      <c r="BT24" s="174"/>
      <c r="BU24" s="174"/>
      <c r="BV24" s="174"/>
      <c r="BW24" s="174"/>
      <c r="BX24" s="174"/>
      <c r="BY24" s="174"/>
      <c r="BZ24" s="174"/>
      <c r="CA24" s="174"/>
      <c r="CB24" s="174"/>
      <c r="CC24" s="174"/>
      <c r="CD24" s="174"/>
      <c r="CE24" s="174"/>
      <c r="CF24" s="174"/>
      <c r="CG24" s="174"/>
      <c r="CH24" s="174"/>
      <c r="CK24" s="175"/>
      <c r="CL24" s="175"/>
      <c r="CM24" s="175"/>
      <c r="CN24" s="175"/>
      <c r="CO24" s="175"/>
      <c r="CP24" s="175"/>
      <c r="CQ24" s="175"/>
      <c r="CR24" s="175"/>
      <c r="CS24" s="175"/>
      <c r="CT24" s="175"/>
      <c r="CU24" s="175"/>
      <c r="CV24" s="175"/>
      <c r="CW24" s="175"/>
      <c r="CX24" s="175"/>
      <c r="CY24" s="175"/>
      <c r="CZ24" s="175"/>
      <c r="DA24" s="175"/>
      <c r="DB24" s="177"/>
    </row>
    <row r="25" spans="2:106" ht="16.149999999999999" customHeight="1">
      <c r="B25" s="168"/>
      <c r="C25" s="396" t="s">
        <v>83</v>
      </c>
      <c r="D25" s="397"/>
      <c r="E25" s="397"/>
      <c r="F25" s="397"/>
      <c r="G25" s="397"/>
      <c r="H25" s="397"/>
      <c r="I25" s="397"/>
      <c r="J25" s="397"/>
      <c r="K25" s="397"/>
      <c r="L25" s="397"/>
      <c r="M25" s="397"/>
      <c r="N25" s="397"/>
      <c r="O25" s="397"/>
      <c r="P25" s="397"/>
      <c r="Q25" s="397"/>
      <c r="R25" s="397"/>
      <c r="S25" s="397"/>
      <c r="T25" s="397"/>
      <c r="U25" s="397"/>
      <c r="V25" s="397"/>
      <c r="W25" s="397"/>
      <c r="X25" s="397"/>
      <c r="Y25" s="397"/>
      <c r="Z25" s="397"/>
      <c r="AA25" s="397"/>
      <c r="AB25" s="397"/>
      <c r="AC25" s="397"/>
      <c r="AD25" s="397"/>
      <c r="AE25" s="397"/>
      <c r="AF25" s="397"/>
      <c r="AG25" s="397"/>
      <c r="AH25" s="397"/>
      <c r="AI25" s="397"/>
      <c r="AJ25" s="397"/>
      <c r="AK25" s="397"/>
      <c r="AL25" s="397"/>
      <c r="AM25" s="397"/>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7"/>
      <c r="BK25" s="397"/>
      <c r="BL25" s="397"/>
      <c r="BM25" s="397"/>
      <c r="BN25" s="397"/>
      <c r="BO25" s="397"/>
      <c r="BP25" s="397"/>
      <c r="BQ25" s="397"/>
      <c r="BR25" s="397"/>
      <c r="BS25" s="397"/>
      <c r="BT25" s="397"/>
      <c r="BU25" s="397"/>
      <c r="BV25" s="397"/>
      <c r="BW25" s="397"/>
      <c r="BX25" s="397"/>
      <c r="BY25" s="397"/>
      <c r="BZ25" s="397"/>
      <c r="CA25" s="397"/>
      <c r="CB25" s="397"/>
      <c r="CC25" s="397"/>
      <c r="CD25" s="397"/>
      <c r="CE25" s="397"/>
      <c r="CF25" s="397"/>
      <c r="CG25" s="397"/>
      <c r="CH25" s="397"/>
      <c r="CI25" s="397"/>
      <c r="CJ25" s="397"/>
      <c r="CK25" s="399" t="str">
        <f>Data_Income!F946</f>
        <v/>
      </c>
      <c r="CL25" s="400"/>
      <c r="CM25" s="400"/>
      <c r="CN25" s="400"/>
      <c r="CO25" s="400"/>
      <c r="CP25" s="400"/>
      <c r="CQ25" s="400"/>
      <c r="CR25" s="400"/>
      <c r="CS25" s="400"/>
      <c r="CT25" s="400"/>
      <c r="CU25" s="400"/>
      <c r="CV25" s="400"/>
      <c r="CW25" s="400"/>
      <c r="CX25" s="400"/>
      <c r="CY25" s="400"/>
      <c r="CZ25" s="400"/>
      <c r="DA25" s="400"/>
      <c r="DB25" s="177"/>
    </row>
    <row r="26" spans="2:106" ht="12" customHeight="1">
      <c r="B26" s="168"/>
      <c r="D26" s="360"/>
      <c r="E26" s="360"/>
      <c r="F26" s="360"/>
      <c r="G26" s="360"/>
      <c r="H26" s="360"/>
      <c r="I26" s="360"/>
      <c r="J26" s="360"/>
      <c r="K26" s="360"/>
      <c r="L26" s="360"/>
      <c r="M26" s="360"/>
      <c r="N26" s="360"/>
      <c r="O26" s="360"/>
      <c r="P26" s="360"/>
      <c r="Q26" s="360"/>
      <c r="R26" s="360"/>
      <c r="S26" s="360"/>
      <c r="T26" s="360"/>
      <c r="U26" s="360"/>
      <c r="V26" s="360"/>
      <c r="W26" s="360"/>
      <c r="X26" s="360"/>
      <c r="Y26" s="360"/>
      <c r="Z26" s="360"/>
      <c r="AA26" s="360"/>
      <c r="AB26" s="360"/>
      <c r="AC26" s="360"/>
      <c r="AD26" s="360"/>
      <c r="AE26" s="360"/>
      <c r="AF26" s="360"/>
      <c r="AG26" s="360"/>
      <c r="AH26" s="360"/>
      <c r="AI26" s="360"/>
      <c r="AJ26" s="360"/>
      <c r="AK26" s="360"/>
      <c r="AL26" s="360"/>
      <c r="AM26" s="360"/>
      <c r="AN26" s="360"/>
      <c r="AO26" s="360"/>
      <c r="AP26" s="360"/>
      <c r="AQ26" s="360"/>
      <c r="AR26" s="360"/>
      <c r="AS26" s="360"/>
      <c r="AT26" s="360"/>
      <c r="AU26" s="360"/>
      <c r="AV26" s="360"/>
      <c r="AW26" s="360"/>
      <c r="AX26" s="360"/>
      <c r="AY26" s="360"/>
      <c r="AZ26" s="360"/>
      <c r="BA26" s="360"/>
      <c r="BB26" s="360"/>
      <c r="BC26" s="360"/>
      <c r="BD26" s="360"/>
      <c r="BE26" s="360"/>
      <c r="BF26" s="360"/>
      <c r="BG26" s="360"/>
      <c r="BH26" s="360"/>
      <c r="BI26" s="360"/>
      <c r="BJ26" s="360"/>
      <c r="BK26" s="360"/>
      <c r="BL26" s="360"/>
      <c r="BM26" s="360"/>
      <c r="BN26" s="360"/>
      <c r="BO26" s="360"/>
      <c r="BP26" s="360"/>
      <c r="BQ26" s="360"/>
      <c r="BR26" s="360"/>
      <c r="BS26" s="360"/>
      <c r="BT26" s="360"/>
      <c r="BU26" s="360"/>
      <c r="BV26" s="360"/>
      <c r="BW26" s="360"/>
      <c r="BX26" s="360"/>
      <c r="BY26" s="360"/>
      <c r="BZ26" s="360"/>
      <c r="CA26" s="360"/>
      <c r="CB26" s="360"/>
      <c r="CC26" s="360"/>
      <c r="CD26" s="360"/>
      <c r="CE26" s="360"/>
      <c r="CF26" s="360"/>
      <c r="CG26" s="360"/>
      <c r="CH26" s="360"/>
      <c r="CI26" s="360"/>
      <c r="CJ26" s="360"/>
      <c r="CK26" s="360"/>
      <c r="CL26" s="360"/>
      <c r="CM26" s="360"/>
      <c r="CN26" s="360"/>
      <c r="CO26" s="360"/>
      <c r="CP26" s="360"/>
      <c r="CQ26" s="360"/>
      <c r="CR26" s="360"/>
      <c r="CS26" s="360"/>
      <c r="CT26" s="360"/>
      <c r="CU26" s="360"/>
      <c r="CV26" s="360"/>
      <c r="CW26" s="360"/>
      <c r="CX26" s="360"/>
      <c r="CY26" s="360"/>
      <c r="CZ26" s="360"/>
      <c r="DB26" s="177"/>
    </row>
    <row r="27" spans="2:106" ht="12" customHeight="1">
      <c r="B27" s="168"/>
      <c r="C27" s="404"/>
      <c r="D27" s="404"/>
      <c r="E27" s="404"/>
      <c r="F27" s="404"/>
      <c r="G27" s="404"/>
      <c r="H27" s="404"/>
      <c r="I27" s="404"/>
      <c r="J27" s="404"/>
      <c r="K27" s="404"/>
      <c r="L27" s="404"/>
      <c r="M27" s="404"/>
      <c r="N27" s="404"/>
      <c r="O27" s="404"/>
      <c r="P27" s="404"/>
      <c r="Q27" s="404"/>
      <c r="R27" s="404"/>
      <c r="S27" s="404"/>
      <c r="T27" s="404"/>
      <c r="U27" s="404"/>
      <c r="V27" s="404"/>
      <c r="W27" s="404"/>
      <c r="X27" s="404"/>
      <c r="Y27" s="404"/>
      <c r="Z27" s="404"/>
      <c r="AA27" s="404"/>
      <c r="AB27" s="404"/>
      <c r="AC27" s="404"/>
      <c r="AD27" s="404"/>
      <c r="AE27" s="404"/>
      <c r="AF27" s="404"/>
      <c r="AG27" s="404"/>
      <c r="AH27" s="404"/>
      <c r="AI27" s="404"/>
      <c r="AJ27" s="404"/>
      <c r="AK27" s="404"/>
      <c r="AL27" s="404"/>
      <c r="AM27" s="404"/>
      <c r="AN27" s="404"/>
      <c r="AO27" s="404"/>
      <c r="AP27" s="404"/>
      <c r="AQ27" s="404"/>
      <c r="AR27" s="404"/>
      <c r="AS27" s="404"/>
      <c r="AT27" s="404"/>
      <c r="AU27" s="404"/>
      <c r="AV27" s="404"/>
      <c r="AW27" s="404"/>
      <c r="AX27" s="404"/>
      <c r="AY27" s="404"/>
      <c r="AZ27" s="404"/>
      <c r="BA27" s="404"/>
      <c r="BB27" s="404"/>
      <c r="BC27" s="404"/>
      <c r="BD27" s="404"/>
      <c r="BE27" s="404"/>
      <c r="BF27" s="404"/>
      <c r="BG27" s="404"/>
      <c r="BH27" s="404"/>
      <c r="BI27" s="404"/>
      <c r="BJ27" s="404"/>
      <c r="BK27" s="404"/>
      <c r="BL27" s="404"/>
      <c r="BM27" s="404"/>
      <c r="BN27" s="404"/>
      <c r="BO27" s="404"/>
      <c r="BP27" s="404"/>
      <c r="BQ27" s="404"/>
      <c r="BR27" s="404"/>
      <c r="BS27" s="404"/>
      <c r="BT27" s="404"/>
      <c r="BU27" s="404"/>
      <c r="BV27" s="404"/>
      <c r="BW27" s="404"/>
      <c r="BX27" s="404"/>
      <c r="BY27" s="404"/>
      <c r="BZ27" s="404"/>
      <c r="CA27" s="404"/>
      <c r="CB27" s="404"/>
      <c r="CC27" s="404"/>
      <c r="CD27" s="404"/>
      <c r="CE27" s="404"/>
      <c r="CF27" s="404"/>
      <c r="CG27" s="404"/>
      <c r="CH27" s="404"/>
      <c r="CI27" s="404"/>
      <c r="CJ27" s="404"/>
      <c r="CK27" s="404"/>
      <c r="CL27" s="404"/>
      <c r="CM27" s="404"/>
      <c r="CN27" s="404"/>
      <c r="CO27" s="404"/>
      <c r="CP27" s="404"/>
      <c r="CQ27" s="404"/>
      <c r="CR27" s="404"/>
      <c r="CS27" s="404"/>
      <c r="CT27" s="404"/>
      <c r="CU27" s="404"/>
      <c r="CV27" s="404"/>
      <c r="CW27" s="404"/>
      <c r="CX27" s="404"/>
      <c r="CY27" s="404"/>
      <c r="CZ27" s="404"/>
      <c r="DA27" s="404"/>
      <c r="DB27" s="177"/>
    </row>
    <row r="28" spans="2:106" ht="30" customHeight="1">
      <c r="B28" s="168"/>
      <c r="C28" s="405" t="str">
        <f>Data_Income!B953</f>
        <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405"/>
      <c r="AF28" s="405"/>
      <c r="AG28" s="405"/>
      <c r="AH28" s="405"/>
      <c r="AI28" s="405"/>
      <c r="AJ28" s="405"/>
      <c r="AK28" s="405"/>
      <c r="AL28" s="405"/>
      <c r="AM28" s="405"/>
      <c r="AN28" s="405"/>
      <c r="AO28" s="405"/>
      <c r="AP28" s="405"/>
      <c r="AQ28" s="405"/>
      <c r="AR28" s="405"/>
      <c r="AS28" s="405"/>
      <c r="AT28" s="405"/>
      <c r="AU28" s="405"/>
      <c r="AV28" s="405"/>
      <c r="AW28" s="405"/>
      <c r="AX28" s="405"/>
      <c r="AY28" s="405"/>
      <c r="AZ28" s="405"/>
      <c r="BA28" s="405"/>
      <c r="BB28" s="405"/>
      <c r="BC28" s="405"/>
      <c r="BD28" s="405"/>
      <c r="BE28" s="405"/>
      <c r="BF28" s="405"/>
      <c r="BG28" s="405"/>
      <c r="BH28" s="405"/>
      <c r="BI28" s="405"/>
      <c r="BJ28" s="405"/>
      <c r="BK28" s="405"/>
      <c r="BL28" s="405"/>
      <c r="BM28" s="405"/>
      <c r="BN28" s="405"/>
      <c r="BO28" s="405"/>
      <c r="BP28" s="405"/>
      <c r="BQ28" s="405"/>
      <c r="BR28" s="405"/>
      <c r="BS28" s="405"/>
      <c r="BT28" s="405"/>
      <c r="BU28" s="405"/>
      <c r="BV28" s="405"/>
      <c r="BW28" s="405"/>
      <c r="BX28" s="405"/>
      <c r="BY28" s="405"/>
      <c r="BZ28" s="405"/>
      <c r="CA28" s="405"/>
      <c r="CB28" s="405"/>
      <c r="CC28" s="405"/>
      <c r="CD28" s="405"/>
      <c r="CE28" s="405"/>
      <c r="CF28" s="405"/>
      <c r="CG28" s="405"/>
      <c r="CH28" s="405"/>
      <c r="CI28" s="405"/>
      <c r="CJ28" s="405"/>
      <c r="CK28" s="405"/>
      <c r="CL28" s="405"/>
      <c r="CM28" s="405"/>
      <c r="CN28" s="405"/>
      <c r="CO28" s="405"/>
      <c r="CP28" s="405"/>
      <c r="CQ28" s="405"/>
      <c r="CR28" s="405"/>
      <c r="CS28" s="405"/>
      <c r="CT28" s="405"/>
      <c r="CU28" s="405"/>
      <c r="CV28" s="405"/>
      <c r="CW28" s="405"/>
      <c r="CX28" s="405"/>
      <c r="CY28" s="405"/>
      <c r="CZ28" s="405"/>
      <c r="DA28" s="405"/>
      <c r="DB28" s="177"/>
    </row>
    <row r="29" spans="2:106" ht="32.1" customHeight="1">
      <c r="B29" s="168"/>
      <c r="C29" s="405" t="str">
        <f>Data_Income!B954</f>
        <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405"/>
      <c r="AF29" s="405"/>
      <c r="AG29" s="405"/>
      <c r="AH29" s="405"/>
      <c r="AI29" s="405"/>
      <c r="AJ29" s="405"/>
      <c r="AK29" s="405"/>
      <c r="AL29" s="405"/>
      <c r="AM29" s="405"/>
      <c r="AN29" s="405"/>
      <c r="AO29" s="405"/>
      <c r="AP29" s="405"/>
      <c r="AQ29" s="405"/>
      <c r="AR29" s="405"/>
      <c r="AS29" s="405"/>
      <c r="AT29" s="405"/>
      <c r="AU29" s="405"/>
      <c r="AV29" s="405"/>
      <c r="AW29" s="405"/>
      <c r="AX29" s="405"/>
      <c r="AY29" s="405"/>
      <c r="AZ29" s="405"/>
      <c r="BA29" s="405"/>
      <c r="BB29" s="405"/>
      <c r="BC29" s="405"/>
      <c r="BD29" s="405"/>
      <c r="BE29" s="405"/>
      <c r="BF29" s="405"/>
      <c r="BG29" s="405"/>
      <c r="BH29" s="405"/>
      <c r="BI29" s="405"/>
      <c r="BJ29" s="405"/>
      <c r="BK29" s="405"/>
      <c r="BL29" s="405"/>
      <c r="BM29" s="405"/>
      <c r="BN29" s="405"/>
      <c r="BO29" s="405"/>
      <c r="BP29" s="405"/>
      <c r="BQ29" s="405"/>
      <c r="BR29" s="405"/>
      <c r="BS29" s="405"/>
      <c r="BT29" s="405"/>
      <c r="BU29" s="405"/>
      <c r="BV29" s="405"/>
      <c r="BW29" s="405"/>
      <c r="BX29" s="405"/>
      <c r="BY29" s="405"/>
      <c r="BZ29" s="405"/>
      <c r="CA29" s="405"/>
      <c r="CB29" s="405"/>
      <c r="CC29" s="405"/>
      <c r="CD29" s="405"/>
      <c r="CE29" s="405"/>
      <c r="CF29" s="405"/>
      <c r="CG29" s="405"/>
      <c r="CH29" s="405"/>
      <c r="CI29" s="405"/>
      <c r="CJ29" s="405"/>
      <c r="CK29" s="405"/>
      <c r="CL29" s="405"/>
      <c r="CM29" s="405"/>
      <c r="CN29" s="405"/>
      <c r="CO29" s="405"/>
      <c r="CP29" s="405"/>
      <c r="CQ29" s="405"/>
      <c r="CR29" s="405"/>
      <c r="CS29" s="405"/>
      <c r="CT29" s="405"/>
      <c r="CU29" s="405"/>
      <c r="CV29" s="405"/>
      <c r="CW29" s="405"/>
      <c r="CX29" s="405"/>
      <c r="CY29" s="405"/>
      <c r="CZ29" s="405"/>
      <c r="DA29" s="405"/>
      <c r="DB29" s="177"/>
    </row>
    <row r="30" spans="2:106" ht="16.149999999999999" customHeight="1">
      <c r="B30" s="168"/>
      <c r="C30" s="360"/>
      <c r="D30" s="360"/>
      <c r="E30" s="360"/>
      <c r="F30" s="360"/>
      <c r="G30" s="360"/>
      <c r="H30" s="360"/>
      <c r="I30" s="360"/>
      <c r="J30" s="360"/>
      <c r="K30" s="360"/>
      <c r="L30" s="360"/>
      <c r="M30" s="360"/>
      <c r="N30" s="360"/>
      <c r="O30" s="360"/>
      <c r="P30" s="360"/>
      <c r="Q30" s="360"/>
      <c r="R30" s="360"/>
      <c r="S30" s="360"/>
      <c r="T30" s="360"/>
      <c r="U30" s="360"/>
      <c r="V30" s="360"/>
      <c r="W30" s="360"/>
      <c r="X30" s="360"/>
      <c r="Y30" s="360"/>
      <c r="Z30" s="360"/>
      <c r="AA30" s="360"/>
      <c r="AB30" s="360"/>
      <c r="AC30" s="360"/>
      <c r="AD30" s="360"/>
      <c r="AE30" s="360"/>
      <c r="AF30" s="360"/>
      <c r="AG30" s="360"/>
      <c r="AH30" s="360"/>
      <c r="AI30" s="360"/>
      <c r="AJ30" s="360"/>
      <c r="AK30" s="360"/>
      <c r="AL30" s="360"/>
      <c r="AM30" s="360"/>
      <c r="AN30" s="360"/>
      <c r="AO30" s="360"/>
      <c r="AP30" s="360"/>
      <c r="AQ30" s="360"/>
      <c r="AR30" s="360"/>
      <c r="AS30" s="360"/>
      <c r="AT30" s="360"/>
      <c r="AU30" s="360"/>
      <c r="AV30" s="360"/>
      <c r="AW30" s="360"/>
      <c r="AX30" s="360"/>
      <c r="AY30" s="360"/>
      <c r="AZ30" s="360"/>
      <c r="BA30" s="360"/>
      <c r="BB30" s="360"/>
      <c r="BC30" s="360"/>
      <c r="BD30" s="360"/>
      <c r="BE30" s="360"/>
      <c r="BF30" s="360"/>
      <c r="BG30" s="360"/>
      <c r="BH30" s="360"/>
      <c r="BI30" s="360"/>
      <c r="BJ30" s="360"/>
      <c r="BK30" s="360"/>
      <c r="BL30" s="360"/>
      <c r="BM30" s="360"/>
      <c r="BN30" s="360"/>
      <c r="BO30" s="360"/>
      <c r="BP30" s="360"/>
      <c r="BQ30" s="360"/>
      <c r="BR30" s="360"/>
      <c r="BS30" s="360"/>
      <c r="BT30" s="360"/>
      <c r="BU30" s="360"/>
      <c r="BV30" s="360"/>
      <c r="BW30" s="360"/>
      <c r="BX30" s="360"/>
      <c r="BY30" s="360"/>
      <c r="BZ30" s="360"/>
      <c r="CA30" s="360"/>
      <c r="CB30" s="360"/>
      <c r="CC30" s="360"/>
      <c r="CD30" s="360"/>
      <c r="CE30" s="360"/>
      <c r="CF30" s="360"/>
      <c r="CG30" s="360"/>
      <c r="CH30" s="360"/>
      <c r="CI30" s="360"/>
      <c r="CJ30" s="360"/>
      <c r="CK30" s="360"/>
      <c r="CL30" s="360"/>
      <c r="CM30" s="360"/>
      <c r="CN30" s="360"/>
      <c r="CO30" s="360"/>
      <c r="CP30" s="360"/>
      <c r="CQ30" s="360"/>
      <c r="CR30" s="360"/>
      <c r="CS30" s="360"/>
      <c r="CT30" s="360"/>
      <c r="CU30" s="360"/>
      <c r="CV30" s="360"/>
      <c r="CW30" s="360"/>
      <c r="CX30" s="360"/>
      <c r="CY30" s="360"/>
      <c r="CZ30" s="360"/>
      <c r="DA30" s="360"/>
      <c r="DB30" s="177"/>
    </row>
    <row r="31" spans="2:106" ht="15" customHeight="1">
      <c r="B31" s="168"/>
      <c r="C31" s="406" t="s">
        <v>84</v>
      </c>
      <c r="D31" s="406"/>
      <c r="E31" s="406"/>
      <c r="F31" s="406"/>
      <c r="G31" s="406"/>
      <c r="H31" s="406"/>
      <c r="I31" s="406"/>
      <c r="J31" s="406"/>
      <c r="K31" s="406"/>
      <c r="L31" s="406"/>
      <c r="M31" s="406"/>
      <c r="N31" s="406"/>
      <c r="O31" s="406"/>
      <c r="P31" s="406"/>
      <c r="Q31" s="406"/>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6"/>
      <c r="AO31" s="406"/>
      <c r="AP31" s="406"/>
      <c r="AQ31" s="406"/>
      <c r="AR31" s="406"/>
      <c r="AS31" s="406"/>
      <c r="AT31" s="406"/>
      <c r="AU31" s="406"/>
      <c r="AV31" s="406"/>
      <c r="AW31" s="406"/>
      <c r="AX31" s="406"/>
      <c r="AY31" s="406"/>
      <c r="AZ31" s="406"/>
      <c r="BA31" s="406"/>
      <c r="BB31" s="406"/>
      <c r="BC31" s="406"/>
      <c r="BD31" s="406"/>
      <c r="BE31" s="406"/>
      <c r="BF31" s="406"/>
      <c r="BG31" s="406"/>
      <c r="BH31" s="406"/>
      <c r="BI31" s="406"/>
      <c r="BJ31" s="406"/>
      <c r="BK31" s="406"/>
      <c r="BL31" s="406"/>
      <c r="BM31" s="406"/>
      <c r="BN31" s="406"/>
      <c r="BO31" s="406"/>
      <c r="BP31" s="406"/>
      <c r="BQ31" s="406"/>
      <c r="BR31" s="406"/>
      <c r="BS31" s="406"/>
      <c r="BT31" s="406"/>
      <c r="BU31" s="406"/>
      <c r="BV31" s="406"/>
      <c r="BW31" s="406"/>
      <c r="BX31" s="406"/>
      <c r="BY31" s="406"/>
      <c r="BZ31" s="406"/>
      <c r="CA31" s="406"/>
      <c r="CB31" s="406"/>
      <c r="CC31" s="406"/>
      <c r="CD31" s="406"/>
      <c r="CE31" s="406"/>
      <c r="CF31" s="406"/>
      <c r="CG31" s="406"/>
      <c r="CH31" s="406"/>
      <c r="CI31" s="406"/>
      <c r="CJ31" s="406"/>
      <c r="CK31" s="406"/>
      <c r="CL31" s="406"/>
      <c r="CM31" s="406"/>
      <c r="CN31" s="406"/>
      <c r="CO31" s="406"/>
      <c r="CP31" s="406"/>
      <c r="CQ31" s="406"/>
      <c r="CR31" s="406"/>
      <c r="CS31" s="406"/>
      <c r="CT31" s="406"/>
      <c r="CU31" s="406"/>
      <c r="CV31" s="406"/>
      <c r="CW31" s="406"/>
      <c r="CX31" s="406"/>
      <c r="CY31" s="406"/>
      <c r="CZ31" s="406"/>
      <c r="DA31" s="406"/>
      <c r="DB31" s="177"/>
    </row>
    <row r="32" spans="2:106" ht="10.15" customHeight="1">
      <c r="B32" s="168"/>
      <c r="C32" s="407" t="s">
        <v>85</v>
      </c>
      <c r="D32" s="407"/>
      <c r="E32" s="407"/>
      <c r="F32" s="407"/>
      <c r="G32" s="407"/>
      <c r="H32" s="407"/>
      <c r="I32" s="407"/>
      <c r="J32" s="407"/>
      <c r="K32" s="407"/>
      <c r="L32" s="407"/>
      <c r="M32" s="407"/>
      <c r="N32" s="407"/>
      <c r="O32" s="407"/>
      <c r="P32" s="407"/>
      <c r="Q32" s="407"/>
      <c r="R32" s="407"/>
      <c r="S32" s="407"/>
      <c r="T32" s="407"/>
      <c r="U32" s="407"/>
      <c r="V32" s="407"/>
      <c r="W32" s="407"/>
      <c r="X32" s="407"/>
      <c r="Y32" s="407"/>
      <c r="Z32" s="407"/>
      <c r="AA32" s="407"/>
      <c r="AB32" s="407"/>
      <c r="AC32" s="407"/>
      <c r="AD32" s="407"/>
      <c r="AE32" s="407"/>
      <c r="AF32" s="407"/>
      <c r="AG32" s="407"/>
      <c r="AH32" s="407"/>
      <c r="AI32" s="407"/>
      <c r="AJ32" s="407"/>
      <c r="AK32" s="407"/>
      <c r="AL32" s="407"/>
      <c r="AM32" s="407"/>
      <c r="AN32" s="407"/>
      <c r="AO32" s="407"/>
      <c r="AP32" s="407"/>
      <c r="AQ32" s="407"/>
      <c r="AR32" s="407"/>
      <c r="AS32" s="407"/>
      <c r="AT32" s="407"/>
      <c r="AU32" s="407"/>
      <c r="AV32" s="407"/>
      <c r="AW32" s="407"/>
      <c r="AX32" s="407"/>
      <c r="AY32" s="407"/>
      <c r="AZ32" s="407"/>
      <c r="BA32" s="407"/>
      <c r="BB32" s="407"/>
      <c r="BC32" s="407"/>
      <c r="BD32" s="407"/>
      <c r="BE32" s="407"/>
      <c r="BF32" s="407"/>
      <c r="BG32" s="407"/>
      <c r="BH32" s="407"/>
      <c r="BI32" s="407"/>
      <c r="BJ32" s="407"/>
      <c r="BK32" s="407"/>
      <c r="BL32" s="407"/>
      <c r="BM32" s="407"/>
      <c r="BN32" s="407"/>
      <c r="BO32" s="407"/>
      <c r="BP32" s="407"/>
      <c r="BQ32" s="407"/>
      <c r="BR32" s="407"/>
      <c r="BS32" s="407"/>
      <c r="BT32" s="407"/>
      <c r="BU32" s="407"/>
      <c r="BV32" s="407"/>
      <c r="BW32" s="407"/>
      <c r="BX32" s="407"/>
      <c r="BY32" s="407"/>
      <c r="BZ32" s="407"/>
      <c r="CA32" s="407"/>
      <c r="CB32" s="407"/>
      <c r="CC32" s="407"/>
      <c r="CD32" s="407"/>
      <c r="CE32" s="407"/>
      <c r="CF32" s="407"/>
      <c r="CG32" s="407"/>
      <c r="CH32" s="407"/>
      <c r="CI32" s="407"/>
      <c r="CJ32" s="407"/>
      <c r="CK32" s="407"/>
      <c r="CL32" s="407"/>
      <c r="CM32" s="407"/>
      <c r="CN32" s="407"/>
      <c r="CO32" s="407"/>
      <c r="CP32" s="407"/>
      <c r="CQ32" s="407"/>
      <c r="CR32" s="407"/>
      <c r="CS32" s="407"/>
      <c r="CT32" s="407"/>
      <c r="CU32" s="407"/>
      <c r="CV32" s="407"/>
      <c r="CW32" s="407"/>
      <c r="CX32" s="407"/>
      <c r="CY32" s="407"/>
      <c r="CZ32" s="407"/>
      <c r="DA32" s="407"/>
      <c r="DB32" s="177"/>
    </row>
    <row r="33" spans="2:106" ht="9" customHeight="1">
      <c r="B33" s="168"/>
      <c r="C33" s="242" t="s">
        <v>86</v>
      </c>
      <c r="D33" s="408" t="s">
        <v>87</v>
      </c>
      <c r="E33" s="408"/>
      <c r="F33" s="408"/>
      <c r="G33" s="408"/>
      <c r="H33" s="408"/>
      <c r="I33" s="408"/>
      <c r="J33" s="408"/>
      <c r="K33" s="408"/>
      <c r="L33" s="408"/>
      <c r="M33" s="408"/>
      <c r="N33" s="408"/>
      <c r="O33" s="408"/>
      <c r="P33" s="408"/>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08"/>
      <c r="AQ33" s="408"/>
      <c r="AR33" s="408"/>
      <c r="AS33" s="408"/>
      <c r="AT33" s="408"/>
      <c r="AU33" s="408"/>
      <c r="AV33" s="408"/>
      <c r="AW33" s="408"/>
      <c r="AX33" s="408"/>
      <c r="AY33" s="408"/>
      <c r="AZ33" s="408"/>
      <c r="BA33" s="408"/>
      <c r="BB33" s="408"/>
      <c r="BC33" s="408"/>
      <c r="BD33" s="408"/>
      <c r="BE33" s="408"/>
      <c r="BF33" s="408"/>
      <c r="BG33" s="408"/>
      <c r="BH33" s="408"/>
      <c r="BI33" s="408"/>
      <c r="BJ33" s="408"/>
      <c r="BK33" s="408"/>
      <c r="BL33" s="408"/>
      <c r="BM33" s="408"/>
      <c r="BN33" s="408"/>
      <c r="BO33" s="408"/>
      <c r="BP33" s="408"/>
      <c r="BQ33" s="408"/>
      <c r="BR33" s="408"/>
      <c r="BS33" s="408"/>
      <c r="BT33" s="408"/>
      <c r="BU33" s="408"/>
      <c r="BV33" s="408"/>
      <c r="BW33" s="408"/>
      <c r="BX33" s="408"/>
      <c r="BY33" s="408"/>
      <c r="BZ33" s="408"/>
      <c r="CA33" s="408"/>
      <c r="CB33" s="408"/>
      <c r="CC33" s="408"/>
      <c r="CD33" s="408"/>
      <c r="CE33" s="408"/>
      <c r="CF33" s="408"/>
      <c r="CG33" s="408"/>
      <c r="CH33" s="408"/>
      <c r="CI33" s="408"/>
      <c r="CJ33" s="408"/>
      <c r="CK33" s="408"/>
      <c r="CL33" s="408"/>
      <c r="CM33" s="408"/>
      <c r="CN33" s="408"/>
      <c r="CO33" s="408"/>
      <c r="CP33" s="408"/>
      <c r="CQ33" s="408"/>
      <c r="CR33" s="408"/>
      <c r="CS33" s="408"/>
      <c r="CT33" s="408"/>
      <c r="CU33" s="408"/>
      <c r="CV33" s="408"/>
      <c r="CW33" s="408"/>
      <c r="CX33" s="408"/>
      <c r="CY33" s="408"/>
      <c r="CZ33" s="408"/>
      <c r="DA33" s="408"/>
      <c r="DB33" s="177"/>
    </row>
    <row r="34" spans="2:106" ht="9" customHeight="1">
      <c r="B34" s="168"/>
      <c r="C34" s="242" t="s">
        <v>86</v>
      </c>
      <c r="D34" s="409" t="s">
        <v>88</v>
      </c>
      <c r="E34" s="409"/>
      <c r="F34" s="409"/>
      <c r="G34" s="409"/>
      <c r="H34" s="409"/>
      <c r="I34" s="409"/>
      <c r="J34" s="409"/>
      <c r="K34" s="409"/>
      <c r="L34" s="409"/>
      <c r="M34" s="409"/>
      <c r="N34" s="409"/>
      <c r="O34" s="409"/>
      <c r="P34" s="409"/>
      <c r="Q34" s="409"/>
      <c r="R34" s="409"/>
      <c r="S34" s="409"/>
      <c r="T34" s="409"/>
      <c r="U34" s="409"/>
      <c r="V34" s="409"/>
      <c r="W34" s="409"/>
      <c r="X34" s="409"/>
      <c r="Y34" s="409"/>
      <c r="Z34" s="409"/>
      <c r="AA34" s="409"/>
      <c r="AB34" s="409"/>
      <c r="AC34" s="409"/>
      <c r="AD34" s="409"/>
      <c r="AE34" s="409"/>
      <c r="AF34" s="409"/>
      <c r="AG34" s="409"/>
      <c r="AH34" s="409"/>
      <c r="AI34" s="409"/>
      <c r="AJ34" s="409"/>
      <c r="AK34" s="409"/>
      <c r="AL34" s="409"/>
      <c r="AM34" s="409"/>
      <c r="AN34" s="409"/>
      <c r="AO34" s="409"/>
      <c r="AP34" s="409"/>
      <c r="AQ34" s="409"/>
      <c r="AR34" s="409"/>
      <c r="AS34" s="409"/>
      <c r="AT34" s="409"/>
      <c r="AU34" s="409"/>
      <c r="AV34" s="409"/>
      <c r="AW34" s="409"/>
      <c r="AX34" s="409"/>
      <c r="AY34" s="409"/>
      <c r="AZ34" s="409"/>
      <c r="BA34" s="409"/>
      <c r="BB34" s="409"/>
      <c r="BC34" s="409"/>
      <c r="BD34" s="409"/>
      <c r="BE34" s="409"/>
      <c r="BF34" s="409"/>
      <c r="BG34" s="409"/>
      <c r="BH34" s="409"/>
      <c r="BI34" s="409"/>
      <c r="BJ34" s="409"/>
      <c r="BK34" s="409"/>
      <c r="BL34" s="409"/>
      <c r="BM34" s="409"/>
      <c r="BN34" s="409"/>
      <c r="BO34" s="409"/>
      <c r="BP34" s="409"/>
      <c r="BQ34" s="409"/>
      <c r="BR34" s="409"/>
      <c r="BS34" s="409"/>
      <c r="BT34" s="409"/>
      <c r="BU34" s="409"/>
      <c r="BV34" s="409"/>
      <c r="BW34" s="409"/>
      <c r="BX34" s="409"/>
      <c r="BY34" s="409"/>
      <c r="BZ34" s="409"/>
      <c r="CA34" s="409"/>
      <c r="CB34" s="409"/>
      <c r="CC34" s="409"/>
      <c r="CD34" s="409"/>
      <c r="CE34" s="409"/>
      <c r="CF34" s="409"/>
      <c r="CG34" s="409"/>
      <c r="CH34" s="409"/>
      <c r="CI34" s="409"/>
      <c r="CJ34" s="409"/>
      <c r="CK34" s="409"/>
      <c r="CL34" s="409"/>
      <c r="CM34" s="409"/>
      <c r="CN34" s="409"/>
      <c r="CO34" s="409"/>
      <c r="CP34" s="409"/>
      <c r="CQ34" s="409"/>
      <c r="CR34" s="409"/>
      <c r="CS34" s="409"/>
      <c r="CT34" s="409"/>
      <c r="CU34" s="409"/>
      <c r="CV34" s="409"/>
      <c r="CW34" s="409"/>
      <c r="CX34" s="409"/>
      <c r="CY34" s="409"/>
      <c r="CZ34" s="409"/>
      <c r="DA34" s="409"/>
      <c r="DB34" s="177"/>
    </row>
    <row r="35" spans="2:106" ht="9" customHeight="1">
      <c r="B35" s="168"/>
      <c r="C35" s="172"/>
      <c r="D35" s="409" t="s">
        <v>89</v>
      </c>
      <c r="E35" s="409"/>
      <c r="F35" s="409"/>
      <c r="G35" s="409"/>
      <c r="H35" s="409"/>
      <c r="I35" s="409"/>
      <c r="J35" s="409"/>
      <c r="K35" s="409"/>
      <c r="L35" s="409"/>
      <c r="M35" s="409"/>
      <c r="N35" s="409"/>
      <c r="O35" s="409"/>
      <c r="P35" s="409"/>
      <c r="Q35" s="409"/>
      <c r="R35" s="409"/>
      <c r="S35" s="409"/>
      <c r="T35" s="409"/>
      <c r="U35" s="409"/>
      <c r="V35" s="409"/>
      <c r="W35" s="409"/>
      <c r="X35" s="409"/>
      <c r="Y35" s="409"/>
      <c r="Z35" s="409"/>
      <c r="AA35" s="409"/>
      <c r="AB35" s="409"/>
      <c r="AC35" s="409"/>
      <c r="AD35" s="409"/>
      <c r="AE35" s="409"/>
      <c r="AF35" s="409"/>
      <c r="AG35" s="409"/>
      <c r="AH35" s="409"/>
      <c r="AI35" s="409"/>
      <c r="AJ35" s="409"/>
      <c r="AK35" s="409"/>
      <c r="AL35" s="409"/>
      <c r="AM35" s="409"/>
      <c r="AN35" s="409"/>
      <c r="AO35" s="409"/>
      <c r="AP35" s="409"/>
      <c r="AQ35" s="409"/>
      <c r="AR35" s="409"/>
      <c r="AS35" s="409"/>
      <c r="AT35" s="409"/>
      <c r="AU35" s="409"/>
      <c r="AV35" s="409"/>
      <c r="AW35" s="409"/>
      <c r="AX35" s="409"/>
      <c r="AY35" s="409"/>
      <c r="AZ35" s="409"/>
      <c r="BA35" s="409"/>
      <c r="BB35" s="409"/>
      <c r="BC35" s="409"/>
      <c r="BD35" s="409"/>
      <c r="BE35" s="409"/>
      <c r="BF35" s="409"/>
      <c r="BG35" s="409"/>
      <c r="BH35" s="409"/>
      <c r="BI35" s="409"/>
      <c r="BJ35" s="409"/>
      <c r="BK35" s="409"/>
      <c r="BL35" s="409"/>
      <c r="BM35" s="409"/>
      <c r="BN35" s="409"/>
      <c r="BO35" s="409"/>
      <c r="BP35" s="409"/>
      <c r="BQ35" s="409"/>
      <c r="BR35" s="409"/>
      <c r="BS35" s="409"/>
      <c r="BT35" s="409"/>
      <c r="BU35" s="409"/>
      <c r="BV35" s="409"/>
      <c r="BW35" s="409"/>
      <c r="BX35" s="409"/>
      <c r="BY35" s="409"/>
      <c r="BZ35" s="409"/>
      <c r="CA35" s="409"/>
      <c r="CB35" s="409"/>
      <c r="CC35" s="409"/>
      <c r="CD35" s="409"/>
      <c r="CE35" s="409"/>
      <c r="CF35" s="409"/>
      <c r="CG35" s="409"/>
      <c r="CH35" s="409"/>
      <c r="CI35" s="409"/>
      <c r="CJ35" s="409"/>
      <c r="CK35" s="409"/>
      <c r="CL35" s="409"/>
      <c r="CM35" s="409"/>
      <c r="CN35" s="409"/>
      <c r="CO35" s="409"/>
      <c r="CP35" s="409"/>
      <c r="CQ35" s="409"/>
      <c r="CR35" s="409"/>
      <c r="CS35" s="409"/>
      <c r="CT35" s="409"/>
      <c r="CU35" s="409"/>
      <c r="CV35" s="409"/>
      <c r="CW35" s="409"/>
      <c r="CX35" s="409"/>
      <c r="CY35" s="409"/>
      <c r="CZ35" s="409"/>
      <c r="DA35" s="409"/>
      <c r="DB35" s="177"/>
    </row>
    <row r="36" spans="2:106" ht="13.9" customHeight="1">
      <c r="B36" s="168"/>
      <c r="C36" s="410" t="s">
        <v>90</v>
      </c>
      <c r="D36" s="410"/>
      <c r="E36" s="410"/>
      <c r="F36" s="410"/>
      <c r="G36" s="410"/>
      <c r="H36" s="410"/>
      <c r="I36" s="410"/>
      <c r="J36" s="410"/>
      <c r="K36" s="410"/>
      <c r="L36" s="410"/>
      <c r="M36" s="410"/>
      <c r="N36" s="410"/>
      <c r="O36" s="410"/>
      <c r="P36" s="410"/>
      <c r="Q36" s="410"/>
      <c r="R36" s="410"/>
      <c r="S36" s="410"/>
      <c r="T36" s="410"/>
      <c r="U36" s="410"/>
      <c r="V36" s="410"/>
      <c r="W36" s="410"/>
      <c r="X36" s="410"/>
      <c r="Y36" s="410"/>
      <c r="Z36" s="410"/>
      <c r="AA36" s="410"/>
      <c r="AB36" s="410"/>
      <c r="AC36" s="410"/>
      <c r="AD36" s="410"/>
      <c r="AE36" s="410"/>
      <c r="AF36" s="410"/>
      <c r="AG36" s="410"/>
      <c r="AH36" s="410"/>
      <c r="AI36" s="410"/>
      <c r="AJ36" s="410"/>
      <c r="AK36" s="410"/>
      <c r="AL36" s="410"/>
      <c r="AM36" s="410"/>
      <c r="AN36" s="410"/>
      <c r="AO36" s="410"/>
      <c r="AP36" s="410"/>
      <c r="AQ36" s="410"/>
      <c r="AR36" s="410"/>
      <c r="AS36" s="410"/>
      <c r="AT36" s="410"/>
      <c r="AU36" s="410"/>
      <c r="AV36" s="410"/>
      <c r="AW36" s="410"/>
      <c r="AX36" s="410"/>
      <c r="AY36" s="410"/>
      <c r="AZ36" s="410"/>
      <c r="BA36" s="410"/>
      <c r="BB36" s="410"/>
      <c r="BC36" s="410"/>
      <c r="BD36" s="410"/>
      <c r="BE36" s="410"/>
      <c r="BF36" s="410"/>
      <c r="BG36" s="410"/>
      <c r="BH36" s="410"/>
      <c r="BI36" s="410"/>
      <c r="BJ36" s="410"/>
      <c r="BK36" s="410"/>
      <c r="BL36" s="410"/>
      <c r="BM36" s="410"/>
      <c r="BN36" s="410"/>
      <c r="BO36" s="410"/>
      <c r="BP36" s="410"/>
      <c r="BQ36" s="410"/>
      <c r="BR36" s="410"/>
      <c r="BS36" s="410"/>
      <c r="BT36" s="410"/>
      <c r="BU36" s="410"/>
      <c r="BV36" s="410"/>
      <c r="BW36" s="410"/>
      <c r="BX36" s="410"/>
      <c r="BY36" s="410"/>
      <c r="BZ36" s="410"/>
      <c r="CA36" s="410"/>
      <c r="CB36" s="410"/>
      <c r="CC36" s="410"/>
      <c r="CD36" s="410"/>
      <c r="CE36" s="410"/>
      <c r="CF36" s="410"/>
      <c r="CG36" s="410"/>
      <c r="CH36" s="410"/>
      <c r="CI36" s="410"/>
      <c r="CJ36" s="410"/>
      <c r="CK36" s="410"/>
      <c r="CL36" s="410"/>
      <c r="CM36" s="410"/>
      <c r="CN36" s="410"/>
      <c r="CO36" s="410"/>
      <c r="CP36" s="410"/>
      <c r="CQ36" s="410"/>
      <c r="CR36" s="410"/>
      <c r="CS36" s="410"/>
      <c r="CT36" s="410"/>
      <c r="CU36" s="410"/>
      <c r="CV36" s="410"/>
      <c r="CW36" s="410"/>
      <c r="CX36" s="410"/>
      <c r="CY36" s="410"/>
      <c r="CZ36" s="410"/>
      <c r="DA36" s="410"/>
      <c r="DB36" s="177"/>
    </row>
    <row r="37" spans="2:106" ht="9" customHeight="1">
      <c r="B37" s="168"/>
      <c r="C37" s="242" t="s">
        <v>86</v>
      </c>
      <c r="D37" s="408" t="s">
        <v>91</v>
      </c>
      <c r="E37" s="408"/>
      <c r="F37" s="408"/>
      <c r="G37" s="408"/>
      <c r="H37" s="408"/>
      <c r="I37" s="408"/>
      <c r="J37" s="408"/>
      <c r="K37" s="408"/>
      <c r="L37" s="408"/>
      <c r="M37" s="408"/>
      <c r="N37" s="408"/>
      <c r="O37" s="408"/>
      <c r="P37" s="408"/>
      <c r="Q37" s="408"/>
      <c r="R37" s="408"/>
      <c r="S37" s="408"/>
      <c r="T37" s="408"/>
      <c r="U37" s="408"/>
      <c r="V37" s="408"/>
      <c r="W37" s="408"/>
      <c r="X37" s="408"/>
      <c r="Y37" s="408"/>
      <c r="Z37" s="408"/>
      <c r="AA37" s="408"/>
      <c r="AB37" s="408"/>
      <c r="AC37" s="408"/>
      <c r="AD37" s="408"/>
      <c r="AE37" s="408"/>
      <c r="AF37" s="408"/>
      <c r="AG37" s="408"/>
      <c r="AH37" s="408"/>
      <c r="AI37" s="408"/>
      <c r="AJ37" s="408"/>
      <c r="AK37" s="408"/>
      <c r="AL37" s="408"/>
      <c r="AM37" s="408"/>
      <c r="AN37" s="408"/>
      <c r="AO37" s="408"/>
      <c r="AP37" s="408"/>
      <c r="AQ37" s="408"/>
      <c r="AR37" s="408"/>
      <c r="AS37" s="408"/>
      <c r="AT37" s="408"/>
      <c r="AU37" s="408"/>
      <c r="AV37" s="408"/>
      <c r="AW37" s="408"/>
      <c r="AX37" s="408"/>
      <c r="AY37" s="408"/>
      <c r="AZ37" s="408"/>
      <c r="BA37" s="408"/>
      <c r="BB37" s="408"/>
      <c r="BC37" s="408"/>
      <c r="BD37" s="408"/>
      <c r="BE37" s="408"/>
      <c r="BF37" s="408"/>
      <c r="BG37" s="408"/>
      <c r="BH37" s="408"/>
      <c r="BI37" s="408"/>
      <c r="BJ37" s="408"/>
      <c r="BK37" s="408"/>
      <c r="BL37" s="408"/>
      <c r="BM37" s="408"/>
      <c r="BN37" s="408"/>
      <c r="BO37" s="408"/>
      <c r="BP37" s="408"/>
      <c r="BQ37" s="408"/>
      <c r="BR37" s="408"/>
      <c r="BS37" s="408"/>
      <c r="BT37" s="408"/>
      <c r="BU37" s="408"/>
      <c r="BV37" s="408"/>
      <c r="BW37" s="408"/>
      <c r="BX37" s="408"/>
      <c r="BY37" s="408"/>
      <c r="BZ37" s="408"/>
      <c r="CA37" s="408"/>
      <c r="CB37" s="408"/>
      <c r="CC37" s="408"/>
      <c r="CD37" s="408"/>
      <c r="CE37" s="408"/>
      <c r="CF37" s="408"/>
      <c r="CG37" s="408"/>
      <c r="CH37" s="408"/>
      <c r="CI37" s="408"/>
      <c r="CJ37" s="408"/>
      <c r="CK37" s="408"/>
      <c r="CL37" s="408"/>
      <c r="CM37" s="408"/>
      <c r="CN37" s="408"/>
      <c r="CO37" s="408"/>
      <c r="CP37" s="408"/>
      <c r="CQ37" s="408"/>
      <c r="CR37" s="408"/>
      <c r="CS37" s="408"/>
      <c r="CT37" s="408"/>
      <c r="CU37" s="408"/>
      <c r="CV37" s="408"/>
      <c r="CW37" s="408"/>
      <c r="CX37" s="408"/>
      <c r="CY37" s="408"/>
      <c r="CZ37" s="408"/>
      <c r="DA37" s="408"/>
      <c r="DB37" s="177"/>
    </row>
    <row r="38" spans="2:106" ht="9" customHeight="1">
      <c r="B38" s="168"/>
      <c r="C38" s="242" t="s">
        <v>86</v>
      </c>
      <c r="D38" s="408" t="s">
        <v>92</v>
      </c>
      <c r="E38" s="408"/>
      <c r="F38" s="408"/>
      <c r="G38" s="408"/>
      <c r="H38" s="408"/>
      <c r="I38" s="408"/>
      <c r="J38" s="408"/>
      <c r="K38" s="408"/>
      <c r="L38" s="408"/>
      <c r="M38" s="408"/>
      <c r="N38" s="408"/>
      <c r="O38" s="408"/>
      <c r="P38" s="408"/>
      <c r="Q38" s="408"/>
      <c r="R38" s="408"/>
      <c r="S38" s="408"/>
      <c r="T38" s="408"/>
      <c r="U38" s="408"/>
      <c r="V38" s="408"/>
      <c r="W38" s="408"/>
      <c r="X38" s="408"/>
      <c r="Y38" s="408"/>
      <c r="Z38" s="408"/>
      <c r="AA38" s="408"/>
      <c r="AB38" s="408"/>
      <c r="AC38" s="408"/>
      <c r="AD38" s="408"/>
      <c r="AE38" s="408"/>
      <c r="AF38" s="408"/>
      <c r="AG38" s="408"/>
      <c r="AH38" s="408"/>
      <c r="AI38" s="408"/>
      <c r="AJ38" s="408"/>
      <c r="AK38" s="408"/>
      <c r="AL38" s="408"/>
      <c r="AM38" s="408"/>
      <c r="AN38" s="408"/>
      <c r="AO38" s="408"/>
      <c r="AP38" s="408"/>
      <c r="AQ38" s="408"/>
      <c r="AR38" s="408"/>
      <c r="AS38" s="408"/>
      <c r="AT38" s="408"/>
      <c r="AU38" s="408"/>
      <c r="AV38" s="408"/>
      <c r="AW38" s="408"/>
      <c r="AX38" s="408"/>
      <c r="AY38" s="408"/>
      <c r="AZ38" s="408"/>
      <c r="BA38" s="408"/>
      <c r="BB38" s="408"/>
      <c r="BC38" s="408"/>
      <c r="BD38" s="408"/>
      <c r="BE38" s="408"/>
      <c r="BF38" s="408"/>
      <c r="BG38" s="408"/>
      <c r="BH38" s="408"/>
      <c r="BI38" s="408"/>
      <c r="BJ38" s="408"/>
      <c r="BK38" s="408"/>
      <c r="BL38" s="408"/>
      <c r="BM38" s="408"/>
      <c r="BN38" s="408"/>
      <c r="BO38" s="408"/>
      <c r="BP38" s="408"/>
      <c r="BQ38" s="408"/>
      <c r="BR38" s="408"/>
      <c r="BS38" s="408"/>
      <c r="BT38" s="408"/>
      <c r="BU38" s="408"/>
      <c r="BV38" s="408"/>
      <c r="BW38" s="408"/>
      <c r="BX38" s="408"/>
      <c r="BY38" s="408"/>
      <c r="BZ38" s="408"/>
      <c r="CA38" s="408"/>
      <c r="CB38" s="408"/>
      <c r="CC38" s="408"/>
      <c r="CD38" s="408"/>
      <c r="CE38" s="408"/>
      <c r="CF38" s="408"/>
      <c r="CG38" s="408"/>
      <c r="CH38" s="408"/>
      <c r="CI38" s="408"/>
      <c r="CJ38" s="408"/>
      <c r="CK38" s="408"/>
      <c r="CL38" s="408"/>
      <c r="CM38" s="408"/>
      <c r="CN38" s="408"/>
      <c r="CO38" s="408"/>
      <c r="CP38" s="408"/>
      <c r="CQ38" s="408"/>
      <c r="CR38" s="408"/>
      <c r="CS38" s="408"/>
      <c r="CT38" s="408"/>
      <c r="CU38" s="408"/>
      <c r="CV38" s="408"/>
      <c r="CW38" s="408"/>
      <c r="CX38" s="408"/>
      <c r="CY38" s="408"/>
      <c r="CZ38" s="408"/>
      <c r="DA38" s="408"/>
      <c r="DB38" s="177"/>
    </row>
    <row r="39" spans="2:106" ht="9" customHeight="1">
      <c r="B39" s="168"/>
      <c r="C39" s="172"/>
      <c r="D39" s="408" t="s">
        <v>93</v>
      </c>
      <c r="E39" s="408"/>
      <c r="F39" s="408"/>
      <c r="G39" s="408"/>
      <c r="H39" s="408"/>
      <c r="I39" s="408"/>
      <c r="J39" s="408"/>
      <c r="K39" s="408"/>
      <c r="L39" s="408"/>
      <c r="M39" s="408"/>
      <c r="N39" s="408"/>
      <c r="O39" s="408"/>
      <c r="P39" s="408"/>
      <c r="Q39" s="408"/>
      <c r="R39" s="408"/>
      <c r="S39" s="408"/>
      <c r="T39" s="408"/>
      <c r="U39" s="408"/>
      <c r="V39" s="408"/>
      <c r="W39" s="408"/>
      <c r="X39" s="408"/>
      <c r="Y39" s="408"/>
      <c r="Z39" s="408"/>
      <c r="AA39" s="408"/>
      <c r="AB39" s="408"/>
      <c r="AC39" s="408"/>
      <c r="AD39" s="408"/>
      <c r="AE39" s="408"/>
      <c r="AF39" s="408"/>
      <c r="AG39" s="408"/>
      <c r="AH39" s="408"/>
      <c r="AI39" s="408"/>
      <c r="AJ39" s="408"/>
      <c r="AK39" s="408"/>
      <c r="AL39" s="408"/>
      <c r="AM39" s="408"/>
      <c r="AN39" s="408"/>
      <c r="AO39" s="408"/>
      <c r="AP39" s="408"/>
      <c r="AQ39" s="408"/>
      <c r="AR39" s="408"/>
      <c r="AS39" s="408"/>
      <c r="AT39" s="408"/>
      <c r="AU39" s="408"/>
      <c r="AV39" s="408"/>
      <c r="AW39" s="408"/>
      <c r="AX39" s="408"/>
      <c r="AY39" s="408"/>
      <c r="AZ39" s="408"/>
      <c r="BA39" s="408"/>
      <c r="BB39" s="408"/>
      <c r="BC39" s="408"/>
      <c r="BD39" s="408"/>
      <c r="BE39" s="408"/>
      <c r="BF39" s="408"/>
      <c r="BG39" s="408"/>
      <c r="BH39" s="408"/>
      <c r="BI39" s="408"/>
      <c r="BJ39" s="408"/>
      <c r="BK39" s="408"/>
      <c r="BL39" s="408"/>
      <c r="BM39" s="408"/>
      <c r="BN39" s="408"/>
      <c r="BO39" s="408"/>
      <c r="BP39" s="408"/>
      <c r="BQ39" s="408"/>
      <c r="BR39" s="408"/>
      <c r="BS39" s="408"/>
      <c r="BT39" s="408"/>
      <c r="BU39" s="408"/>
      <c r="BV39" s="408"/>
      <c r="BW39" s="408"/>
      <c r="BX39" s="408"/>
      <c r="BY39" s="408"/>
      <c r="BZ39" s="408"/>
      <c r="CA39" s="408"/>
      <c r="CB39" s="408"/>
      <c r="CC39" s="408"/>
      <c r="CD39" s="408"/>
      <c r="CE39" s="408"/>
      <c r="CF39" s="408"/>
      <c r="CG39" s="408"/>
      <c r="CH39" s="408"/>
      <c r="CI39" s="408"/>
      <c r="CJ39" s="408"/>
      <c r="CK39" s="408"/>
      <c r="CL39" s="408"/>
      <c r="CM39" s="408"/>
      <c r="CN39" s="408"/>
      <c r="CO39" s="408"/>
      <c r="CP39" s="408"/>
      <c r="CQ39" s="408"/>
      <c r="CR39" s="408"/>
      <c r="CS39" s="408"/>
      <c r="CT39" s="408"/>
      <c r="CU39" s="408"/>
      <c r="CV39" s="408"/>
      <c r="CW39" s="408"/>
      <c r="CX39" s="408"/>
      <c r="CY39" s="408"/>
      <c r="CZ39" s="408"/>
      <c r="DA39" s="408"/>
      <c r="DB39" s="177"/>
    </row>
    <row r="40" spans="2:106" ht="13.9" customHeight="1">
      <c r="B40" s="168"/>
      <c r="C40" s="410" t="s">
        <v>94</v>
      </c>
      <c r="D40" s="410"/>
      <c r="E40" s="410"/>
      <c r="F40" s="410"/>
      <c r="G40" s="410"/>
      <c r="H40" s="410"/>
      <c r="I40" s="410"/>
      <c r="J40" s="410"/>
      <c r="K40" s="410"/>
      <c r="L40" s="410"/>
      <c r="M40" s="410"/>
      <c r="N40" s="410"/>
      <c r="O40" s="410"/>
      <c r="P40" s="410"/>
      <c r="Q40" s="410"/>
      <c r="R40" s="410"/>
      <c r="S40" s="410"/>
      <c r="T40" s="410"/>
      <c r="U40" s="410"/>
      <c r="V40" s="410"/>
      <c r="W40" s="410"/>
      <c r="X40" s="410"/>
      <c r="Y40" s="410"/>
      <c r="Z40" s="410"/>
      <c r="AA40" s="410"/>
      <c r="AB40" s="410"/>
      <c r="AC40" s="410"/>
      <c r="AD40" s="410"/>
      <c r="AE40" s="410"/>
      <c r="AF40" s="410"/>
      <c r="AG40" s="410"/>
      <c r="AH40" s="410"/>
      <c r="AI40" s="410"/>
      <c r="AJ40" s="410"/>
      <c r="AK40" s="410"/>
      <c r="AL40" s="410"/>
      <c r="AM40" s="410"/>
      <c r="AN40" s="410"/>
      <c r="AO40" s="410"/>
      <c r="AP40" s="410"/>
      <c r="AQ40" s="410"/>
      <c r="AR40" s="410"/>
      <c r="AS40" s="410"/>
      <c r="AT40" s="410"/>
      <c r="AU40" s="410"/>
      <c r="AV40" s="410"/>
      <c r="AW40" s="410"/>
      <c r="AX40" s="410"/>
      <c r="AY40" s="410"/>
      <c r="AZ40" s="410"/>
      <c r="BA40" s="410"/>
      <c r="BB40" s="410"/>
      <c r="BC40" s="410"/>
      <c r="BD40" s="410"/>
      <c r="BE40" s="410"/>
      <c r="BF40" s="410"/>
      <c r="BG40" s="410"/>
      <c r="BH40" s="410"/>
      <c r="BI40" s="410"/>
      <c r="BJ40" s="410"/>
      <c r="BK40" s="410"/>
      <c r="BL40" s="410"/>
      <c r="BM40" s="410"/>
      <c r="BN40" s="410"/>
      <c r="BO40" s="410"/>
      <c r="BP40" s="410"/>
      <c r="BQ40" s="410"/>
      <c r="BR40" s="410"/>
      <c r="BS40" s="410"/>
      <c r="BT40" s="410"/>
      <c r="BU40" s="410"/>
      <c r="BV40" s="410"/>
      <c r="BW40" s="410"/>
      <c r="BX40" s="410"/>
      <c r="BY40" s="410"/>
      <c r="BZ40" s="410"/>
      <c r="CA40" s="410"/>
      <c r="CB40" s="410"/>
      <c r="CC40" s="410"/>
      <c r="CD40" s="410"/>
      <c r="CE40" s="410"/>
      <c r="CF40" s="410"/>
      <c r="CG40" s="410"/>
      <c r="CH40" s="410"/>
      <c r="CI40" s="410"/>
      <c r="CJ40" s="410"/>
      <c r="CK40" s="410"/>
      <c r="CL40" s="410"/>
      <c r="CM40" s="410"/>
      <c r="CN40" s="410"/>
      <c r="CO40" s="410"/>
      <c r="CP40" s="410"/>
      <c r="CQ40" s="410"/>
      <c r="CR40" s="410"/>
      <c r="CS40" s="410"/>
      <c r="CT40" s="410"/>
      <c r="CU40" s="410"/>
      <c r="CV40" s="410"/>
      <c r="CW40" s="410"/>
      <c r="CX40" s="410"/>
      <c r="CY40" s="410"/>
      <c r="CZ40" s="410"/>
      <c r="DA40" s="410"/>
      <c r="DB40" s="177"/>
    </row>
    <row r="41" spans="2:106" ht="9" customHeight="1">
      <c r="B41" s="168"/>
      <c r="C41" s="242" t="s">
        <v>86</v>
      </c>
      <c r="D41" s="408" t="s">
        <v>95</v>
      </c>
      <c r="E41" s="408"/>
      <c r="F41" s="408"/>
      <c r="G41" s="408"/>
      <c r="H41" s="408"/>
      <c r="I41" s="408"/>
      <c r="J41" s="408"/>
      <c r="K41" s="408"/>
      <c r="L41" s="408"/>
      <c r="M41" s="408"/>
      <c r="N41" s="408"/>
      <c r="O41" s="408"/>
      <c r="P41" s="408"/>
      <c r="Q41" s="408"/>
      <c r="R41" s="408"/>
      <c r="S41" s="408"/>
      <c r="T41" s="408"/>
      <c r="U41" s="408"/>
      <c r="V41" s="408"/>
      <c r="W41" s="408"/>
      <c r="X41" s="408"/>
      <c r="Y41" s="408"/>
      <c r="Z41" s="408"/>
      <c r="AA41" s="408"/>
      <c r="AB41" s="408"/>
      <c r="AC41" s="408"/>
      <c r="AD41" s="408"/>
      <c r="AE41" s="408"/>
      <c r="AF41" s="408"/>
      <c r="AG41" s="408"/>
      <c r="AH41" s="408"/>
      <c r="AI41" s="408"/>
      <c r="AJ41" s="408"/>
      <c r="AK41" s="408"/>
      <c r="AL41" s="408"/>
      <c r="AM41" s="408"/>
      <c r="AN41" s="408"/>
      <c r="AO41" s="408"/>
      <c r="AP41" s="408"/>
      <c r="AQ41" s="408"/>
      <c r="AR41" s="408"/>
      <c r="AS41" s="408"/>
      <c r="AT41" s="408"/>
      <c r="AU41" s="408"/>
      <c r="AV41" s="408"/>
      <c r="AW41" s="408"/>
      <c r="AX41" s="408"/>
      <c r="AY41" s="408"/>
      <c r="AZ41" s="408"/>
      <c r="BA41" s="408"/>
      <c r="BB41" s="408"/>
      <c r="BC41" s="408"/>
      <c r="BD41" s="408"/>
      <c r="BE41" s="408"/>
      <c r="BF41" s="408"/>
      <c r="BG41" s="408"/>
      <c r="BH41" s="408"/>
      <c r="BI41" s="408"/>
      <c r="BJ41" s="408"/>
      <c r="BK41" s="408"/>
      <c r="BL41" s="408"/>
      <c r="BM41" s="408"/>
      <c r="BN41" s="408"/>
      <c r="BO41" s="408"/>
      <c r="BP41" s="408"/>
      <c r="BQ41" s="408"/>
      <c r="BR41" s="408"/>
      <c r="BS41" s="408"/>
      <c r="BT41" s="408"/>
      <c r="BU41" s="408"/>
      <c r="BV41" s="408"/>
      <c r="BW41" s="408"/>
      <c r="BX41" s="408"/>
      <c r="BY41" s="408"/>
      <c r="BZ41" s="408"/>
      <c r="CA41" s="408"/>
      <c r="CB41" s="408"/>
      <c r="CC41" s="408"/>
      <c r="CD41" s="408"/>
      <c r="CE41" s="408"/>
      <c r="CF41" s="408"/>
      <c r="CG41" s="408"/>
      <c r="CH41" s="408"/>
      <c r="CI41" s="408"/>
      <c r="CJ41" s="408"/>
      <c r="CK41" s="408"/>
      <c r="CL41" s="408"/>
      <c r="CM41" s="408"/>
      <c r="CN41" s="408"/>
      <c r="CO41" s="408"/>
      <c r="CP41" s="408"/>
      <c r="CQ41" s="408"/>
      <c r="CR41" s="408"/>
      <c r="CS41" s="408"/>
      <c r="CT41" s="408"/>
      <c r="CU41" s="408"/>
      <c r="CV41" s="408"/>
      <c r="CW41" s="408"/>
      <c r="CX41" s="408"/>
      <c r="CY41" s="408"/>
      <c r="CZ41" s="408"/>
      <c r="DA41" s="408"/>
      <c r="DB41" s="177"/>
    </row>
    <row r="42" spans="2:106" ht="13.9" customHeight="1">
      <c r="B42" s="168"/>
      <c r="C42" s="410" t="s">
        <v>96</v>
      </c>
      <c r="D42" s="410"/>
      <c r="E42" s="410"/>
      <c r="F42" s="410"/>
      <c r="G42" s="410"/>
      <c r="H42" s="410"/>
      <c r="I42" s="410"/>
      <c r="J42" s="410"/>
      <c r="K42" s="410"/>
      <c r="L42" s="410"/>
      <c r="M42" s="410"/>
      <c r="N42" s="410"/>
      <c r="O42" s="410"/>
      <c r="P42" s="410"/>
      <c r="Q42" s="410"/>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c r="AO42" s="410"/>
      <c r="AP42" s="410"/>
      <c r="AQ42" s="410"/>
      <c r="AR42" s="410"/>
      <c r="AS42" s="410"/>
      <c r="AT42" s="410"/>
      <c r="AU42" s="410"/>
      <c r="AV42" s="410"/>
      <c r="AW42" s="410"/>
      <c r="AX42" s="410"/>
      <c r="AY42" s="410"/>
      <c r="AZ42" s="410"/>
      <c r="BA42" s="410"/>
      <c r="BB42" s="410"/>
      <c r="BC42" s="410"/>
      <c r="BD42" s="410"/>
      <c r="BE42" s="410"/>
      <c r="BF42" s="410"/>
      <c r="BG42" s="410"/>
      <c r="BH42" s="410"/>
      <c r="BI42" s="410"/>
      <c r="BJ42" s="410"/>
      <c r="BK42" s="410"/>
      <c r="BL42" s="410"/>
      <c r="BM42" s="410"/>
      <c r="BN42" s="410"/>
      <c r="BO42" s="410"/>
      <c r="BP42" s="410"/>
      <c r="BQ42" s="410"/>
      <c r="BR42" s="410"/>
      <c r="BS42" s="410"/>
      <c r="BT42" s="410"/>
      <c r="BU42" s="410"/>
      <c r="BV42" s="410"/>
      <c r="BW42" s="410"/>
      <c r="BX42" s="410"/>
      <c r="BY42" s="410"/>
      <c r="BZ42" s="410"/>
      <c r="CA42" s="410"/>
      <c r="CB42" s="410"/>
      <c r="CC42" s="410"/>
      <c r="CD42" s="410"/>
      <c r="CE42" s="410"/>
      <c r="CF42" s="410"/>
      <c r="CG42" s="410"/>
      <c r="CH42" s="410"/>
      <c r="CI42" s="410"/>
      <c r="CJ42" s="410"/>
      <c r="CK42" s="410"/>
      <c r="CL42" s="410"/>
      <c r="CM42" s="410"/>
      <c r="CN42" s="410"/>
      <c r="CO42" s="410"/>
      <c r="CP42" s="410"/>
      <c r="CQ42" s="410"/>
      <c r="CR42" s="410"/>
      <c r="CS42" s="410"/>
      <c r="CT42" s="410"/>
      <c r="CU42" s="410"/>
      <c r="CV42" s="410"/>
      <c r="CW42" s="410"/>
      <c r="CX42" s="410"/>
      <c r="CY42" s="410"/>
      <c r="CZ42" s="410"/>
      <c r="DA42" s="410"/>
      <c r="DB42" s="177"/>
    </row>
    <row r="43" spans="2:106" ht="9" customHeight="1">
      <c r="B43" s="168"/>
      <c r="C43" s="242" t="s">
        <v>86</v>
      </c>
      <c r="D43" s="409" t="s">
        <v>97</v>
      </c>
      <c r="E43" s="409"/>
      <c r="F43" s="409"/>
      <c r="G43" s="409"/>
      <c r="H43" s="409"/>
      <c r="I43" s="409"/>
      <c r="J43" s="409"/>
      <c r="K43" s="409"/>
      <c r="L43" s="409"/>
      <c r="M43" s="409"/>
      <c r="N43" s="409"/>
      <c r="O43" s="409"/>
      <c r="P43" s="409"/>
      <c r="Q43" s="409"/>
      <c r="R43" s="409"/>
      <c r="S43" s="409"/>
      <c r="T43" s="409"/>
      <c r="U43" s="409"/>
      <c r="V43" s="409"/>
      <c r="W43" s="409"/>
      <c r="X43" s="409"/>
      <c r="Y43" s="409"/>
      <c r="Z43" s="409"/>
      <c r="AA43" s="409"/>
      <c r="AB43" s="409"/>
      <c r="AC43" s="409"/>
      <c r="AD43" s="409"/>
      <c r="AE43" s="409"/>
      <c r="AF43" s="409"/>
      <c r="AG43" s="409"/>
      <c r="AH43" s="409"/>
      <c r="AI43" s="409"/>
      <c r="AJ43" s="409"/>
      <c r="AK43" s="409"/>
      <c r="AL43" s="409"/>
      <c r="AM43" s="409"/>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09"/>
      <c r="BK43" s="409"/>
      <c r="BL43" s="409"/>
      <c r="BM43" s="409"/>
      <c r="BN43" s="409"/>
      <c r="BO43" s="409"/>
      <c r="BP43" s="409"/>
      <c r="BQ43" s="409"/>
      <c r="BR43" s="409"/>
      <c r="BS43" s="409"/>
      <c r="BT43" s="409"/>
      <c r="BU43" s="409"/>
      <c r="BV43" s="409"/>
      <c r="BW43" s="409"/>
      <c r="BX43" s="409"/>
      <c r="BY43" s="409"/>
      <c r="BZ43" s="409"/>
      <c r="CA43" s="409"/>
      <c r="CB43" s="409"/>
      <c r="CC43" s="409"/>
      <c r="CD43" s="409"/>
      <c r="CE43" s="409"/>
      <c r="CF43" s="409"/>
      <c r="CG43" s="409"/>
      <c r="CH43" s="409"/>
      <c r="CI43" s="409"/>
      <c r="CJ43" s="409"/>
      <c r="CK43" s="409"/>
      <c r="CL43" s="409"/>
      <c r="CM43" s="409"/>
      <c r="CN43" s="409"/>
      <c r="CO43" s="409"/>
      <c r="CP43" s="409"/>
      <c r="CQ43" s="409"/>
      <c r="CR43" s="409"/>
      <c r="CS43" s="409"/>
      <c r="CT43" s="409"/>
      <c r="CU43" s="409"/>
      <c r="CV43" s="409"/>
      <c r="CW43" s="409"/>
      <c r="CX43" s="409"/>
      <c r="CY43" s="409"/>
      <c r="CZ43" s="409"/>
      <c r="DA43" s="409"/>
      <c r="DB43" s="177"/>
    </row>
    <row r="44" spans="2:106" ht="9" customHeight="1">
      <c r="B44" s="168"/>
      <c r="C44" s="242" t="s">
        <v>86</v>
      </c>
      <c r="D44" s="409" t="s">
        <v>98</v>
      </c>
      <c r="E44" s="409"/>
      <c r="F44" s="409"/>
      <c r="G44" s="409"/>
      <c r="H44" s="409"/>
      <c r="I44" s="409"/>
      <c r="J44" s="409"/>
      <c r="K44" s="409"/>
      <c r="L44" s="409"/>
      <c r="M44" s="409"/>
      <c r="N44" s="409"/>
      <c r="O44" s="409"/>
      <c r="P44" s="409"/>
      <c r="Q44" s="409"/>
      <c r="R44" s="409"/>
      <c r="S44" s="409"/>
      <c r="T44" s="409"/>
      <c r="U44" s="409"/>
      <c r="V44" s="409"/>
      <c r="W44" s="409"/>
      <c r="X44" s="409"/>
      <c r="Y44" s="409"/>
      <c r="Z44" s="409"/>
      <c r="AA44" s="409"/>
      <c r="AB44" s="409"/>
      <c r="AC44" s="409"/>
      <c r="AD44" s="409"/>
      <c r="AE44" s="409"/>
      <c r="AF44" s="409"/>
      <c r="AG44" s="409"/>
      <c r="AH44" s="409"/>
      <c r="AI44" s="409"/>
      <c r="AJ44" s="409"/>
      <c r="AK44" s="409"/>
      <c r="AL44" s="409"/>
      <c r="AM44" s="409"/>
      <c r="AN44" s="409"/>
      <c r="AO44" s="409"/>
      <c r="AP44" s="409"/>
      <c r="AQ44" s="409"/>
      <c r="AR44" s="409"/>
      <c r="AS44" s="409"/>
      <c r="AT44" s="409"/>
      <c r="AU44" s="409"/>
      <c r="AV44" s="409"/>
      <c r="AW44" s="409"/>
      <c r="AX44" s="409"/>
      <c r="AY44" s="409"/>
      <c r="AZ44" s="409"/>
      <c r="BA44" s="409"/>
      <c r="BB44" s="409"/>
      <c r="BC44" s="409"/>
      <c r="BD44" s="409"/>
      <c r="BE44" s="409"/>
      <c r="BF44" s="409"/>
      <c r="BG44" s="409"/>
      <c r="BH44" s="409"/>
      <c r="BI44" s="409"/>
      <c r="BJ44" s="409"/>
      <c r="BK44" s="409"/>
      <c r="BL44" s="409"/>
      <c r="BM44" s="409"/>
      <c r="BN44" s="409"/>
      <c r="BO44" s="409"/>
      <c r="BP44" s="409"/>
      <c r="BQ44" s="409"/>
      <c r="BR44" s="409"/>
      <c r="BS44" s="409"/>
      <c r="BT44" s="409"/>
      <c r="BU44" s="409"/>
      <c r="BV44" s="409"/>
      <c r="BW44" s="409"/>
      <c r="BX44" s="409"/>
      <c r="BY44" s="409"/>
      <c r="BZ44" s="409"/>
      <c r="CA44" s="409"/>
      <c r="CB44" s="409"/>
      <c r="CC44" s="409"/>
      <c r="CD44" s="409"/>
      <c r="CE44" s="409"/>
      <c r="CF44" s="409"/>
      <c r="CG44" s="409"/>
      <c r="CH44" s="409"/>
      <c r="CI44" s="409"/>
      <c r="CJ44" s="409"/>
      <c r="CK44" s="409"/>
      <c r="CL44" s="409"/>
      <c r="CM44" s="409"/>
      <c r="CN44" s="409"/>
      <c r="CO44" s="409"/>
      <c r="CP44" s="409"/>
      <c r="CQ44" s="409"/>
      <c r="CR44" s="409"/>
      <c r="CS44" s="409"/>
      <c r="CT44" s="409"/>
      <c r="CU44" s="409"/>
      <c r="CV44" s="409"/>
      <c r="CW44" s="409"/>
      <c r="CX44" s="409"/>
      <c r="CY44" s="409"/>
      <c r="CZ44" s="409"/>
      <c r="DA44" s="409"/>
      <c r="DB44" s="177"/>
    </row>
    <row r="45" spans="2:106" ht="9" customHeight="1">
      <c r="B45" s="168"/>
      <c r="C45" s="242" t="s">
        <v>86</v>
      </c>
      <c r="D45" s="409" t="s">
        <v>99</v>
      </c>
      <c r="E45" s="409"/>
      <c r="F45" s="409"/>
      <c r="G45" s="409"/>
      <c r="H45" s="409"/>
      <c r="I45" s="409"/>
      <c r="J45" s="409"/>
      <c r="K45" s="409"/>
      <c r="L45" s="409"/>
      <c r="M45" s="409"/>
      <c r="N45" s="409"/>
      <c r="O45" s="409"/>
      <c r="P45" s="409"/>
      <c r="Q45" s="409"/>
      <c r="R45" s="409"/>
      <c r="S45" s="409"/>
      <c r="T45" s="409"/>
      <c r="U45" s="409"/>
      <c r="V45" s="409"/>
      <c r="W45" s="409"/>
      <c r="X45" s="409"/>
      <c r="Y45" s="409"/>
      <c r="Z45" s="409"/>
      <c r="AA45" s="409"/>
      <c r="AB45" s="409"/>
      <c r="AC45" s="409"/>
      <c r="AD45" s="409"/>
      <c r="AE45" s="409"/>
      <c r="AF45" s="409"/>
      <c r="AG45" s="409"/>
      <c r="AH45" s="409"/>
      <c r="AI45" s="409"/>
      <c r="AJ45" s="409"/>
      <c r="AK45" s="409"/>
      <c r="AL45" s="409"/>
      <c r="AM45" s="409"/>
      <c r="AN45" s="409"/>
      <c r="AO45" s="409"/>
      <c r="AP45" s="409"/>
      <c r="AQ45" s="409"/>
      <c r="AR45" s="409"/>
      <c r="AS45" s="409"/>
      <c r="AT45" s="409"/>
      <c r="AU45" s="409"/>
      <c r="AV45" s="409"/>
      <c r="AW45" s="409"/>
      <c r="AX45" s="409"/>
      <c r="AY45" s="409"/>
      <c r="AZ45" s="409"/>
      <c r="BA45" s="409"/>
      <c r="BB45" s="409"/>
      <c r="BC45" s="409"/>
      <c r="BD45" s="409"/>
      <c r="BE45" s="409"/>
      <c r="BF45" s="409"/>
      <c r="BG45" s="409"/>
      <c r="BH45" s="409"/>
      <c r="BI45" s="409"/>
      <c r="BJ45" s="409"/>
      <c r="BK45" s="409"/>
      <c r="BL45" s="409"/>
      <c r="BM45" s="409"/>
      <c r="BN45" s="409"/>
      <c r="BO45" s="409"/>
      <c r="BP45" s="409"/>
      <c r="BQ45" s="409"/>
      <c r="BR45" s="409"/>
      <c r="BS45" s="409"/>
      <c r="BT45" s="409"/>
      <c r="BU45" s="409"/>
      <c r="BV45" s="409"/>
      <c r="BW45" s="409"/>
      <c r="BX45" s="409"/>
      <c r="BY45" s="409"/>
      <c r="BZ45" s="409"/>
      <c r="CA45" s="409"/>
      <c r="CB45" s="409"/>
      <c r="CC45" s="409"/>
      <c r="CD45" s="409"/>
      <c r="CE45" s="409"/>
      <c r="CF45" s="409"/>
      <c r="CG45" s="409"/>
      <c r="CH45" s="409"/>
      <c r="CI45" s="409"/>
      <c r="CJ45" s="409"/>
      <c r="CK45" s="409"/>
      <c r="CL45" s="409"/>
      <c r="CM45" s="409"/>
      <c r="CN45" s="409"/>
      <c r="CO45" s="409"/>
      <c r="CP45" s="409"/>
      <c r="CQ45" s="409"/>
      <c r="CR45" s="409"/>
      <c r="CS45" s="409"/>
      <c r="CT45" s="409"/>
      <c r="CU45" s="409"/>
      <c r="CV45" s="409"/>
      <c r="CW45" s="409"/>
      <c r="CX45" s="409"/>
      <c r="CY45" s="409"/>
      <c r="CZ45" s="409"/>
      <c r="DA45" s="409"/>
      <c r="DB45" s="177"/>
    </row>
    <row r="46" spans="2:106" ht="9" customHeight="1">
      <c r="B46" s="168"/>
      <c r="C46" s="172"/>
      <c r="D46" s="409" t="s">
        <v>100</v>
      </c>
      <c r="E46" s="409"/>
      <c r="F46" s="409"/>
      <c r="G46" s="409"/>
      <c r="H46" s="409"/>
      <c r="I46" s="409"/>
      <c r="J46" s="409"/>
      <c r="K46" s="409"/>
      <c r="L46" s="409"/>
      <c r="M46" s="409"/>
      <c r="N46" s="409"/>
      <c r="O46" s="409"/>
      <c r="P46" s="409"/>
      <c r="Q46" s="409"/>
      <c r="R46" s="409"/>
      <c r="S46" s="409"/>
      <c r="T46" s="409"/>
      <c r="U46" s="409"/>
      <c r="V46" s="409"/>
      <c r="W46" s="409"/>
      <c r="X46" s="409"/>
      <c r="Y46" s="409"/>
      <c r="Z46" s="409"/>
      <c r="AA46" s="409"/>
      <c r="AB46" s="409"/>
      <c r="AC46" s="409"/>
      <c r="AD46" s="409"/>
      <c r="AE46" s="409"/>
      <c r="AF46" s="409"/>
      <c r="AG46" s="409"/>
      <c r="AH46" s="409"/>
      <c r="AI46" s="409"/>
      <c r="AJ46" s="409"/>
      <c r="AK46" s="409"/>
      <c r="AL46" s="409"/>
      <c r="AM46" s="409"/>
      <c r="AN46" s="409"/>
      <c r="AO46" s="409"/>
      <c r="AP46" s="409"/>
      <c r="AQ46" s="409"/>
      <c r="AR46" s="409"/>
      <c r="AS46" s="409"/>
      <c r="AT46" s="409"/>
      <c r="AU46" s="409"/>
      <c r="AV46" s="409"/>
      <c r="AW46" s="409"/>
      <c r="AX46" s="409"/>
      <c r="AY46" s="409"/>
      <c r="AZ46" s="409"/>
      <c r="BA46" s="409"/>
      <c r="BB46" s="409"/>
      <c r="BC46" s="409"/>
      <c r="BD46" s="409"/>
      <c r="BE46" s="409"/>
      <c r="BF46" s="409"/>
      <c r="BG46" s="409"/>
      <c r="BH46" s="409"/>
      <c r="BI46" s="409"/>
      <c r="BJ46" s="409"/>
      <c r="BK46" s="409"/>
      <c r="BL46" s="409"/>
      <c r="BM46" s="409"/>
      <c r="BN46" s="409"/>
      <c r="BO46" s="409"/>
      <c r="BP46" s="409"/>
      <c r="BQ46" s="409"/>
      <c r="BR46" s="409"/>
      <c r="BS46" s="409"/>
      <c r="BT46" s="409"/>
      <c r="BU46" s="409"/>
      <c r="BV46" s="409"/>
      <c r="BW46" s="409"/>
      <c r="BX46" s="409"/>
      <c r="BY46" s="409"/>
      <c r="BZ46" s="409"/>
      <c r="CA46" s="409"/>
      <c r="CB46" s="409"/>
      <c r="CC46" s="409"/>
      <c r="CD46" s="409"/>
      <c r="CE46" s="409"/>
      <c r="CF46" s="409"/>
      <c r="CG46" s="409"/>
      <c r="CH46" s="409"/>
      <c r="CI46" s="409"/>
      <c r="CJ46" s="409"/>
      <c r="CK46" s="409"/>
      <c r="CL46" s="409"/>
      <c r="CM46" s="409"/>
      <c r="CN46" s="409"/>
      <c r="CO46" s="409"/>
      <c r="CP46" s="409"/>
      <c r="CQ46" s="409"/>
      <c r="CR46" s="409"/>
      <c r="CS46" s="409"/>
      <c r="CT46" s="409"/>
      <c r="CU46" s="409"/>
      <c r="CV46" s="409"/>
      <c r="CW46" s="409"/>
      <c r="CX46" s="409"/>
      <c r="CY46" s="409"/>
      <c r="CZ46" s="409"/>
      <c r="DA46" s="409"/>
      <c r="DB46" s="177"/>
    </row>
    <row r="47" spans="2:106" ht="13.9" customHeight="1">
      <c r="B47" s="168"/>
      <c r="C47" s="410" t="s">
        <v>101</v>
      </c>
      <c r="D47" s="410"/>
      <c r="E47" s="410"/>
      <c r="F47" s="410"/>
      <c r="G47" s="410"/>
      <c r="H47" s="410"/>
      <c r="I47" s="410"/>
      <c r="J47" s="410"/>
      <c r="K47" s="410"/>
      <c r="L47" s="410"/>
      <c r="M47" s="410"/>
      <c r="N47" s="410"/>
      <c r="O47" s="410"/>
      <c r="P47" s="410"/>
      <c r="Q47" s="410"/>
      <c r="R47" s="410"/>
      <c r="S47" s="410"/>
      <c r="T47" s="410"/>
      <c r="U47" s="410"/>
      <c r="V47" s="410"/>
      <c r="W47" s="410"/>
      <c r="X47" s="410"/>
      <c r="Y47" s="410"/>
      <c r="Z47" s="410"/>
      <c r="AA47" s="410"/>
      <c r="AB47" s="410"/>
      <c r="AC47" s="410"/>
      <c r="AD47" s="410"/>
      <c r="AE47" s="410"/>
      <c r="AF47" s="410"/>
      <c r="AG47" s="410"/>
      <c r="AH47" s="410"/>
      <c r="AI47" s="410"/>
      <c r="AJ47" s="410"/>
      <c r="AK47" s="410"/>
      <c r="AL47" s="410"/>
      <c r="AM47" s="410"/>
      <c r="AN47" s="410"/>
      <c r="AO47" s="410"/>
      <c r="AP47" s="410"/>
      <c r="AQ47" s="410"/>
      <c r="AR47" s="410"/>
      <c r="AS47" s="410"/>
      <c r="AT47" s="410"/>
      <c r="AU47" s="410"/>
      <c r="AV47" s="410"/>
      <c r="AW47" s="410"/>
      <c r="AX47" s="410"/>
      <c r="AY47" s="410"/>
      <c r="AZ47" s="410"/>
      <c r="BA47" s="410"/>
      <c r="BB47" s="410"/>
      <c r="BC47" s="410"/>
      <c r="BD47" s="410"/>
      <c r="BE47" s="410"/>
      <c r="BF47" s="410"/>
      <c r="BG47" s="410"/>
      <c r="BH47" s="410"/>
      <c r="BI47" s="410"/>
      <c r="BJ47" s="410"/>
      <c r="BK47" s="410"/>
      <c r="BL47" s="410"/>
      <c r="BM47" s="410"/>
      <c r="BN47" s="410"/>
      <c r="BO47" s="410"/>
      <c r="BP47" s="410"/>
      <c r="BQ47" s="410"/>
      <c r="BR47" s="410"/>
      <c r="BS47" s="410"/>
      <c r="BT47" s="410"/>
      <c r="BU47" s="410"/>
      <c r="BV47" s="410"/>
      <c r="BW47" s="410"/>
      <c r="BX47" s="410"/>
      <c r="BY47" s="410"/>
      <c r="BZ47" s="410"/>
      <c r="CA47" s="410"/>
      <c r="CB47" s="410"/>
      <c r="CC47" s="410"/>
      <c r="CD47" s="410"/>
      <c r="CE47" s="410"/>
      <c r="CF47" s="410"/>
      <c r="CG47" s="410"/>
      <c r="CH47" s="410"/>
      <c r="CI47" s="410"/>
      <c r="CJ47" s="410"/>
      <c r="CK47" s="410"/>
      <c r="CL47" s="410"/>
      <c r="CM47" s="410"/>
      <c r="CN47" s="410"/>
      <c r="CO47" s="410"/>
      <c r="CP47" s="410"/>
      <c r="CQ47" s="410"/>
      <c r="CR47" s="410"/>
      <c r="CS47" s="410"/>
      <c r="CT47" s="410"/>
      <c r="CU47" s="410"/>
      <c r="CV47" s="410"/>
      <c r="CW47" s="410"/>
      <c r="CX47" s="410"/>
      <c r="CY47" s="410"/>
      <c r="CZ47" s="410"/>
      <c r="DA47" s="410"/>
      <c r="DB47" s="177"/>
    </row>
    <row r="48" spans="2:106" ht="9" customHeight="1">
      <c r="B48" s="168"/>
      <c r="C48" s="408" t="s">
        <v>102</v>
      </c>
      <c r="D48" s="408"/>
      <c r="E48" s="408"/>
      <c r="F48" s="408"/>
      <c r="G48" s="408"/>
      <c r="H48" s="408"/>
      <c r="I48" s="408"/>
      <c r="J48" s="408"/>
      <c r="K48" s="408"/>
      <c r="L48" s="408"/>
      <c r="M48" s="408"/>
      <c r="N48" s="408"/>
      <c r="O48" s="408"/>
      <c r="P48" s="408"/>
      <c r="Q48" s="408"/>
      <c r="R48" s="408"/>
      <c r="S48" s="408"/>
      <c r="T48" s="408"/>
      <c r="U48" s="408"/>
      <c r="V48" s="408"/>
      <c r="W48" s="408"/>
      <c r="X48" s="408"/>
      <c r="Y48" s="408"/>
      <c r="Z48" s="408"/>
      <c r="AA48" s="408"/>
      <c r="AB48" s="408"/>
      <c r="AC48" s="408"/>
      <c r="AD48" s="408"/>
      <c r="AE48" s="408"/>
      <c r="AF48" s="408"/>
      <c r="AG48" s="408"/>
      <c r="AH48" s="408"/>
      <c r="AI48" s="408"/>
      <c r="AJ48" s="408"/>
      <c r="AK48" s="408"/>
      <c r="AL48" s="408"/>
      <c r="AM48" s="408"/>
      <c r="AN48" s="408"/>
      <c r="AO48" s="408"/>
      <c r="AP48" s="408"/>
      <c r="AQ48" s="408"/>
      <c r="AR48" s="408"/>
      <c r="AS48" s="408"/>
      <c r="AT48" s="408"/>
      <c r="AU48" s="408"/>
      <c r="AV48" s="408"/>
      <c r="AW48" s="408"/>
      <c r="AX48" s="408"/>
      <c r="AY48" s="408"/>
      <c r="AZ48" s="408"/>
      <c r="BA48" s="408"/>
      <c r="BB48" s="408"/>
      <c r="BC48" s="408"/>
      <c r="BD48" s="408"/>
      <c r="BE48" s="408"/>
      <c r="BF48" s="408"/>
      <c r="BG48" s="408"/>
      <c r="BH48" s="408"/>
      <c r="BI48" s="408"/>
      <c r="BJ48" s="408"/>
      <c r="BK48" s="408"/>
      <c r="BL48" s="408"/>
      <c r="BM48" s="408"/>
      <c r="BN48" s="408"/>
      <c r="BO48" s="408"/>
      <c r="BP48" s="408"/>
      <c r="BQ48" s="408"/>
      <c r="BR48" s="408"/>
      <c r="BS48" s="408"/>
      <c r="BT48" s="408"/>
      <c r="BU48" s="408"/>
      <c r="BV48" s="408"/>
      <c r="BW48" s="408"/>
      <c r="BX48" s="408"/>
      <c r="BY48" s="408"/>
      <c r="BZ48" s="408"/>
      <c r="CA48" s="408"/>
      <c r="CB48" s="408"/>
      <c r="CC48" s="408"/>
      <c r="CD48" s="408"/>
      <c r="CE48" s="408"/>
      <c r="CF48" s="408"/>
      <c r="CG48" s="408"/>
      <c r="CH48" s="408"/>
      <c r="CI48" s="408"/>
      <c r="CJ48" s="408"/>
      <c r="CK48" s="408"/>
      <c r="CL48" s="408"/>
      <c r="CM48" s="408"/>
      <c r="CN48" s="408"/>
      <c r="CO48" s="408"/>
      <c r="CP48" s="408"/>
      <c r="CQ48" s="408"/>
      <c r="CR48" s="408"/>
      <c r="CS48" s="408"/>
      <c r="CT48" s="408"/>
      <c r="CU48" s="408"/>
      <c r="CV48" s="408"/>
      <c r="CW48" s="408"/>
      <c r="CX48" s="408"/>
      <c r="CY48" s="408"/>
      <c r="CZ48" s="408"/>
      <c r="DA48" s="408"/>
      <c r="DB48" s="177"/>
    </row>
    <row r="49" spans="2:106" ht="9" customHeight="1">
      <c r="B49" s="168"/>
      <c r="C49" s="408" t="s">
        <v>103</v>
      </c>
      <c r="D49" s="408"/>
      <c r="E49" s="408"/>
      <c r="F49" s="408"/>
      <c r="G49" s="408"/>
      <c r="H49" s="408"/>
      <c r="I49" s="408"/>
      <c r="J49" s="408"/>
      <c r="K49" s="408"/>
      <c r="L49" s="408"/>
      <c r="M49" s="408"/>
      <c r="N49" s="408"/>
      <c r="O49" s="408"/>
      <c r="P49" s="408"/>
      <c r="Q49" s="408"/>
      <c r="R49" s="408"/>
      <c r="S49" s="408"/>
      <c r="T49" s="408"/>
      <c r="U49" s="408"/>
      <c r="V49" s="408"/>
      <c r="W49" s="408"/>
      <c r="X49" s="408"/>
      <c r="Y49" s="408"/>
      <c r="Z49" s="408"/>
      <c r="AA49" s="408"/>
      <c r="AB49" s="408"/>
      <c r="AC49" s="408"/>
      <c r="AD49" s="408"/>
      <c r="AE49" s="408"/>
      <c r="AF49" s="408"/>
      <c r="AG49" s="408"/>
      <c r="AH49" s="408"/>
      <c r="AI49" s="408"/>
      <c r="AJ49" s="408"/>
      <c r="AK49" s="408"/>
      <c r="AL49" s="408"/>
      <c r="AM49" s="408"/>
      <c r="AN49" s="408"/>
      <c r="AO49" s="408"/>
      <c r="AP49" s="408"/>
      <c r="AQ49" s="408"/>
      <c r="AR49" s="408"/>
      <c r="AS49" s="408"/>
      <c r="AT49" s="408"/>
      <c r="AU49" s="408"/>
      <c r="AV49" s="408"/>
      <c r="AW49" s="408"/>
      <c r="AX49" s="408"/>
      <c r="AY49" s="408"/>
      <c r="AZ49" s="408"/>
      <c r="BA49" s="408"/>
      <c r="BB49" s="408"/>
      <c r="BC49" s="408"/>
      <c r="BD49" s="408"/>
      <c r="BE49" s="408"/>
      <c r="BF49" s="408"/>
      <c r="BG49" s="408"/>
      <c r="BH49" s="408"/>
      <c r="BI49" s="408"/>
      <c r="BJ49" s="408"/>
      <c r="BK49" s="408"/>
      <c r="BL49" s="408"/>
      <c r="BM49" s="408"/>
      <c r="BN49" s="408"/>
      <c r="BO49" s="408"/>
      <c r="BP49" s="408"/>
      <c r="BQ49" s="408"/>
      <c r="BR49" s="408"/>
      <c r="BS49" s="408"/>
      <c r="BT49" s="408"/>
      <c r="BU49" s="408"/>
      <c r="BV49" s="408"/>
      <c r="BW49" s="408"/>
      <c r="BX49" s="408"/>
      <c r="BY49" s="408"/>
      <c r="BZ49" s="408"/>
      <c r="CA49" s="408"/>
      <c r="CB49" s="408"/>
      <c r="CC49" s="408"/>
      <c r="CD49" s="408"/>
      <c r="CE49" s="408"/>
      <c r="CF49" s="408"/>
      <c r="CG49" s="408"/>
      <c r="CH49" s="408"/>
      <c r="CI49" s="408"/>
      <c r="CJ49" s="408"/>
      <c r="CK49" s="408"/>
      <c r="CL49" s="408"/>
      <c r="CM49" s="408"/>
      <c r="CN49" s="408"/>
      <c r="CO49" s="408"/>
      <c r="CP49" s="408"/>
      <c r="CQ49" s="408"/>
      <c r="CR49" s="408"/>
      <c r="CS49" s="408"/>
      <c r="CT49" s="408"/>
      <c r="CU49" s="408"/>
      <c r="CV49" s="408"/>
      <c r="CW49" s="408"/>
      <c r="CX49" s="408"/>
      <c r="CY49" s="408"/>
      <c r="CZ49" s="408"/>
      <c r="DA49" s="408"/>
      <c r="DB49" s="177"/>
    </row>
    <row r="50" spans="2:106" ht="9" customHeight="1">
      <c r="B50" s="168"/>
      <c r="C50" s="408" t="s">
        <v>104</v>
      </c>
      <c r="D50" s="408"/>
      <c r="E50" s="408"/>
      <c r="F50" s="408"/>
      <c r="G50" s="408"/>
      <c r="H50" s="408"/>
      <c r="I50" s="408"/>
      <c r="J50" s="408"/>
      <c r="K50" s="408"/>
      <c r="L50" s="408"/>
      <c r="M50" s="408"/>
      <c r="N50" s="408"/>
      <c r="O50" s="408"/>
      <c r="P50" s="408"/>
      <c r="Q50" s="408"/>
      <c r="R50" s="408"/>
      <c r="S50" s="408"/>
      <c r="T50" s="408"/>
      <c r="U50" s="408"/>
      <c r="V50" s="408"/>
      <c r="W50" s="408"/>
      <c r="X50" s="408"/>
      <c r="Y50" s="408"/>
      <c r="Z50" s="408"/>
      <c r="AA50" s="408"/>
      <c r="AB50" s="408"/>
      <c r="AC50" s="408"/>
      <c r="AD50" s="408"/>
      <c r="AE50" s="408"/>
      <c r="AF50" s="408"/>
      <c r="AG50" s="408"/>
      <c r="AH50" s="408"/>
      <c r="AI50" s="408"/>
      <c r="AJ50" s="408"/>
      <c r="AK50" s="408"/>
      <c r="AL50" s="408"/>
      <c r="AM50" s="408"/>
      <c r="AN50" s="408"/>
      <c r="AO50" s="408"/>
      <c r="AP50" s="408"/>
      <c r="AQ50" s="408"/>
      <c r="AR50" s="408"/>
      <c r="AS50" s="408"/>
      <c r="AT50" s="408"/>
      <c r="AU50" s="408"/>
      <c r="AV50" s="408"/>
      <c r="AW50" s="408"/>
      <c r="AX50" s="408"/>
      <c r="AY50" s="408"/>
      <c r="AZ50" s="408"/>
      <c r="BA50" s="408"/>
      <c r="BB50" s="408"/>
      <c r="BC50" s="408"/>
      <c r="BD50" s="408"/>
      <c r="BE50" s="408"/>
      <c r="BF50" s="408"/>
      <c r="BG50" s="408"/>
      <c r="BH50" s="408"/>
      <c r="BI50" s="408"/>
      <c r="BJ50" s="408"/>
      <c r="BK50" s="408"/>
      <c r="BL50" s="408"/>
      <c r="BM50" s="408"/>
      <c r="BN50" s="408"/>
      <c r="BO50" s="408"/>
      <c r="BP50" s="408"/>
      <c r="BQ50" s="408"/>
      <c r="BR50" s="408"/>
      <c r="BS50" s="408"/>
      <c r="BT50" s="408"/>
      <c r="BU50" s="408"/>
      <c r="BV50" s="408"/>
      <c r="BW50" s="408"/>
      <c r="BX50" s="408"/>
      <c r="BY50" s="408"/>
      <c r="BZ50" s="408"/>
      <c r="CA50" s="408"/>
      <c r="CB50" s="408"/>
      <c r="CC50" s="408"/>
      <c r="CD50" s="408"/>
      <c r="CE50" s="408"/>
      <c r="CF50" s="408"/>
      <c r="CG50" s="408"/>
      <c r="CH50" s="408"/>
      <c r="CI50" s="408"/>
      <c r="CJ50" s="408"/>
      <c r="CK50" s="408"/>
      <c r="CL50" s="408"/>
      <c r="CM50" s="408"/>
      <c r="CN50" s="408"/>
      <c r="CO50" s="408"/>
      <c r="CP50" s="408"/>
      <c r="CQ50" s="408"/>
      <c r="CR50" s="408"/>
      <c r="CS50" s="408"/>
      <c r="CT50" s="408"/>
      <c r="CU50" s="408"/>
      <c r="CV50" s="408"/>
      <c r="CW50" s="408"/>
      <c r="CX50" s="408"/>
      <c r="CY50" s="408"/>
      <c r="CZ50" s="408"/>
      <c r="DA50" s="408"/>
      <c r="DB50" s="177"/>
    </row>
    <row r="51" spans="2:106" ht="9" customHeight="1">
      <c r="B51" s="168"/>
      <c r="C51" s="408" t="s">
        <v>105</v>
      </c>
      <c r="D51" s="408"/>
      <c r="E51" s="408"/>
      <c r="F51" s="408"/>
      <c r="G51" s="408"/>
      <c r="H51" s="408"/>
      <c r="I51" s="408"/>
      <c r="J51" s="408"/>
      <c r="K51" s="408"/>
      <c r="L51" s="408"/>
      <c r="M51" s="408"/>
      <c r="N51" s="408"/>
      <c r="O51" s="408"/>
      <c r="P51" s="408"/>
      <c r="Q51" s="408"/>
      <c r="R51" s="408"/>
      <c r="S51" s="408"/>
      <c r="T51" s="408"/>
      <c r="U51" s="408"/>
      <c r="V51" s="408"/>
      <c r="W51" s="408"/>
      <c r="X51" s="408"/>
      <c r="Y51" s="408"/>
      <c r="Z51" s="408"/>
      <c r="AA51" s="408"/>
      <c r="AB51" s="408"/>
      <c r="AC51" s="408"/>
      <c r="AD51" s="408"/>
      <c r="AE51" s="408"/>
      <c r="AF51" s="408"/>
      <c r="AG51" s="408"/>
      <c r="AH51" s="408"/>
      <c r="AI51" s="408"/>
      <c r="AJ51" s="408"/>
      <c r="AK51" s="408"/>
      <c r="AL51" s="408"/>
      <c r="AM51" s="408"/>
      <c r="AN51" s="408"/>
      <c r="AO51" s="408"/>
      <c r="AP51" s="408"/>
      <c r="AQ51" s="408"/>
      <c r="AR51" s="408"/>
      <c r="AS51" s="408"/>
      <c r="AT51" s="408"/>
      <c r="AU51" s="408"/>
      <c r="AV51" s="408"/>
      <c r="AW51" s="408"/>
      <c r="AX51" s="408"/>
      <c r="AY51" s="408"/>
      <c r="AZ51" s="408"/>
      <c r="BA51" s="408"/>
      <c r="BB51" s="408"/>
      <c r="BC51" s="408"/>
      <c r="BD51" s="408"/>
      <c r="BE51" s="408"/>
      <c r="BF51" s="408"/>
      <c r="BG51" s="408"/>
      <c r="BH51" s="408"/>
      <c r="BI51" s="408"/>
      <c r="BJ51" s="408"/>
      <c r="BK51" s="408"/>
      <c r="BL51" s="408"/>
      <c r="BM51" s="408"/>
      <c r="BN51" s="408"/>
      <c r="BO51" s="408"/>
      <c r="BP51" s="408"/>
      <c r="BQ51" s="408"/>
      <c r="BR51" s="408"/>
      <c r="BS51" s="408"/>
      <c r="BT51" s="408"/>
      <c r="BU51" s="408"/>
      <c r="BV51" s="408"/>
      <c r="BW51" s="408"/>
      <c r="BX51" s="408"/>
      <c r="BY51" s="408"/>
      <c r="BZ51" s="408"/>
      <c r="CA51" s="408"/>
      <c r="CB51" s="408"/>
      <c r="CC51" s="408"/>
      <c r="CD51" s="408"/>
      <c r="CE51" s="408"/>
      <c r="CF51" s="408"/>
      <c r="CG51" s="408"/>
      <c r="CH51" s="408"/>
      <c r="CI51" s="408"/>
      <c r="CJ51" s="408"/>
      <c r="CK51" s="408"/>
      <c r="CL51" s="408"/>
      <c r="CM51" s="408"/>
      <c r="CN51" s="408"/>
      <c r="CO51" s="408"/>
      <c r="CP51" s="408"/>
      <c r="CQ51" s="408"/>
      <c r="CR51" s="408"/>
      <c r="CS51" s="408"/>
      <c r="CT51" s="408"/>
      <c r="CU51" s="408"/>
      <c r="CV51" s="408"/>
      <c r="CW51" s="408"/>
      <c r="CX51" s="408"/>
      <c r="CY51" s="408"/>
      <c r="CZ51" s="408"/>
      <c r="DA51" s="408"/>
      <c r="DB51" s="177"/>
    </row>
    <row r="52" spans="2:106" ht="9" customHeight="1">
      <c r="B52" s="168"/>
      <c r="C52" s="408" t="s">
        <v>106</v>
      </c>
      <c r="D52" s="408"/>
      <c r="E52" s="408"/>
      <c r="F52" s="408"/>
      <c r="G52" s="408"/>
      <c r="H52" s="408"/>
      <c r="I52" s="408"/>
      <c r="J52" s="408"/>
      <c r="K52" s="408"/>
      <c r="L52" s="408"/>
      <c r="M52" s="408"/>
      <c r="N52" s="408"/>
      <c r="O52" s="408"/>
      <c r="P52" s="408"/>
      <c r="Q52" s="408"/>
      <c r="R52" s="408"/>
      <c r="S52" s="408"/>
      <c r="T52" s="408"/>
      <c r="U52" s="408"/>
      <c r="V52" s="408"/>
      <c r="W52" s="408"/>
      <c r="X52" s="408"/>
      <c r="Y52" s="408"/>
      <c r="Z52" s="408"/>
      <c r="AA52" s="408"/>
      <c r="AB52" s="408"/>
      <c r="AC52" s="408"/>
      <c r="AD52" s="408"/>
      <c r="AE52" s="408"/>
      <c r="AF52" s="408"/>
      <c r="AG52" s="408"/>
      <c r="AH52" s="408"/>
      <c r="AI52" s="408"/>
      <c r="AJ52" s="408"/>
      <c r="AK52" s="408"/>
      <c r="AL52" s="408"/>
      <c r="AM52" s="408"/>
      <c r="AN52" s="408"/>
      <c r="AO52" s="408"/>
      <c r="AP52" s="408"/>
      <c r="AQ52" s="408"/>
      <c r="AR52" s="408"/>
      <c r="AS52" s="408"/>
      <c r="AT52" s="408"/>
      <c r="AU52" s="408"/>
      <c r="AV52" s="408"/>
      <c r="AW52" s="408"/>
      <c r="AX52" s="408"/>
      <c r="AY52" s="408"/>
      <c r="AZ52" s="408"/>
      <c r="BA52" s="408"/>
      <c r="BB52" s="408"/>
      <c r="BC52" s="408"/>
      <c r="BD52" s="408"/>
      <c r="BE52" s="408"/>
      <c r="BF52" s="408"/>
      <c r="BG52" s="408"/>
      <c r="BH52" s="408"/>
      <c r="BI52" s="408"/>
      <c r="BJ52" s="408"/>
      <c r="BK52" s="408"/>
      <c r="BL52" s="408"/>
      <c r="BM52" s="408"/>
      <c r="BN52" s="408"/>
      <c r="BO52" s="408"/>
      <c r="BP52" s="408"/>
      <c r="BQ52" s="408"/>
      <c r="BR52" s="408"/>
      <c r="BS52" s="408"/>
      <c r="BT52" s="408"/>
      <c r="BU52" s="408"/>
      <c r="BV52" s="408"/>
      <c r="BW52" s="408"/>
      <c r="BX52" s="408"/>
      <c r="BY52" s="408"/>
      <c r="BZ52" s="408"/>
      <c r="CA52" s="408"/>
      <c r="CB52" s="408"/>
      <c r="CC52" s="408"/>
      <c r="CD52" s="408"/>
      <c r="CE52" s="408"/>
      <c r="CF52" s="408"/>
      <c r="CG52" s="408"/>
      <c r="CH52" s="408"/>
      <c r="CI52" s="408"/>
      <c r="CJ52" s="408"/>
      <c r="CK52" s="408"/>
      <c r="CL52" s="408"/>
      <c r="CM52" s="408"/>
      <c r="CN52" s="408"/>
      <c r="CO52" s="408"/>
      <c r="CP52" s="408"/>
      <c r="CQ52" s="408"/>
      <c r="CR52" s="408"/>
      <c r="CS52" s="408"/>
      <c r="CT52" s="408"/>
      <c r="CU52" s="408"/>
      <c r="CV52" s="408"/>
      <c r="CW52" s="408"/>
      <c r="CX52" s="408"/>
      <c r="CY52" s="408"/>
      <c r="CZ52" s="408"/>
      <c r="DA52" s="408"/>
      <c r="DB52" s="177"/>
    </row>
    <row r="53" spans="2:106" ht="9" customHeight="1">
      <c r="B53" s="168"/>
      <c r="C53" s="408" t="s">
        <v>107</v>
      </c>
      <c r="D53" s="408"/>
      <c r="E53" s="408"/>
      <c r="F53" s="408"/>
      <c r="G53" s="408"/>
      <c r="H53" s="408"/>
      <c r="I53" s="408"/>
      <c r="J53" s="408"/>
      <c r="K53" s="408"/>
      <c r="L53" s="408"/>
      <c r="M53" s="408"/>
      <c r="N53" s="408"/>
      <c r="O53" s="408"/>
      <c r="P53" s="408"/>
      <c r="Q53" s="408"/>
      <c r="R53" s="408"/>
      <c r="S53" s="408"/>
      <c r="T53" s="408"/>
      <c r="U53" s="408"/>
      <c r="V53" s="408"/>
      <c r="W53" s="408"/>
      <c r="X53" s="408"/>
      <c r="Y53" s="408"/>
      <c r="Z53" s="408"/>
      <c r="AA53" s="408"/>
      <c r="AB53" s="408"/>
      <c r="AC53" s="408"/>
      <c r="AD53" s="408"/>
      <c r="AE53" s="408"/>
      <c r="AF53" s="408"/>
      <c r="AG53" s="408"/>
      <c r="AH53" s="408"/>
      <c r="AI53" s="408"/>
      <c r="AJ53" s="408"/>
      <c r="AK53" s="408"/>
      <c r="AL53" s="408"/>
      <c r="AM53" s="408"/>
      <c r="AN53" s="408"/>
      <c r="AO53" s="408"/>
      <c r="AP53" s="408"/>
      <c r="AQ53" s="408"/>
      <c r="AR53" s="408"/>
      <c r="AS53" s="408"/>
      <c r="AT53" s="408"/>
      <c r="AU53" s="408"/>
      <c r="AV53" s="408"/>
      <c r="AW53" s="408"/>
      <c r="AX53" s="408"/>
      <c r="AY53" s="408"/>
      <c r="AZ53" s="408"/>
      <c r="BA53" s="408"/>
      <c r="BB53" s="408"/>
      <c r="BC53" s="408"/>
      <c r="BD53" s="408"/>
      <c r="BE53" s="408"/>
      <c r="BF53" s="408"/>
      <c r="BG53" s="408"/>
      <c r="BH53" s="408"/>
      <c r="BI53" s="408"/>
      <c r="BJ53" s="408"/>
      <c r="BK53" s="408"/>
      <c r="BL53" s="408"/>
      <c r="BM53" s="408"/>
      <c r="BN53" s="408"/>
      <c r="BO53" s="408"/>
      <c r="BP53" s="408"/>
      <c r="BQ53" s="408"/>
      <c r="BR53" s="408"/>
      <c r="BS53" s="408"/>
      <c r="BT53" s="408"/>
      <c r="BU53" s="408"/>
      <c r="BV53" s="408"/>
      <c r="BW53" s="408"/>
      <c r="BX53" s="408"/>
      <c r="BY53" s="408"/>
      <c r="BZ53" s="408"/>
      <c r="CA53" s="408"/>
      <c r="CB53" s="408"/>
      <c r="CC53" s="408"/>
      <c r="CD53" s="408"/>
      <c r="CE53" s="408"/>
      <c r="CF53" s="408"/>
      <c r="CG53" s="408"/>
      <c r="CH53" s="408"/>
      <c r="CI53" s="408"/>
      <c r="CJ53" s="408"/>
      <c r="CK53" s="408"/>
      <c r="CL53" s="408"/>
      <c r="CM53" s="408"/>
      <c r="CN53" s="408"/>
      <c r="CO53" s="408"/>
      <c r="CP53" s="408"/>
      <c r="CQ53" s="408"/>
      <c r="CR53" s="408"/>
      <c r="CS53" s="408"/>
      <c r="CT53" s="408"/>
      <c r="CU53" s="408"/>
      <c r="CV53" s="408"/>
      <c r="CW53" s="408"/>
      <c r="CX53" s="408"/>
      <c r="CY53" s="408"/>
      <c r="CZ53" s="408"/>
      <c r="DA53" s="408"/>
      <c r="DB53" s="177"/>
    </row>
    <row r="54" spans="2:106" ht="13.9" customHeight="1">
      <c r="B54" s="168"/>
      <c r="C54" s="410" t="s">
        <v>108</v>
      </c>
      <c r="D54" s="410"/>
      <c r="E54" s="410"/>
      <c r="F54" s="410"/>
      <c r="G54" s="410"/>
      <c r="H54" s="410"/>
      <c r="I54" s="410"/>
      <c r="J54" s="410"/>
      <c r="K54" s="410"/>
      <c r="L54" s="410"/>
      <c r="M54" s="410"/>
      <c r="N54" s="410"/>
      <c r="O54" s="410"/>
      <c r="P54" s="410"/>
      <c r="Q54" s="410"/>
      <c r="R54" s="410"/>
      <c r="S54" s="410"/>
      <c r="T54" s="410"/>
      <c r="U54" s="410"/>
      <c r="V54" s="410"/>
      <c r="W54" s="410"/>
      <c r="X54" s="410"/>
      <c r="Y54" s="410"/>
      <c r="Z54" s="410"/>
      <c r="AA54" s="410"/>
      <c r="AB54" s="410"/>
      <c r="AC54" s="410"/>
      <c r="AD54" s="410"/>
      <c r="AE54" s="410"/>
      <c r="AF54" s="410"/>
      <c r="AG54" s="410"/>
      <c r="AH54" s="410"/>
      <c r="AI54" s="410"/>
      <c r="AJ54" s="410"/>
      <c r="AK54" s="410"/>
      <c r="AL54" s="410"/>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410"/>
      <c r="BL54" s="410"/>
      <c r="BM54" s="410"/>
      <c r="BN54" s="410"/>
      <c r="BO54" s="410"/>
      <c r="BP54" s="410"/>
      <c r="BQ54" s="410"/>
      <c r="BR54" s="410"/>
      <c r="BS54" s="410"/>
      <c r="BT54" s="410"/>
      <c r="BU54" s="410"/>
      <c r="BV54" s="410"/>
      <c r="BW54" s="410"/>
      <c r="BX54" s="410"/>
      <c r="BY54" s="410"/>
      <c r="BZ54" s="410"/>
      <c r="CA54" s="410"/>
      <c r="CB54" s="410"/>
      <c r="CC54" s="410"/>
      <c r="CD54" s="410"/>
      <c r="CE54" s="410"/>
      <c r="CF54" s="410"/>
      <c r="CG54" s="410"/>
      <c r="CH54" s="410"/>
      <c r="CI54" s="410"/>
      <c r="CJ54" s="410"/>
      <c r="CK54" s="410"/>
      <c r="CL54" s="410"/>
      <c r="CM54" s="410"/>
      <c r="CN54" s="410"/>
      <c r="CO54" s="410"/>
      <c r="CP54" s="410"/>
      <c r="CQ54" s="410"/>
      <c r="CR54" s="410"/>
      <c r="CS54" s="410"/>
      <c r="CT54" s="410"/>
      <c r="CU54" s="410"/>
      <c r="CV54" s="410"/>
      <c r="CW54" s="410"/>
      <c r="CX54" s="410"/>
      <c r="CY54" s="410"/>
      <c r="CZ54" s="410"/>
      <c r="DA54" s="410"/>
      <c r="DB54" s="177"/>
    </row>
    <row r="55" spans="2:106" ht="9" customHeight="1">
      <c r="B55" s="168"/>
      <c r="C55" s="408" t="s">
        <v>109</v>
      </c>
      <c r="D55" s="408"/>
      <c r="E55" s="408"/>
      <c r="F55" s="408"/>
      <c r="G55" s="408"/>
      <c r="H55" s="408"/>
      <c r="I55" s="408"/>
      <c r="J55" s="408"/>
      <c r="K55" s="408"/>
      <c r="L55" s="408"/>
      <c r="M55" s="408"/>
      <c r="N55" s="408"/>
      <c r="O55" s="408"/>
      <c r="P55" s="408"/>
      <c r="Q55" s="408"/>
      <c r="R55" s="408"/>
      <c r="S55" s="408"/>
      <c r="T55" s="408"/>
      <c r="U55" s="408"/>
      <c r="V55" s="408"/>
      <c r="W55" s="408"/>
      <c r="X55" s="408"/>
      <c r="Y55" s="408"/>
      <c r="Z55" s="408"/>
      <c r="AA55" s="408"/>
      <c r="AB55" s="408"/>
      <c r="AC55" s="408"/>
      <c r="AD55" s="408"/>
      <c r="AE55" s="408"/>
      <c r="AF55" s="408"/>
      <c r="AG55" s="408"/>
      <c r="AH55" s="408"/>
      <c r="AI55" s="408"/>
      <c r="AJ55" s="408"/>
      <c r="AK55" s="408"/>
      <c r="AL55" s="408"/>
      <c r="AM55" s="408"/>
      <c r="AN55" s="408"/>
      <c r="AO55" s="408"/>
      <c r="AP55" s="408"/>
      <c r="AQ55" s="408"/>
      <c r="AR55" s="408"/>
      <c r="AS55" s="408"/>
      <c r="AT55" s="408"/>
      <c r="AU55" s="408"/>
      <c r="AV55" s="408"/>
      <c r="AW55" s="408"/>
      <c r="AX55" s="408"/>
      <c r="AY55" s="408"/>
      <c r="AZ55" s="408"/>
      <c r="BA55" s="408"/>
      <c r="BB55" s="408"/>
      <c r="BC55" s="408"/>
      <c r="BD55" s="408"/>
      <c r="BE55" s="408"/>
      <c r="BF55" s="408"/>
      <c r="BG55" s="408"/>
      <c r="BH55" s="408"/>
      <c r="BI55" s="408"/>
      <c r="BJ55" s="408"/>
      <c r="BK55" s="408"/>
      <c r="BL55" s="408"/>
      <c r="BM55" s="408"/>
      <c r="BN55" s="408"/>
      <c r="BO55" s="408"/>
      <c r="BP55" s="408"/>
      <c r="BQ55" s="408"/>
      <c r="BR55" s="408"/>
      <c r="BS55" s="408"/>
      <c r="BT55" s="408"/>
      <c r="BU55" s="408"/>
      <c r="BV55" s="408"/>
      <c r="BW55" s="408"/>
      <c r="BX55" s="408"/>
      <c r="BY55" s="408"/>
      <c r="BZ55" s="408"/>
      <c r="CA55" s="408"/>
      <c r="CB55" s="408"/>
      <c r="CC55" s="408"/>
      <c r="CD55" s="408"/>
      <c r="CE55" s="408"/>
      <c r="CF55" s="408"/>
      <c r="CG55" s="408"/>
      <c r="CH55" s="408"/>
      <c r="CI55" s="408"/>
      <c r="CJ55" s="408"/>
      <c r="CK55" s="408"/>
      <c r="CL55" s="408"/>
      <c r="CM55" s="408"/>
      <c r="CN55" s="408"/>
      <c r="CO55" s="408"/>
      <c r="CP55" s="408"/>
      <c r="CQ55" s="408"/>
      <c r="CR55" s="408"/>
      <c r="CS55" s="408"/>
      <c r="CT55" s="408"/>
      <c r="CU55" s="408"/>
      <c r="CV55" s="408"/>
      <c r="CW55" s="408"/>
      <c r="CX55" s="408"/>
      <c r="CY55" s="408"/>
      <c r="CZ55" s="408"/>
      <c r="DA55" s="408"/>
      <c r="DB55" s="177"/>
    </row>
    <row r="56" spans="2:106" ht="9" customHeight="1">
      <c r="B56" s="168"/>
      <c r="C56" s="408" t="s">
        <v>110</v>
      </c>
      <c r="D56" s="408"/>
      <c r="E56" s="408"/>
      <c r="F56" s="408"/>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F56" s="408"/>
      <c r="AG56" s="408"/>
      <c r="AH56" s="408"/>
      <c r="AI56" s="408"/>
      <c r="AJ56" s="408"/>
      <c r="AK56" s="408"/>
      <c r="AL56" s="408"/>
      <c r="AM56" s="408"/>
      <c r="AN56" s="408"/>
      <c r="AO56" s="408"/>
      <c r="AP56" s="408"/>
      <c r="AQ56" s="408"/>
      <c r="AR56" s="408"/>
      <c r="AS56" s="408"/>
      <c r="AT56" s="408"/>
      <c r="AU56" s="408"/>
      <c r="AV56" s="408"/>
      <c r="AW56" s="408"/>
      <c r="AX56" s="408"/>
      <c r="AY56" s="408"/>
      <c r="AZ56" s="408"/>
      <c r="BA56" s="408"/>
      <c r="BB56" s="408"/>
      <c r="BC56" s="408"/>
      <c r="BD56" s="408"/>
      <c r="BE56" s="408"/>
      <c r="BF56" s="408"/>
      <c r="BG56" s="408"/>
      <c r="BH56" s="408"/>
      <c r="BI56" s="408"/>
      <c r="BJ56" s="408"/>
      <c r="BK56" s="408"/>
      <c r="BL56" s="408"/>
      <c r="BM56" s="408"/>
      <c r="BN56" s="408"/>
      <c r="BO56" s="408"/>
      <c r="BP56" s="408"/>
      <c r="BQ56" s="408"/>
      <c r="BR56" s="408"/>
      <c r="BS56" s="408"/>
      <c r="BT56" s="408"/>
      <c r="BU56" s="408"/>
      <c r="BV56" s="408"/>
      <c r="BW56" s="408"/>
      <c r="BX56" s="408"/>
      <c r="BY56" s="408"/>
      <c r="BZ56" s="408"/>
      <c r="CA56" s="408"/>
      <c r="CB56" s="408"/>
      <c r="CC56" s="408"/>
      <c r="CD56" s="408"/>
      <c r="CE56" s="408"/>
      <c r="CF56" s="408"/>
      <c r="CG56" s="408"/>
      <c r="CH56" s="408"/>
      <c r="CI56" s="408"/>
      <c r="CJ56" s="408"/>
      <c r="CK56" s="408"/>
      <c r="CL56" s="408"/>
      <c r="CM56" s="408"/>
      <c r="CN56" s="408"/>
      <c r="CO56" s="408"/>
      <c r="CP56" s="408"/>
      <c r="CQ56" s="408"/>
      <c r="CR56" s="408"/>
      <c r="CS56" s="408"/>
      <c r="CT56" s="408"/>
      <c r="CU56" s="408"/>
      <c r="CV56" s="408"/>
      <c r="CW56" s="408"/>
      <c r="CX56" s="408"/>
      <c r="CY56" s="408"/>
      <c r="CZ56" s="408"/>
      <c r="DA56" s="408"/>
      <c r="DB56" s="177"/>
    </row>
    <row r="57" spans="2:106" ht="9" customHeight="1">
      <c r="B57" s="168"/>
      <c r="C57" s="408" t="s">
        <v>111</v>
      </c>
      <c r="D57" s="408"/>
      <c r="E57" s="408"/>
      <c r="F57" s="408"/>
      <c r="G57" s="408"/>
      <c r="H57" s="408"/>
      <c r="I57" s="408"/>
      <c r="J57" s="408"/>
      <c r="K57" s="408"/>
      <c r="L57" s="408"/>
      <c r="M57" s="408"/>
      <c r="N57" s="408"/>
      <c r="O57" s="408"/>
      <c r="P57" s="408"/>
      <c r="Q57" s="408"/>
      <c r="R57" s="408"/>
      <c r="S57" s="408"/>
      <c r="T57" s="408"/>
      <c r="U57" s="408"/>
      <c r="V57" s="408"/>
      <c r="W57" s="408"/>
      <c r="X57" s="408"/>
      <c r="Y57" s="408"/>
      <c r="Z57" s="408"/>
      <c r="AA57" s="408"/>
      <c r="AB57" s="408"/>
      <c r="AC57" s="408"/>
      <c r="AD57" s="408"/>
      <c r="AE57" s="408"/>
      <c r="AF57" s="408"/>
      <c r="AG57" s="408"/>
      <c r="AH57" s="408"/>
      <c r="AI57" s="408"/>
      <c r="AJ57" s="408"/>
      <c r="AK57" s="408"/>
      <c r="AL57" s="408"/>
      <c r="AM57" s="408"/>
      <c r="AN57" s="408"/>
      <c r="AO57" s="408"/>
      <c r="AP57" s="408"/>
      <c r="AQ57" s="408"/>
      <c r="AR57" s="408"/>
      <c r="AS57" s="408"/>
      <c r="AT57" s="408"/>
      <c r="AU57" s="408"/>
      <c r="AV57" s="408"/>
      <c r="AW57" s="408"/>
      <c r="AX57" s="408"/>
      <c r="AY57" s="408"/>
      <c r="AZ57" s="408"/>
      <c r="BA57" s="408"/>
      <c r="BB57" s="408"/>
      <c r="BC57" s="408"/>
      <c r="BD57" s="408"/>
      <c r="BE57" s="408"/>
      <c r="BF57" s="408"/>
      <c r="BG57" s="408"/>
      <c r="BH57" s="408"/>
      <c r="BI57" s="408"/>
      <c r="BJ57" s="408"/>
      <c r="BK57" s="408"/>
      <c r="BL57" s="408"/>
      <c r="BM57" s="408"/>
      <c r="BN57" s="408"/>
      <c r="BO57" s="408"/>
      <c r="BP57" s="408"/>
      <c r="BQ57" s="408"/>
      <c r="BR57" s="408"/>
      <c r="BS57" s="408"/>
      <c r="BT57" s="408"/>
      <c r="BU57" s="408"/>
      <c r="BV57" s="408"/>
      <c r="BW57" s="408"/>
      <c r="BX57" s="408"/>
      <c r="BY57" s="408"/>
      <c r="BZ57" s="408"/>
      <c r="CA57" s="408"/>
      <c r="CB57" s="408"/>
      <c r="CC57" s="408"/>
      <c r="CD57" s="408"/>
      <c r="CE57" s="408"/>
      <c r="CF57" s="408"/>
      <c r="CG57" s="408"/>
      <c r="CH57" s="408"/>
      <c r="CI57" s="408"/>
      <c r="CJ57" s="408"/>
      <c r="CK57" s="408"/>
      <c r="CL57" s="408"/>
      <c r="CM57" s="408"/>
      <c r="CN57" s="408"/>
      <c r="CO57" s="408"/>
      <c r="CP57" s="408"/>
      <c r="CQ57" s="408"/>
      <c r="CR57" s="408"/>
      <c r="CS57" s="408"/>
      <c r="CT57" s="408"/>
      <c r="CU57" s="408"/>
      <c r="CV57" s="408"/>
      <c r="CW57" s="408"/>
      <c r="CX57" s="408"/>
      <c r="CY57" s="408"/>
      <c r="CZ57" s="408"/>
      <c r="DA57" s="408"/>
      <c r="DB57" s="177"/>
    </row>
    <row r="58" spans="2:106" ht="9" customHeight="1">
      <c r="B58" s="168"/>
      <c r="C58" s="408" t="s">
        <v>112</v>
      </c>
      <c r="D58" s="408"/>
      <c r="E58" s="408"/>
      <c r="F58" s="408"/>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c r="AD58" s="408"/>
      <c r="AE58" s="408"/>
      <c r="AF58" s="408"/>
      <c r="AG58" s="408"/>
      <c r="AH58" s="408"/>
      <c r="AI58" s="408"/>
      <c r="AJ58" s="408"/>
      <c r="AK58" s="408"/>
      <c r="AL58" s="408"/>
      <c r="AM58" s="408"/>
      <c r="AN58" s="408"/>
      <c r="AO58" s="408"/>
      <c r="AP58" s="408"/>
      <c r="AQ58" s="408"/>
      <c r="AR58" s="408"/>
      <c r="AS58" s="408"/>
      <c r="AT58" s="408"/>
      <c r="AU58" s="408"/>
      <c r="AV58" s="408"/>
      <c r="AW58" s="408"/>
      <c r="AX58" s="408"/>
      <c r="AY58" s="408"/>
      <c r="AZ58" s="408"/>
      <c r="BA58" s="408"/>
      <c r="BB58" s="408"/>
      <c r="BC58" s="408"/>
      <c r="BD58" s="408"/>
      <c r="BE58" s="408"/>
      <c r="BF58" s="408"/>
      <c r="BG58" s="408"/>
      <c r="BH58" s="408"/>
      <c r="BI58" s="408"/>
      <c r="BJ58" s="408"/>
      <c r="BK58" s="408"/>
      <c r="BL58" s="408"/>
      <c r="BM58" s="408"/>
      <c r="BN58" s="408"/>
      <c r="BO58" s="408"/>
      <c r="BP58" s="408"/>
      <c r="BQ58" s="408"/>
      <c r="BR58" s="408"/>
      <c r="BS58" s="408"/>
      <c r="BT58" s="408"/>
      <c r="BU58" s="408"/>
      <c r="BV58" s="408"/>
      <c r="BW58" s="408"/>
      <c r="BX58" s="408"/>
      <c r="BY58" s="408"/>
      <c r="BZ58" s="408"/>
      <c r="CA58" s="408"/>
      <c r="CB58" s="408"/>
      <c r="CC58" s="408"/>
      <c r="CD58" s="408"/>
      <c r="CE58" s="408"/>
      <c r="CF58" s="408"/>
      <c r="CG58" s="408"/>
      <c r="CH58" s="408"/>
      <c r="CI58" s="408"/>
      <c r="CJ58" s="408"/>
      <c r="CK58" s="408"/>
      <c r="CL58" s="408"/>
      <c r="CM58" s="408"/>
      <c r="CN58" s="408"/>
      <c r="CO58" s="408"/>
      <c r="CP58" s="408"/>
      <c r="CQ58" s="408"/>
      <c r="CR58" s="408"/>
      <c r="CS58" s="408"/>
      <c r="CT58" s="408"/>
      <c r="CU58" s="408"/>
      <c r="CV58" s="408"/>
      <c r="CW58" s="408"/>
      <c r="CX58" s="408"/>
      <c r="CY58" s="408"/>
      <c r="CZ58" s="408"/>
      <c r="DA58" s="408"/>
      <c r="DB58" s="177"/>
    </row>
    <row r="59" spans="2:106" ht="9" customHeight="1">
      <c r="B59" s="168"/>
      <c r="C59" s="408" t="s">
        <v>113</v>
      </c>
      <c r="D59" s="408"/>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408"/>
      <c r="AD59" s="408"/>
      <c r="AE59" s="408"/>
      <c r="AF59" s="408"/>
      <c r="AG59" s="408"/>
      <c r="AH59" s="408"/>
      <c r="AI59" s="408"/>
      <c r="AJ59" s="408"/>
      <c r="AK59" s="408"/>
      <c r="AL59" s="408"/>
      <c r="AM59" s="408"/>
      <c r="AN59" s="408"/>
      <c r="AO59" s="408"/>
      <c r="AP59" s="408"/>
      <c r="AQ59" s="408"/>
      <c r="AR59" s="408"/>
      <c r="AS59" s="408"/>
      <c r="AT59" s="408"/>
      <c r="AU59" s="408"/>
      <c r="AV59" s="408"/>
      <c r="AW59" s="408"/>
      <c r="AX59" s="408"/>
      <c r="AY59" s="408"/>
      <c r="AZ59" s="408"/>
      <c r="BA59" s="408"/>
      <c r="BB59" s="408"/>
      <c r="BC59" s="408"/>
      <c r="BD59" s="408"/>
      <c r="BE59" s="408"/>
      <c r="BF59" s="408"/>
      <c r="BG59" s="408"/>
      <c r="BH59" s="408"/>
      <c r="BI59" s="408"/>
      <c r="BJ59" s="408"/>
      <c r="BK59" s="408"/>
      <c r="BL59" s="408"/>
      <c r="BM59" s="408"/>
      <c r="BN59" s="408"/>
      <c r="BO59" s="408"/>
      <c r="BP59" s="408"/>
      <c r="BQ59" s="408"/>
      <c r="BR59" s="408"/>
      <c r="BS59" s="408"/>
      <c r="BT59" s="408"/>
      <c r="BU59" s="408"/>
      <c r="BV59" s="408"/>
      <c r="BW59" s="408"/>
      <c r="BX59" s="408"/>
      <c r="BY59" s="408"/>
      <c r="BZ59" s="408"/>
      <c r="CA59" s="408"/>
      <c r="CB59" s="408"/>
      <c r="CC59" s="408"/>
      <c r="CD59" s="408"/>
      <c r="CE59" s="408"/>
      <c r="CF59" s="408"/>
      <c r="CG59" s="408"/>
      <c r="CH59" s="408"/>
      <c r="CI59" s="408"/>
      <c r="CJ59" s="408"/>
      <c r="CK59" s="408"/>
      <c r="CL59" s="408"/>
      <c r="CM59" s="408"/>
      <c r="CN59" s="408"/>
      <c r="CO59" s="408"/>
      <c r="CP59" s="408"/>
      <c r="CQ59" s="408"/>
      <c r="CR59" s="408"/>
      <c r="CS59" s="408"/>
      <c r="CT59" s="408"/>
      <c r="CU59" s="408"/>
      <c r="CV59" s="408"/>
      <c r="CW59" s="408"/>
      <c r="CX59" s="408"/>
      <c r="CY59" s="408"/>
      <c r="CZ59" s="408"/>
      <c r="DA59" s="408"/>
      <c r="DB59" s="177"/>
    </row>
    <row r="60" spans="2:106" ht="13.9" customHeight="1">
      <c r="B60" s="168"/>
      <c r="C60" s="410" t="s">
        <v>114</v>
      </c>
      <c r="D60" s="410"/>
      <c r="E60" s="410"/>
      <c r="F60" s="410"/>
      <c r="G60" s="410"/>
      <c r="H60" s="410"/>
      <c r="I60" s="410"/>
      <c r="J60" s="410"/>
      <c r="K60" s="410"/>
      <c r="L60" s="410"/>
      <c r="M60" s="410"/>
      <c r="N60" s="410"/>
      <c r="O60" s="410"/>
      <c r="P60" s="410"/>
      <c r="Q60" s="410"/>
      <c r="R60" s="410"/>
      <c r="S60" s="410"/>
      <c r="T60" s="410"/>
      <c r="U60" s="410"/>
      <c r="V60" s="410"/>
      <c r="W60" s="410"/>
      <c r="X60" s="410"/>
      <c r="Y60" s="410"/>
      <c r="Z60" s="410"/>
      <c r="AA60" s="410"/>
      <c r="AB60" s="410"/>
      <c r="AC60" s="410"/>
      <c r="AD60" s="410"/>
      <c r="AE60" s="410"/>
      <c r="AF60" s="410"/>
      <c r="AG60" s="410"/>
      <c r="AH60" s="410"/>
      <c r="AI60" s="410"/>
      <c r="AJ60" s="410"/>
      <c r="AK60" s="410"/>
      <c r="AL60" s="410"/>
      <c r="AM60" s="410"/>
      <c r="AN60" s="410"/>
      <c r="AO60" s="410"/>
      <c r="AP60" s="410"/>
      <c r="AQ60" s="410"/>
      <c r="AR60" s="410"/>
      <c r="AS60" s="410"/>
      <c r="AT60" s="410"/>
      <c r="AU60" s="410"/>
      <c r="AV60" s="410"/>
      <c r="AW60" s="410"/>
      <c r="AX60" s="410"/>
      <c r="AY60" s="410"/>
      <c r="AZ60" s="410"/>
      <c r="BA60" s="410"/>
      <c r="BB60" s="410"/>
      <c r="BC60" s="410"/>
      <c r="BD60" s="410"/>
      <c r="BE60" s="410"/>
      <c r="BF60" s="410"/>
      <c r="BG60" s="410"/>
      <c r="BH60" s="410"/>
      <c r="BI60" s="410"/>
      <c r="BJ60" s="410"/>
      <c r="BK60" s="410"/>
      <c r="BL60" s="410"/>
      <c r="BM60" s="410"/>
      <c r="BN60" s="410"/>
      <c r="BO60" s="410"/>
      <c r="BP60" s="410"/>
      <c r="BQ60" s="410"/>
      <c r="BR60" s="410"/>
      <c r="BS60" s="410"/>
      <c r="BT60" s="410"/>
      <c r="BU60" s="410"/>
      <c r="BV60" s="410"/>
      <c r="BW60" s="410"/>
      <c r="BX60" s="410"/>
      <c r="BY60" s="410"/>
      <c r="BZ60" s="410"/>
      <c r="CA60" s="410"/>
      <c r="CB60" s="410"/>
      <c r="CC60" s="410"/>
      <c r="CD60" s="410"/>
      <c r="CE60" s="410"/>
      <c r="CF60" s="410"/>
      <c r="CG60" s="410"/>
      <c r="CH60" s="410"/>
      <c r="CI60" s="410"/>
      <c r="CJ60" s="410"/>
      <c r="CK60" s="410"/>
      <c r="CL60" s="410"/>
      <c r="CM60" s="410"/>
      <c r="CN60" s="410"/>
      <c r="CO60" s="410"/>
      <c r="CP60" s="410"/>
      <c r="CQ60" s="410"/>
      <c r="CR60" s="410"/>
      <c r="CS60" s="410"/>
      <c r="CT60" s="410"/>
      <c r="CU60" s="410"/>
      <c r="CV60" s="410"/>
      <c r="CW60" s="410"/>
      <c r="CX60" s="410"/>
      <c r="CY60" s="410"/>
      <c r="CZ60" s="410"/>
      <c r="DA60" s="410"/>
      <c r="DB60" s="177"/>
    </row>
    <row r="61" spans="2:106" ht="9" customHeight="1">
      <c r="B61" s="168"/>
      <c r="C61" s="408" t="s">
        <v>115</v>
      </c>
      <c r="D61" s="408"/>
      <c r="E61" s="408"/>
      <c r="F61" s="408"/>
      <c r="G61" s="408"/>
      <c r="H61" s="408"/>
      <c r="I61" s="408"/>
      <c r="J61" s="408"/>
      <c r="K61" s="408"/>
      <c r="L61" s="408"/>
      <c r="M61" s="408"/>
      <c r="N61" s="408"/>
      <c r="O61" s="408"/>
      <c r="P61" s="408"/>
      <c r="Q61" s="408"/>
      <c r="R61" s="408"/>
      <c r="S61" s="408"/>
      <c r="T61" s="408"/>
      <c r="U61" s="408"/>
      <c r="V61" s="408"/>
      <c r="W61" s="408"/>
      <c r="X61" s="408"/>
      <c r="Y61" s="408"/>
      <c r="Z61" s="408"/>
      <c r="AA61" s="408"/>
      <c r="AB61" s="408"/>
      <c r="AC61" s="408"/>
      <c r="AD61" s="408"/>
      <c r="AE61" s="408"/>
      <c r="AF61" s="408"/>
      <c r="AG61" s="408"/>
      <c r="AH61" s="408"/>
      <c r="AI61" s="408"/>
      <c r="AJ61" s="408"/>
      <c r="AK61" s="408"/>
      <c r="AL61" s="408"/>
      <c r="AM61" s="408"/>
      <c r="AN61" s="408"/>
      <c r="AO61" s="408"/>
      <c r="AP61" s="408"/>
      <c r="AQ61" s="408"/>
      <c r="AR61" s="408"/>
      <c r="AS61" s="408"/>
      <c r="AT61" s="408"/>
      <c r="AU61" s="408"/>
      <c r="AV61" s="408"/>
      <c r="AW61" s="408"/>
      <c r="AX61" s="408"/>
      <c r="AY61" s="408"/>
      <c r="AZ61" s="408"/>
      <c r="BA61" s="408"/>
      <c r="BB61" s="408"/>
      <c r="BC61" s="408"/>
      <c r="BD61" s="408"/>
      <c r="BE61" s="408"/>
      <c r="BF61" s="408"/>
      <c r="BG61" s="408"/>
      <c r="BH61" s="408"/>
      <c r="BI61" s="408"/>
      <c r="BJ61" s="408"/>
      <c r="BK61" s="408"/>
      <c r="BL61" s="408"/>
      <c r="BM61" s="408"/>
      <c r="BN61" s="408"/>
      <c r="BO61" s="408"/>
      <c r="BP61" s="408"/>
      <c r="BQ61" s="408"/>
      <c r="BR61" s="408"/>
      <c r="BS61" s="408"/>
      <c r="BT61" s="408"/>
      <c r="BU61" s="408"/>
      <c r="BV61" s="408"/>
      <c r="BW61" s="408"/>
      <c r="BX61" s="408"/>
      <c r="BY61" s="408"/>
      <c r="BZ61" s="408"/>
      <c r="CA61" s="408"/>
      <c r="CB61" s="408"/>
      <c r="CC61" s="408"/>
      <c r="CD61" s="408"/>
      <c r="CE61" s="408"/>
      <c r="CF61" s="408"/>
      <c r="CG61" s="408"/>
      <c r="CH61" s="408"/>
      <c r="CI61" s="408"/>
      <c r="CJ61" s="408"/>
      <c r="CK61" s="408"/>
      <c r="CL61" s="408"/>
      <c r="CM61" s="408"/>
      <c r="CN61" s="408"/>
      <c r="CO61" s="408"/>
      <c r="CP61" s="408"/>
      <c r="CQ61" s="408"/>
      <c r="CR61" s="408"/>
      <c r="CS61" s="408"/>
      <c r="CT61" s="408"/>
      <c r="CU61" s="408"/>
      <c r="CV61" s="408"/>
      <c r="CW61" s="408"/>
      <c r="CX61" s="408"/>
      <c r="CY61" s="408"/>
      <c r="CZ61" s="408"/>
      <c r="DA61" s="408"/>
      <c r="DB61" s="177"/>
    </row>
    <row r="62" spans="2:106" ht="9" customHeight="1">
      <c r="B62" s="168"/>
      <c r="C62" s="408" t="s">
        <v>116</v>
      </c>
      <c r="D62" s="408"/>
      <c r="E62" s="408"/>
      <c r="F62" s="408"/>
      <c r="G62" s="408"/>
      <c r="H62" s="408"/>
      <c r="I62" s="408"/>
      <c r="J62" s="408"/>
      <c r="K62" s="408"/>
      <c r="L62" s="408"/>
      <c r="M62" s="408"/>
      <c r="N62" s="408"/>
      <c r="O62" s="408"/>
      <c r="P62" s="408"/>
      <c r="Q62" s="408"/>
      <c r="R62" s="408"/>
      <c r="S62" s="408"/>
      <c r="T62" s="408"/>
      <c r="U62" s="408"/>
      <c r="V62" s="408"/>
      <c r="W62" s="408"/>
      <c r="X62" s="408"/>
      <c r="Y62" s="408"/>
      <c r="Z62" s="408"/>
      <c r="AA62" s="408"/>
      <c r="AB62" s="408"/>
      <c r="AC62" s="408"/>
      <c r="AD62" s="408"/>
      <c r="AE62" s="408"/>
      <c r="AF62" s="408"/>
      <c r="AG62" s="408"/>
      <c r="AH62" s="408"/>
      <c r="AI62" s="408"/>
      <c r="AJ62" s="408"/>
      <c r="AK62" s="408"/>
      <c r="AL62" s="408"/>
      <c r="AM62" s="408"/>
      <c r="AN62" s="408"/>
      <c r="AO62" s="408"/>
      <c r="AP62" s="408"/>
      <c r="AQ62" s="408"/>
      <c r="AR62" s="408"/>
      <c r="AS62" s="408"/>
      <c r="AT62" s="408"/>
      <c r="AU62" s="408"/>
      <c r="AV62" s="408"/>
      <c r="AW62" s="408"/>
      <c r="AX62" s="408"/>
      <c r="AY62" s="408"/>
      <c r="AZ62" s="408"/>
      <c r="BA62" s="408"/>
      <c r="BB62" s="408"/>
      <c r="BC62" s="408"/>
      <c r="BD62" s="408"/>
      <c r="BE62" s="408"/>
      <c r="BF62" s="408"/>
      <c r="BG62" s="408"/>
      <c r="BH62" s="408"/>
      <c r="BI62" s="408"/>
      <c r="BJ62" s="408"/>
      <c r="BK62" s="408"/>
      <c r="BL62" s="408"/>
      <c r="BM62" s="408"/>
      <c r="BN62" s="408"/>
      <c r="BO62" s="408"/>
      <c r="BP62" s="408"/>
      <c r="BQ62" s="408"/>
      <c r="BR62" s="408"/>
      <c r="BS62" s="408"/>
      <c r="BT62" s="408"/>
      <c r="BU62" s="408"/>
      <c r="BV62" s="408"/>
      <c r="BW62" s="408"/>
      <c r="BX62" s="408"/>
      <c r="BY62" s="408"/>
      <c r="BZ62" s="408"/>
      <c r="CA62" s="408"/>
      <c r="CB62" s="408"/>
      <c r="CC62" s="408"/>
      <c r="CD62" s="408"/>
      <c r="CE62" s="408"/>
      <c r="CF62" s="408"/>
      <c r="CG62" s="408"/>
      <c r="CH62" s="408"/>
      <c r="CI62" s="408"/>
      <c r="CJ62" s="408"/>
      <c r="CK62" s="408"/>
      <c r="CL62" s="408"/>
      <c r="CM62" s="408"/>
      <c r="CN62" s="408"/>
      <c r="CO62" s="408"/>
      <c r="CP62" s="408"/>
      <c r="CQ62" s="408"/>
      <c r="CR62" s="408"/>
      <c r="CS62" s="408"/>
      <c r="CT62" s="408"/>
      <c r="CU62" s="408"/>
      <c r="CV62" s="408"/>
      <c r="CW62" s="408"/>
      <c r="CX62" s="408"/>
      <c r="CY62" s="408"/>
      <c r="CZ62" s="408"/>
      <c r="DA62" s="408"/>
      <c r="DB62" s="177"/>
    </row>
    <row r="63" spans="2:106" ht="13.9" customHeight="1">
      <c r="B63" s="168"/>
      <c r="C63" s="410" t="s">
        <v>117</v>
      </c>
      <c r="D63" s="410"/>
      <c r="E63" s="410"/>
      <c r="F63" s="410"/>
      <c r="G63" s="410"/>
      <c r="H63" s="410"/>
      <c r="I63" s="410"/>
      <c r="J63" s="410"/>
      <c r="K63" s="410"/>
      <c r="L63" s="410"/>
      <c r="M63" s="410"/>
      <c r="N63" s="410"/>
      <c r="O63" s="410"/>
      <c r="P63" s="410"/>
      <c r="Q63" s="410"/>
      <c r="R63" s="410"/>
      <c r="S63" s="410"/>
      <c r="T63" s="410"/>
      <c r="U63" s="410"/>
      <c r="V63" s="410"/>
      <c r="W63" s="410"/>
      <c r="X63" s="410"/>
      <c r="Y63" s="410"/>
      <c r="Z63" s="410"/>
      <c r="AA63" s="410"/>
      <c r="AB63" s="410"/>
      <c r="AC63" s="410"/>
      <c r="AD63" s="410"/>
      <c r="AE63" s="410"/>
      <c r="AF63" s="410"/>
      <c r="AG63" s="410"/>
      <c r="AH63" s="410"/>
      <c r="AI63" s="410"/>
      <c r="AJ63" s="410"/>
      <c r="AK63" s="410"/>
      <c r="AL63" s="410"/>
      <c r="AM63" s="410"/>
      <c r="AN63" s="410"/>
      <c r="AO63" s="410"/>
      <c r="AP63" s="410"/>
      <c r="AQ63" s="410"/>
      <c r="AR63" s="410"/>
      <c r="AS63" s="410"/>
      <c r="AT63" s="410"/>
      <c r="AU63" s="410"/>
      <c r="AV63" s="410"/>
      <c r="AW63" s="410"/>
      <c r="AX63" s="410"/>
      <c r="AY63" s="410"/>
      <c r="AZ63" s="410"/>
      <c r="BA63" s="410"/>
      <c r="BB63" s="410"/>
      <c r="BC63" s="410"/>
      <c r="BD63" s="410"/>
      <c r="BE63" s="410"/>
      <c r="BF63" s="410"/>
      <c r="BG63" s="410"/>
      <c r="BH63" s="410"/>
      <c r="BI63" s="410"/>
      <c r="BJ63" s="410"/>
      <c r="BK63" s="410"/>
      <c r="BL63" s="410"/>
      <c r="BM63" s="410"/>
      <c r="BN63" s="410"/>
      <c r="BO63" s="410"/>
      <c r="BP63" s="410"/>
      <c r="BQ63" s="410"/>
      <c r="BR63" s="410"/>
      <c r="BS63" s="410"/>
      <c r="BT63" s="410"/>
      <c r="BU63" s="410"/>
      <c r="BV63" s="410"/>
      <c r="BW63" s="410"/>
      <c r="BX63" s="410"/>
      <c r="BY63" s="410"/>
      <c r="BZ63" s="410"/>
      <c r="CA63" s="410"/>
      <c r="CB63" s="410"/>
      <c r="CC63" s="410"/>
      <c r="CD63" s="410"/>
      <c r="CE63" s="410"/>
      <c r="CF63" s="410"/>
      <c r="CG63" s="410"/>
      <c r="CH63" s="410"/>
      <c r="CI63" s="410"/>
      <c r="CJ63" s="410"/>
      <c r="CK63" s="410"/>
      <c r="CL63" s="410"/>
      <c r="CM63" s="410"/>
      <c r="CN63" s="410"/>
      <c r="CO63" s="410"/>
      <c r="CP63" s="410"/>
      <c r="CQ63" s="410"/>
      <c r="CR63" s="410"/>
      <c r="CS63" s="410"/>
      <c r="CT63" s="410"/>
      <c r="CU63" s="410"/>
      <c r="CV63" s="410"/>
      <c r="CW63" s="410"/>
      <c r="CX63" s="410"/>
      <c r="CY63" s="410"/>
      <c r="CZ63" s="410"/>
      <c r="DA63" s="410"/>
      <c r="DB63" s="177"/>
    </row>
    <row r="64" spans="2:106" ht="9" customHeight="1">
      <c r="B64" s="168"/>
      <c r="C64" s="408" t="s">
        <v>118</v>
      </c>
      <c r="D64" s="408"/>
      <c r="E64" s="408"/>
      <c r="F64" s="408"/>
      <c r="G64" s="408"/>
      <c r="H64" s="408"/>
      <c r="I64" s="408"/>
      <c r="J64" s="408"/>
      <c r="K64" s="408"/>
      <c r="L64" s="408"/>
      <c r="M64" s="408"/>
      <c r="N64" s="408"/>
      <c r="O64" s="408"/>
      <c r="P64" s="408"/>
      <c r="Q64" s="408"/>
      <c r="R64" s="408"/>
      <c r="S64" s="408"/>
      <c r="T64" s="408"/>
      <c r="U64" s="408"/>
      <c r="V64" s="408"/>
      <c r="W64" s="408"/>
      <c r="X64" s="408"/>
      <c r="Y64" s="408"/>
      <c r="Z64" s="408"/>
      <c r="AA64" s="408"/>
      <c r="AB64" s="408"/>
      <c r="AC64" s="408"/>
      <c r="AD64" s="408"/>
      <c r="AE64" s="408"/>
      <c r="AF64" s="408"/>
      <c r="AG64" s="408"/>
      <c r="AH64" s="408"/>
      <c r="AI64" s="408"/>
      <c r="AJ64" s="408"/>
      <c r="AK64" s="408"/>
      <c r="AL64" s="408"/>
      <c r="AM64" s="408"/>
      <c r="AN64" s="408"/>
      <c r="AO64" s="408"/>
      <c r="AP64" s="408"/>
      <c r="AQ64" s="408"/>
      <c r="AR64" s="408"/>
      <c r="AS64" s="408"/>
      <c r="AT64" s="408"/>
      <c r="AU64" s="408"/>
      <c r="AV64" s="408"/>
      <c r="AW64" s="408"/>
      <c r="AX64" s="408"/>
      <c r="AY64" s="408"/>
      <c r="AZ64" s="408"/>
      <c r="BA64" s="408"/>
      <c r="BB64" s="408"/>
      <c r="BC64" s="408"/>
      <c r="BD64" s="408"/>
      <c r="BE64" s="408"/>
      <c r="BF64" s="408"/>
      <c r="BG64" s="408"/>
      <c r="BH64" s="408"/>
      <c r="BI64" s="408"/>
      <c r="BJ64" s="408"/>
      <c r="BK64" s="408"/>
      <c r="BL64" s="408"/>
      <c r="BM64" s="408"/>
      <c r="BN64" s="408"/>
      <c r="BO64" s="408"/>
      <c r="BP64" s="408"/>
      <c r="BQ64" s="408"/>
      <c r="BR64" s="408"/>
      <c r="BS64" s="408"/>
      <c r="BT64" s="408"/>
      <c r="BU64" s="408"/>
      <c r="BV64" s="408"/>
      <c r="BW64" s="408"/>
      <c r="BX64" s="408"/>
      <c r="BY64" s="408"/>
      <c r="BZ64" s="408"/>
      <c r="CA64" s="408"/>
      <c r="CB64" s="408"/>
      <c r="CC64" s="408"/>
      <c r="CD64" s="408"/>
      <c r="CE64" s="408"/>
      <c r="CF64" s="408"/>
      <c r="CG64" s="408"/>
      <c r="CH64" s="408"/>
      <c r="CI64" s="408"/>
      <c r="CJ64" s="408"/>
      <c r="CK64" s="408"/>
      <c r="CL64" s="408"/>
      <c r="CM64" s="408"/>
      <c r="CN64" s="408"/>
      <c r="CO64" s="408"/>
      <c r="CP64" s="408"/>
      <c r="CQ64" s="408"/>
      <c r="CR64" s="408"/>
      <c r="CS64" s="408"/>
      <c r="CT64" s="408"/>
      <c r="CU64" s="408"/>
      <c r="CV64" s="408"/>
      <c r="CW64" s="408"/>
      <c r="CX64" s="408"/>
      <c r="CY64" s="408"/>
      <c r="CZ64" s="408"/>
      <c r="DA64" s="408"/>
      <c r="DB64" s="177"/>
    </row>
    <row r="65" spans="2:106" ht="9" customHeight="1">
      <c r="B65" s="168"/>
      <c r="C65" s="408" t="s">
        <v>119</v>
      </c>
      <c r="D65" s="408"/>
      <c r="E65" s="408"/>
      <c r="F65" s="408"/>
      <c r="G65" s="408"/>
      <c r="H65" s="408"/>
      <c r="I65" s="408"/>
      <c r="J65" s="408"/>
      <c r="K65" s="408"/>
      <c r="L65" s="408"/>
      <c r="M65" s="408"/>
      <c r="N65" s="408"/>
      <c r="O65" s="408"/>
      <c r="P65" s="408"/>
      <c r="Q65" s="408"/>
      <c r="R65" s="408"/>
      <c r="S65" s="408"/>
      <c r="T65" s="408"/>
      <c r="U65" s="408"/>
      <c r="V65" s="408"/>
      <c r="W65" s="408"/>
      <c r="X65" s="408"/>
      <c r="Y65" s="408"/>
      <c r="Z65" s="408"/>
      <c r="AA65" s="408"/>
      <c r="AB65" s="408"/>
      <c r="AC65" s="408"/>
      <c r="AD65" s="408"/>
      <c r="AE65" s="408"/>
      <c r="AF65" s="408"/>
      <c r="AG65" s="408"/>
      <c r="AH65" s="408"/>
      <c r="AI65" s="408"/>
      <c r="AJ65" s="408"/>
      <c r="AK65" s="408"/>
      <c r="AL65" s="408"/>
      <c r="AM65" s="408"/>
      <c r="AN65" s="408"/>
      <c r="AO65" s="408"/>
      <c r="AP65" s="408"/>
      <c r="AQ65" s="408"/>
      <c r="AR65" s="408"/>
      <c r="AS65" s="408"/>
      <c r="AT65" s="408"/>
      <c r="AU65" s="408"/>
      <c r="AV65" s="408"/>
      <c r="AW65" s="408"/>
      <c r="AX65" s="408"/>
      <c r="AY65" s="408"/>
      <c r="AZ65" s="408"/>
      <c r="BA65" s="408"/>
      <c r="BB65" s="408"/>
      <c r="BC65" s="408"/>
      <c r="BD65" s="408"/>
      <c r="BE65" s="408"/>
      <c r="BF65" s="408"/>
      <c r="BG65" s="408"/>
      <c r="BH65" s="408"/>
      <c r="BI65" s="408"/>
      <c r="BJ65" s="408"/>
      <c r="BK65" s="408"/>
      <c r="BL65" s="408"/>
      <c r="BM65" s="408"/>
      <c r="BN65" s="408"/>
      <c r="BO65" s="408"/>
      <c r="BP65" s="408"/>
      <c r="BQ65" s="408"/>
      <c r="BR65" s="408"/>
      <c r="BS65" s="408"/>
      <c r="BT65" s="408"/>
      <c r="BU65" s="408"/>
      <c r="BV65" s="408"/>
      <c r="BW65" s="408"/>
      <c r="BX65" s="408"/>
      <c r="BY65" s="408"/>
      <c r="BZ65" s="408"/>
      <c r="CA65" s="408"/>
      <c r="CB65" s="408"/>
      <c r="CC65" s="408"/>
      <c r="CD65" s="408"/>
      <c r="CE65" s="408"/>
      <c r="CF65" s="408"/>
      <c r="CG65" s="408"/>
      <c r="CH65" s="408"/>
      <c r="CI65" s="408"/>
      <c r="CJ65" s="408"/>
      <c r="CK65" s="408"/>
      <c r="CL65" s="408"/>
      <c r="CM65" s="408"/>
      <c r="CN65" s="408"/>
      <c r="CO65" s="408"/>
      <c r="CP65" s="408"/>
      <c r="CQ65" s="408"/>
      <c r="CR65" s="408"/>
      <c r="CS65" s="408"/>
      <c r="CT65" s="408"/>
      <c r="CU65" s="408"/>
      <c r="CV65" s="408"/>
      <c r="CW65" s="408"/>
      <c r="CX65" s="408"/>
      <c r="CY65" s="408"/>
      <c r="CZ65" s="408"/>
      <c r="DA65" s="408"/>
      <c r="DB65" s="177"/>
    </row>
    <row r="66" spans="2:106" ht="9" customHeight="1">
      <c r="B66" s="168"/>
      <c r="C66" s="408" t="s">
        <v>120</v>
      </c>
      <c r="D66" s="408"/>
      <c r="E66" s="408"/>
      <c r="F66" s="408"/>
      <c r="G66" s="408"/>
      <c r="H66" s="408"/>
      <c r="I66" s="408"/>
      <c r="J66" s="408"/>
      <c r="K66" s="408"/>
      <c r="L66" s="408"/>
      <c r="M66" s="408"/>
      <c r="N66" s="408"/>
      <c r="O66" s="408"/>
      <c r="P66" s="408"/>
      <c r="Q66" s="408"/>
      <c r="R66" s="408"/>
      <c r="S66" s="408"/>
      <c r="T66" s="408"/>
      <c r="U66" s="408"/>
      <c r="V66" s="408"/>
      <c r="W66" s="408"/>
      <c r="X66" s="408"/>
      <c r="Y66" s="408"/>
      <c r="Z66" s="408"/>
      <c r="AA66" s="408"/>
      <c r="AB66" s="408"/>
      <c r="AC66" s="408"/>
      <c r="AD66" s="408"/>
      <c r="AE66" s="408"/>
      <c r="AF66" s="408"/>
      <c r="AG66" s="408"/>
      <c r="AH66" s="408"/>
      <c r="AI66" s="408"/>
      <c r="AJ66" s="408"/>
      <c r="AK66" s="408"/>
      <c r="AL66" s="408"/>
      <c r="AM66" s="408"/>
      <c r="AN66" s="408"/>
      <c r="AO66" s="408"/>
      <c r="AP66" s="408"/>
      <c r="AQ66" s="408"/>
      <c r="AR66" s="408"/>
      <c r="AS66" s="408"/>
      <c r="AT66" s="408"/>
      <c r="AU66" s="408"/>
      <c r="AV66" s="408"/>
      <c r="AW66" s="408"/>
      <c r="AX66" s="408"/>
      <c r="AY66" s="408"/>
      <c r="AZ66" s="408"/>
      <c r="BA66" s="408"/>
      <c r="BB66" s="408"/>
      <c r="BC66" s="408"/>
      <c r="BD66" s="408"/>
      <c r="BE66" s="408"/>
      <c r="BF66" s="408"/>
      <c r="BG66" s="408"/>
      <c r="BH66" s="408"/>
      <c r="BI66" s="408"/>
      <c r="BJ66" s="408"/>
      <c r="BK66" s="408"/>
      <c r="BL66" s="408"/>
      <c r="BM66" s="408"/>
      <c r="BN66" s="408"/>
      <c r="BO66" s="408"/>
      <c r="BP66" s="408"/>
      <c r="BQ66" s="408"/>
      <c r="BR66" s="408"/>
      <c r="BS66" s="408"/>
      <c r="BT66" s="408"/>
      <c r="BU66" s="408"/>
      <c r="BV66" s="408"/>
      <c r="BW66" s="408"/>
      <c r="BX66" s="408"/>
      <c r="BY66" s="408"/>
      <c r="BZ66" s="408"/>
      <c r="CA66" s="408"/>
      <c r="CB66" s="408"/>
      <c r="CC66" s="408"/>
      <c r="CD66" s="408"/>
      <c r="CE66" s="408"/>
      <c r="CF66" s="408"/>
      <c r="CG66" s="408"/>
      <c r="CH66" s="408"/>
      <c r="CI66" s="408"/>
      <c r="CJ66" s="408"/>
      <c r="CK66" s="408"/>
      <c r="CL66" s="408"/>
      <c r="CM66" s="408"/>
      <c r="CN66" s="408"/>
      <c r="CO66" s="408"/>
      <c r="CP66" s="408"/>
      <c r="CQ66" s="408"/>
      <c r="CR66" s="408"/>
      <c r="CS66" s="408"/>
      <c r="CT66" s="408"/>
      <c r="CU66" s="408"/>
      <c r="CV66" s="408"/>
      <c r="CW66" s="408"/>
      <c r="CX66" s="408"/>
      <c r="CY66" s="408"/>
      <c r="CZ66" s="408"/>
      <c r="DA66" s="408"/>
      <c r="DB66" s="177"/>
    </row>
    <row r="67" spans="2:106" ht="13.9" customHeight="1">
      <c r="B67" s="168"/>
      <c r="C67" s="410" t="s">
        <v>121</v>
      </c>
      <c r="D67" s="410"/>
      <c r="E67" s="410"/>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0"/>
      <c r="AJ67" s="410"/>
      <c r="AK67" s="410"/>
      <c r="AL67" s="410"/>
      <c r="AM67" s="410"/>
      <c r="AN67" s="410"/>
      <c r="AO67" s="410"/>
      <c r="AP67" s="410"/>
      <c r="AQ67" s="410"/>
      <c r="AR67" s="410"/>
      <c r="AS67" s="410"/>
      <c r="AT67" s="410"/>
      <c r="AU67" s="410"/>
      <c r="AV67" s="410"/>
      <c r="AW67" s="410"/>
      <c r="AX67" s="410"/>
      <c r="AY67" s="410"/>
      <c r="AZ67" s="410"/>
      <c r="BA67" s="410"/>
      <c r="BB67" s="410"/>
      <c r="BC67" s="410"/>
      <c r="BD67" s="410"/>
      <c r="BE67" s="410"/>
      <c r="BF67" s="410"/>
      <c r="BG67" s="410"/>
      <c r="BH67" s="410"/>
      <c r="BI67" s="410"/>
      <c r="BJ67" s="410"/>
      <c r="BK67" s="410"/>
      <c r="BL67" s="410"/>
      <c r="BM67" s="410"/>
      <c r="BN67" s="410"/>
      <c r="BO67" s="410"/>
      <c r="BP67" s="410"/>
      <c r="BQ67" s="410"/>
      <c r="BR67" s="410"/>
      <c r="BS67" s="410"/>
      <c r="BT67" s="410"/>
      <c r="BU67" s="410"/>
      <c r="BV67" s="410"/>
      <c r="BW67" s="410"/>
      <c r="BX67" s="410"/>
      <c r="BY67" s="410"/>
      <c r="BZ67" s="410"/>
      <c r="CA67" s="410"/>
      <c r="CB67" s="410"/>
      <c r="CC67" s="410"/>
      <c r="CD67" s="410"/>
      <c r="CE67" s="410"/>
      <c r="CF67" s="410"/>
      <c r="CG67" s="410"/>
      <c r="CH67" s="410"/>
      <c r="CI67" s="410"/>
      <c r="CJ67" s="410"/>
      <c r="CK67" s="410"/>
      <c r="CL67" s="410"/>
      <c r="CM67" s="410"/>
      <c r="CN67" s="410"/>
      <c r="CO67" s="410"/>
      <c r="CP67" s="410"/>
      <c r="CQ67" s="410"/>
      <c r="CR67" s="410"/>
      <c r="CS67" s="410"/>
      <c r="CT67" s="410"/>
      <c r="CU67" s="410"/>
      <c r="CV67" s="410"/>
      <c r="CW67" s="410"/>
      <c r="CX67" s="410"/>
      <c r="CY67" s="410"/>
      <c r="CZ67" s="410"/>
      <c r="DA67" s="410"/>
      <c r="DB67" s="177"/>
    </row>
    <row r="68" spans="2:106" ht="9" customHeight="1">
      <c r="B68" s="168"/>
      <c r="C68" s="242" t="s">
        <v>86</v>
      </c>
      <c r="D68" s="409" t="s">
        <v>122</v>
      </c>
      <c r="E68" s="409"/>
      <c r="F68" s="409"/>
      <c r="G68" s="409"/>
      <c r="H68" s="409"/>
      <c r="I68" s="409"/>
      <c r="J68" s="409"/>
      <c r="K68" s="409"/>
      <c r="L68" s="409"/>
      <c r="M68" s="409"/>
      <c r="N68" s="409"/>
      <c r="O68" s="409"/>
      <c r="P68" s="409"/>
      <c r="Q68" s="409"/>
      <c r="R68" s="409"/>
      <c r="S68" s="409"/>
      <c r="T68" s="409"/>
      <c r="U68" s="409"/>
      <c r="V68" s="409"/>
      <c r="W68" s="409"/>
      <c r="X68" s="409"/>
      <c r="Y68" s="409"/>
      <c r="Z68" s="409"/>
      <c r="AA68" s="409"/>
      <c r="AB68" s="409"/>
      <c r="AC68" s="409"/>
      <c r="AD68" s="409"/>
      <c r="AE68" s="409"/>
      <c r="AF68" s="409"/>
      <c r="AG68" s="409"/>
      <c r="AH68" s="409"/>
      <c r="AI68" s="409"/>
      <c r="AJ68" s="409"/>
      <c r="AK68" s="409"/>
      <c r="AL68" s="409"/>
      <c r="AM68" s="409"/>
      <c r="AN68" s="409"/>
      <c r="AO68" s="409"/>
      <c r="AP68" s="409"/>
      <c r="AQ68" s="409"/>
      <c r="AR68" s="409"/>
      <c r="AS68" s="409"/>
      <c r="AT68" s="409"/>
      <c r="AU68" s="409"/>
      <c r="AV68" s="409"/>
      <c r="AW68" s="409"/>
      <c r="AX68" s="409"/>
      <c r="AY68" s="409"/>
      <c r="AZ68" s="409"/>
      <c r="BA68" s="409"/>
      <c r="BB68" s="409"/>
      <c r="BC68" s="409"/>
      <c r="BD68" s="409"/>
      <c r="BE68" s="409"/>
      <c r="BF68" s="409"/>
      <c r="BG68" s="409"/>
      <c r="BH68" s="409"/>
      <c r="BI68" s="409"/>
      <c r="BJ68" s="409"/>
      <c r="BK68" s="409"/>
      <c r="BL68" s="409"/>
      <c r="BM68" s="409"/>
      <c r="BN68" s="409"/>
      <c r="BO68" s="409"/>
      <c r="BP68" s="409"/>
      <c r="BQ68" s="409"/>
      <c r="BR68" s="409"/>
      <c r="BS68" s="409"/>
      <c r="BT68" s="409"/>
      <c r="BU68" s="409"/>
      <c r="BV68" s="409"/>
      <c r="BW68" s="409"/>
      <c r="BX68" s="409"/>
      <c r="BY68" s="409"/>
      <c r="BZ68" s="409"/>
      <c r="CA68" s="409"/>
      <c r="CB68" s="409"/>
      <c r="CC68" s="409"/>
      <c r="CD68" s="409"/>
      <c r="CE68" s="409"/>
      <c r="CF68" s="409"/>
      <c r="CG68" s="409"/>
      <c r="CH68" s="409"/>
      <c r="CI68" s="409"/>
      <c r="CJ68" s="409"/>
      <c r="CK68" s="409"/>
      <c r="CL68" s="409"/>
      <c r="CM68" s="409"/>
      <c r="CN68" s="409"/>
      <c r="CO68" s="409"/>
      <c r="CP68" s="409"/>
      <c r="CQ68" s="409"/>
      <c r="CR68" s="409"/>
      <c r="CS68" s="409"/>
      <c r="CT68" s="409"/>
      <c r="CU68" s="409"/>
      <c r="CV68" s="409"/>
      <c r="CW68" s="409"/>
      <c r="CX68" s="409"/>
      <c r="CY68" s="409"/>
      <c r="CZ68" s="409"/>
      <c r="DA68" s="409"/>
      <c r="DB68" s="177"/>
    </row>
    <row r="69" spans="2:106" ht="9" customHeight="1">
      <c r="B69" s="168"/>
      <c r="C69" s="171"/>
      <c r="D69" s="409" t="s">
        <v>123</v>
      </c>
      <c r="E69" s="409"/>
      <c r="F69" s="409"/>
      <c r="G69" s="409"/>
      <c r="H69" s="409"/>
      <c r="I69" s="409"/>
      <c r="J69" s="40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409"/>
      <c r="AH69" s="409"/>
      <c r="AI69" s="409"/>
      <c r="AJ69" s="409"/>
      <c r="AK69" s="409"/>
      <c r="AL69" s="409"/>
      <c r="AM69" s="409"/>
      <c r="AN69" s="409"/>
      <c r="AO69" s="409"/>
      <c r="AP69" s="409"/>
      <c r="AQ69" s="409"/>
      <c r="AR69" s="409"/>
      <c r="AS69" s="409"/>
      <c r="AT69" s="409"/>
      <c r="AU69" s="409"/>
      <c r="AV69" s="409"/>
      <c r="AW69" s="409"/>
      <c r="AX69" s="409"/>
      <c r="AY69" s="409"/>
      <c r="AZ69" s="409"/>
      <c r="BA69" s="409"/>
      <c r="BB69" s="409"/>
      <c r="BC69" s="409"/>
      <c r="BD69" s="409"/>
      <c r="BE69" s="409"/>
      <c r="BF69" s="409"/>
      <c r="BG69" s="409"/>
      <c r="BH69" s="409"/>
      <c r="BI69" s="409"/>
      <c r="BJ69" s="409"/>
      <c r="BK69" s="409"/>
      <c r="BL69" s="409"/>
      <c r="BM69" s="409"/>
      <c r="BN69" s="409"/>
      <c r="BO69" s="409"/>
      <c r="BP69" s="409"/>
      <c r="BQ69" s="409"/>
      <c r="BR69" s="409"/>
      <c r="BS69" s="409"/>
      <c r="BT69" s="409"/>
      <c r="BU69" s="409"/>
      <c r="BV69" s="409"/>
      <c r="BW69" s="409"/>
      <c r="BX69" s="409"/>
      <c r="BY69" s="409"/>
      <c r="BZ69" s="409"/>
      <c r="CA69" s="409"/>
      <c r="CB69" s="409"/>
      <c r="CC69" s="409"/>
      <c r="CD69" s="409"/>
      <c r="CE69" s="409"/>
      <c r="CF69" s="409"/>
      <c r="CG69" s="409"/>
      <c r="CH69" s="409"/>
      <c r="CI69" s="409"/>
      <c r="CJ69" s="409"/>
      <c r="CK69" s="409"/>
      <c r="CL69" s="409"/>
      <c r="CM69" s="409"/>
      <c r="CN69" s="409"/>
      <c r="CO69" s="409"/>
      <c r="CP69" s="409"/>
      <c r="CQ69" s="409"/>
      <c r="CR69" s="409"/>
      <c r="CS69" s="409"/>
      <c r="CT69" s="409"/>
      <c r="CU69" s="409"/>
      <c r="CV69" s="409"/>
      <c r="CW69" s="409"/>
      <c r="CX69" s="409"/>
      <c r="CY69" s="409"/>
      <c r="CZ69" s="409"/>
      <c r="DA69" s="409"/>
      <c r="DB69" s="177"/>
    </row>
    <row r="70" spans="2:106" ht="9" customHeight="1">
      <c r="B70" s="168"/>
      <c r="C70" s="171"/>
      <c r="D70" s="409" t="s">
        <v>124</v>
      </c>
      <c r="E70" s="409"/>
      <c r="F70" s="409"/>
      <c r="G70" s="409"/>
      <c r="H70" s="409"/>
      <c r="I70" s="409"/>
      <c r="J70" s="409"/>
      <c r="K70" s="409"/>
      <c r="L70" s="409"/>
      <c r="M70" s="409"/>
      <c r="N70" s="409"/>
      <c r="O70" s="409"/>
      <c r="P70" s="409"/>
      <c r="Q70" s="409"/>
      <c r="R70" s="409"/>
      <c r="S70" s="409"/>
      <c r="T70" s="409"/>
      <c r="U70" s="409"/>
      <c r="V70" s="409"/>
      <c r="W70" s="409"/>
      <c r="X70" s="409"/>
      <c r="Y70" s="409"/>
      <c r="Z70" s="409"/>
      <c r="AA70" s="409"/>
      <c r="AB70" s="409"/>
      <c r="AC70" s="409"/>
      <c r="AD70" s="409"/>
      <c r="AE70" s="409"/>
      <c r="AF70" s="409"/>
      <c r="AG70" s="409"/>
      <c r="AH70" s="409"/>
      <c r="AI70" s="409"/>
      <c r="AJ70" s="409"/>
      <c r="AK70" s="409"/>
      <c r="AL70" s="409"/>
      <c r="AM70" s="409"/>
      <c r="AN70" s="409"/>
      <c r="AO70" s="409"/>
      <c r="AP70" s="409"/>
      <c r="AQ70" s="409"/>
      <c r="AR70" s="409"/>
      <c r="AS70" s="409"/>
      <c r="AT70" s="409"/>
      <c r="AU70" s="409"/>
      <c r="AV70" s="409"/>
      <c r="AW70" s="409"/>
      <c r="AX70" s="409"/>
      <c r="AY70" s="409"/>
      <c r="AZ70" s="409"/>
      <c r="BA70" s="409"/>
      <c r="BB70" s="409"/>
      <c r="BC70" s="409"/>
      <c r="BD70" s="409"/>
      <c r="BE70" s="409"/>
      <c r="BF70" s="409"/>
      <c r="BG70" s="409"/>
      <c r="BH70" s="409"/>
      <c r="BI70" s="409"/>
      <c r="BJ70" s="409"/>
      <c r="BK70" s="409"/>
      <c r="BL70" s="409"/>
      <c r="BM70" s="409"/>
      <c r="BN70" s="409"/>
      <c r="BO70" s="409"/>
      <c r="BP70" s="409"/>
      <c r="BQ70" s="409"/>
      <c r="BR70" s="409"/>
      <c r="BS70" s="409"/>
      <c r="BT70" s="409"/>
      <c r="BU70" s="409"/>
      <c r="BV70" s="409"/>
      <c r="BW70" s="409"/>
      <c r="BX70" s="409"/>
      <c r="BY70" s="409"/>
      <c r="BZ70" s="409"/>
      <c r="CA70" s="409"/>
      <c r="CB70" s="409"/>
      <c r="CC70" s="409"/>
      <c r="CD70" s="409"/>
      <c r="CE70" s="409"/>
      <c r="CF70" s="409"/>
      <c r="CG70" s="409"/>
      <c r="CH70" s="409"/>
      <c r="CI70" s="409"/>
      <c r="CJ70" s="409"/>
      <c r="CK70" s="409"/>
      <c r="CL70" s="409"/>
      <c r="CM70" s="409"/>
      <c r="CN70" s="409"/>
      <c r="CO70" s="409"/>
      <c r="CP70" s="409"/>
      <c r="CQ70" s="409"/>
      <c r="CR70" s="409"/>
      <c r="CS70" s="409"/>
      <c r="CT70" s="409"/>
      <c r="CU70" s="409"/>
      <c r="CV70" s="409"/>
      <c r="CW70" s="409"/>
      <c r="CX70" s="409"/>
      <c r="CY70" s="409"/>
      <c r="CZ70" s="409"/>
      <c r="DA70" s="409"/>
      <c r="DB70" s="177"/>
    </row>
    <row r="71" spans="2:106" ht="9" customHeight="1">
      <c r="B71" s="168"/>
      <c r="C71" s="242" t="s">
        <v>86</v>
      </c>
      <c r="D71" s="409" t="s">
        <v>125</v>
      </c>
      <c r="E71" s="409"/>
      <c r="F71" s="409"/>
      <c r="G71" s="409"/>
      <c r="H71" s="409"/>
      <c r="I71" s="409"/>
      <c r="J71" s="409"/>
      <c r="K71" s="409"/>
      <c r="L71" s="409"/>
      <c r="M71" s="409"/>
      <c r="N71" s="409"/>
      <c r="O71" s="409"/>
      <c r="P71" s="409"/>
      <c r="Q71" s="409"/>
      <c r="R71" s="409"/>
      <c r="S71" s="409"/>
      <c r="T71" s="409"/>
      <c r="U71" s="409"/>
      <c r="V71" s="409"/>
      <c r="W71" s="409"/>
      <c r="X71" s="409"/>
      <c r="Y71" s="409"/>
      <c r="Z71" s="409"/>
      <c r="AA71" s="409"/>
      <c r="AB71" s="409"/>
      <c r="AC71" s="409"/>
      <c r="AD71" s="409"/>
      <c r="AE71" s="409"/>
      <c r="AF71" s="409"/>
      <c r="AG71" s="409"/>
      <c r="AH71" s="409"/>
      <c r="AI71" s="409"/>
      <c r="AJ71" s="409"/>
      <c r="AK71" s="409"/>
      <c r="AL71" s="409"/>
      <c r="AM71" s="409"/>
      <c r="AN71" s="409"/>
      <c r="AO71" s="409"/>
      <c r="AP71" s="409"/>
      <c r="AQ71" s="409"/>
      <c r="AR71" s="409"/>
      <c r="AS71" s="409"/>
      <c r="AT71" s="409"/>
      <c r="AU71" s="409"/>
      <c r="AV71" s="409"/>
      <c r="AW71" s="409"/>
      <c r="AX71" s="409"/>
      <c r="AY71" s="409"/>
      <c r="AZ71" s="409"/>
      <c r="BA71" s="409"/>
      <c r="BB71" s="409"/>
      <c r="BC71" s="409"/>
      <c r="BD71" s="409"/>
      <c r="BE71" s="409"/>
      <c r="BF71" s="409"/>
      <c r="BG71" s="409"/>
      <c r="BH71" s="409"/>
      <c r="BI71" s="409"/>
      <c r="BJ71" s="409"/>
      <c r="BK71" s="409"/>
      <c r="BL71" s="409"/>
      <c r="BM71" s="409"/>
      <c r="BN71" s="409"/>
      <c r="BO71" s="409"/>
      <c r="BP71" s="409"/>
      <c r="BQ71" s="409"/>
      <c r="BR71" s="409"/>
      <c r="BS71" s="409"/>
      <c r="BT71" s="409"/>
      <c r="BU71" s="409"/>
      <c r="BV71" s="409"/>
      <c r="BW71" s="409"/>
      <c r="BX71" s="409"/>
      <c r="BY71" s="409"/>
      <c r="BZ71" s="409"/>
      <c r="CA71" s="409"/>
      <c r="CB71" s="409"/>
      <c r="CC71" s="409"/>
      <c r="CD71" s="409"/>
      <c r="CE71" s="409"/>
      <c r="CF71" s="409"/>
      <c r="CG71" s="409"/>
      <c r="CH71" s="409"/>
      <c r="CI71" s="409"/>
      <c r="CJ71" s="409"/>
      <c r="CK71" s="409"/>
      <c r="CL71" s="409"/>
      <c r="CM71" s="409"/>
      <c r="CN71" s="409"/>
      <c r="CO71" s="409"/>
      <c r="CP71" s="409"/>
      <c r="CQ71" s="409"/>
      <c r="CR71" s="409"/>
      <c r="CS71" s="409"/>
      <c r="CT71" s="409"/>
      <c r="CU71" s="409"/>
      <c r="CV71" s="409"/>
      <c r="CW71" s="409"/>
      <c r="CX71" s="409"/>
      <c r="CY71" s="409"/>
      <c r="CZ71" s="409"/>
      <c r="DA71" s="409"/>
      <c r="DB71" s="177"/>
    </row>
    <row r="72" spans="2:106" ht="9" customHeight="1">
      <c r="B72" s="168"/>
      <c r="C72" s="171"/>
      <c r="D72" s="409" t="s">
        <v>126</v>
      </c>
      <c r="E72" s="409"/>
      <c r="F72" s="409"/>
      <c r="G72" s="409"/>
      <c r="H72" s="409"/>
      <c r="I72" s="409"/>
      <c r="J72" s="409"/>
      <c r="K72" s="409"/>
      <c r="L72" s="409"/>
      <c r="M72" s="409"/>
      <c r="N72" s="409"/>
      <c r="O72" s="409"/>
      <c r="P72" s="409"/>
      <c r="Q72" s="409"/>
      <c r="R72" s="409"/>
      <c r="S72" s="409"/>
      <c r="T72" s="409"/>
      <c r="U72" s="409"/>
      <c r="V72" s="409"/>
      <c r="W72" s="409"/>
      <c r="X72" s="409"/>
      <c r="Y72" s="409"/>
      <c r="Z72" s="409"/>
      <c r="AA72" s="409"/>
      <c r="AB72" s="409"/>
      <c r="AC72" s="409"/>
      <c r="AD72" s="409"/>
      <c r="AE72" s="409"/>
      <c r="AF72" s="409"/>
      <c r="AG72" s="409"/>
      <c r="AH72" s="409"/>
      <c r="AI72" s="409"/>
      <c r="AJ72" s="409"/>
      <c r="AK72" s="409"/>
      <c r="AL72" s="409"/>
      <c r="AM72" s="409"/>
      <c r="AN72" s="409"/>
      <c r="AO72" s="409"/>
      <c r="AP72" s="409"/>
      <c r="AQ72" s="409"/>
      <c r="AR72" s="409"/>
      <c r="AS72" s="409"/>
      <c r="AT72" s="409"/>
      <c r="AU72" s="409"/>
      <c r="AV72" s="409"/>
      <c r="AW72" s="409"/>
      <c r="AX72" s="409"/>
      <c r="AY72" s="409"/>
      <c r="AZ72" s="409"/>
      <c r="BA72" s="409"/>
      <c r="BB72" s="409"/>
      <c r="BC72" s="409"/>
      <c r="BD72" s="409"/>
      <c r="BE72" s="409"/>
      <c r="BF72" s="409"/>
      <c r="BG72" s="409"/>
      <c r="BH72" s="409"/>
      <c r="BI72" s="409"/>
      <c r="BJ72" s="409"/>
      <c r="BK72" s="409"/>
      <c r="BL72" s="409"/>
      <c r="BM72" s="409"/>
      <c r="BN72" s="409"/>
      <c r="BO72" s="409"/>
      <c r="BP72" s="409"/>
      <c r="BQ72" s="409"/>
      <c r="BR72" s="409"/>
      <c r="BS72" s="409"/>
      <c r="BT72" s="409"/>
      <c r="BU72" s="409"/>
      <c r="BV72" s="409"/>
      <c r="BW72" s="409"/>
      <c r="BX72" s="409"/>
      <c r="BY72" s="409"/>
      <c r="BZ72" s="409"/>
      <c r="CA72" s="409"/>
      <c r="CB72" s="409"/>
      <c r="CC72" s="409"/>
      <c r="CD72" s="409"/>
      <c r="CE72" s="409"/>
      <c r="CF72" s="409"/>
      <c r="CG72" s="409"/>
      <c r="CH72" s="409"/>
      <c r="CI72" s="409"/>
      <c r="CJ72" s="409"/>
      <c r="CK72" s="409"/>
      <c r="CL72" s="409"/>
      <c r="CM72" s="409"/>
      <c r="CN72" s="409"/>
      <c r="CO72" s="409"/>
      <c r="CP72" s="409"/>
      <c r="CQ72" s="409"/>
      <c r="CR72" s="409"/>
      <c r="CS72" s="409"/>
      <c r="CT72" s="409"/>
      <c r="CU72" s="409"/>
      <c r="CV72" s="409"/>
      <c r="CW72" s="409"/>
      <c r="CX72" s="409"/>
      <c r="CY72" s="409"/>
      <c r="CZ72" s="409"/>
      <c r="DA72" s="409"/>
      <c r="DB72" s="177"/>
    </row>
    <row r="73" spans="2:106" ht="9" customHeight="1">
      <c r="B73" s="168"/>
      <c r="C73" s="242" t="s">
        <v>86</v>
      </c>
      <c r="D73" s="409" t="s">
        <v>127</v>
      </c>
      <c r="E73" s="409"/>
      <c r="F73" s="409"/>
      <c r="G73" s="409"/>
      <c r="H73" s="409"/>
      <c r="I73" s="409"/>
      <c r="J73" s="409"/>
      <c r="K73" s="409"/>
      <c r="L73" s="409"/>
      <c r="M73" s="409"/>
      <c r="N73" s="409"/>
      <c r="O73" s="409"/>
      <c r="P73" s="409"/>
      <c r="Q73" s="409"/>
      <c r="R73" s="409"/>
      <c r="S73" s="409"/>
      <c r="T73" s="409"/>
      <c r="U73" s="409"/>
      <c r="V73" s="409"/>
      <c r="W73" s="409"/>
      <c r="X73" s="409"/>
      <c r="Y73" s="409"/>
      <c r="Z73" s="409"/>
      <c r="AA73" s="409"/>
      <c r="AB73" s="409"/>
      <c r="AC73" s="409"/>
      <c r="AD73" s="409"/>
      <c r="AE73" s="409"/>
      <c r="AF73" s="409"/>
      <c r="AG73" s="409"/>
      <c r="AH73" s="409"/>
      <c r="AI73" s="409"/>
      <c r="AJ73" s="409"/>
      <c r="AK73" s="409"/>
      <c r="AL73" s="409"/>
      <c r="AM73" s="409"/>
      <c r="AN73" s="409"/>
      <c r="AO73" s="409"/>
      <c r="AP73" s="409"/>
      <c r="AQ73" s="409"/>
      <c r="AR73" s="409"/>
      <c r="AS73" s="409"/>
      <c r="AT73" s="409"/>
      <c r="AU73" s="409"/>
      <c r="AV73" s="409"/>
      <c r="AW73" s="409"/>
      <c r="AX73" s="409"/>
      <c r="AY73" s="409"/>
      <c r="AZ73" s="409"/>
      <c r="BA73" s="409"/>
      <c r="BB73" s="409"/>
      <c r="BC73" s="409"/>
      <c r="BD73" s="409"/>
      <c r="BE73" s="409"/>
      <c r="BF73" s="409"/>
      <c r="BG73" s="409"/>
      <c r="BH73" s="409"/>
      <c r="BI73" s="409"/>
      <c r="BJ73" s="409"/>
      <c r="BK73" s="409"/>
      <c r="BL73" s="409"/>
      <c r="BM73" s="409"/>
      <c r="BN73" s="409"/>
      <c r="BO73" s="409"/>
      <c r="BP73" s="409"/>
      <c r="BQ73" s="409"/>
      <c r="BR73" s="409"/>
      <c r="BS73" s="409"/>
      <c r="BT73" s="409"/>
      <c r="BU73" s="409"/>
      <c r="BV73" s="409"/>
      <c r="BW73" s="409"/>
      <c r="BX73" s="409"/>
      <c r="BY73" s="409"/>
      <c r="BZ73" s="409"/>
      <c r="CA73" s="409"/>
      <c r="CB73" s="409"/>
      <c r="CC73" s="409"/>
      <c r="CD73" s="409"/>
      <c r="CE73" s="409"/>
      <c r="CF73" s="409"/>
      <c r="CG73" s="409"/>
      <c r="CH73" s="409"/>
      <c r="CI73" s="409"/>
      <c r="CJ73" s="409"/>
      <c r="CK73" s="409"/>
      <c r="CL73" s="409"/>
      <c r="CM73" s="409"/>
      <c r="CN73" s="409"/>
      <c r="CO73" s="409"/>
      <c r="CP73" s="409"/>
      <c r="CQ73" s="409"/>
      <c r="CR73" s="409"/>
      <c r="CS73" s="409"/>
      <c r="CT73" s="409"/>
      <c r="CU73" s="409"/>
      <c r="CV73" s="409"/>
      <c r="CW73" s="409"/>
      <c r="CX73" s="409"/>
      <c r="CY73" s="409"/>
      <c r="CZ73" s="409"/>
      <c r="DA73" s="409"/>
      <c r="DB73" s="177"/>
    </row>
    <row r="74" spans="2:106" ht="9" customHeight="1">
      <c r="B74" s="168"/>
      <c r="C74" s="171"/>
      <c r="D74" s="409" t="s">
        <v>128</v>
      </c>
      <c r="E74" s="409"/>
      <c r="F74" s="409"/>
      <c r="G74" s="409"/>
      <c r="H74" s="409"/>
      <c r="I74" s="409"/>
      <c r="J74" s="409"/>
      <c r="K74" s="409"/>
      <c r="L74" s="409"/>
      <c r="M74" s="409"/>
      <c r="N74" s="409"/>
      <c r="O74" s="409"/>
      <c r="P74" s="409"/>
      <c r="Q74" s="409"/>
      <c r="R74" s="409"/>
      <c r="S74" s="409"/>
      <c r="T74" s="409"/>
      <c r="U74" s="409"/>
      <c r="V74" s="409"/>
      <c r="W74" s="409"/>
      <c r="X74" s="409"/>
      <c r="Y74" s="409"/>
      <c r="Z74" s="409"/>
      <c r="AA74" s="409"/>
      <c r="AB74" s="409"/>
      <c r="AC74" s="409"/>
      <c r="AD74" s="409"/>
      <c r="AE74" s="409"/>
      <c r="AF74" s="409"/>
      <c r="AG74" s="409"/>
      <c r="AH74" s="409"/>
      <c r="AI74" s="409"/>
      <c r="AJ74" s="409"/>
      <c r="AK74" s="409"/>
      <c r="AL74" s="409"/>
      <c r="AM74" s="409"/>
      <c r="AN74" s="409"/>
      <c r="AO74" s="409"/>
      <c r="AP74" s="409"/>
      <c r="AQ74" s="409"/>
      <c r="AR74" s="409"/>
      <c r="AS74" s="409"/>
      <c r="AT74" s="409"/>
      <c r="AU74" s="409"/>
      <c r="AV74" s="409"/>
      <c r="AW74" s="409"/>
      <c r="AX74" s="409"/>
      <c r="AY74" s="409"/>
      <c r="AZ74" s="409"/>
      <c r="BA74" s="409"/>
      <c r="BB74" s="409"/>
      <c r="BC74" s="409"/>
      <c r="BD74" s="409"/>
      <c r="BE74" s="409"/>
      <c r="BF74" s="409"/>
      <c r="BG74" s="409"/>
      <c r="BH74" s="409"/>
      <c r="BI74" s="409"/>
      <c r="BJ74" s="409"/>
      <c r="BK74" s="409"/>
      <c r="BL74" s="409"/>
      <c r="BM74" s="409"/>
      <c r="BN74" s="409"/>
      <c r="BO74" s="409"/>
      <c r="BP74" s="409"/>
      <c r="BQ74" s="409"/>
      <c r="BR74" s="409"/>
      <c r="BS74" s="409"/>
      <c r="BT74" s="409"/>
      <c r="BU74" s="409"/>
      <c r="BV74" s="409"/>
      <c r="BW74" s="409"/>
      <c r="BX74" s="409"/>
      <c r="BY74" s="409"/>
      <c r="BZ74" s="409"/>
      <c r="CA74" s="409"/>
      <c r="CB74" s="409"/>
      <c r="CC74" s="409"/>
      <c r="CD74" s="409"/>
      <c r="CE74" s="409"/>
      <c r="CF74" s="409"/>
      <c r="CG74" s="409"/>
      <c r="CH74" s="409"/>
      <c r="CI74" s="409"/>
      <c r="CJ74" s="409"/>
      <c r="CK74" s="409"/>
      <c r="CL74" s="409"/>
      <c r="CM74" s="409"/>
      <c r="CN74" s="409"/>
      <c r="CO74" s="409"/>
      <c r="CP74" s="409"/>
      <c r="CQ74" s="409"/>
      <c r="CR74" s="409"/>
      <c r="CS74" s="409"/>
      <c r="CT74" s="409"/>
      <c r="CU74" s="409"/>
      <c r="CV74" s="409"/>
      <c r="CW74" s="409"/>
      <c r="CX74" s="409"/>
      <c r="CY74" s="409"/>
      <c r="CZ74" s="409"/>
      <c r="DA74" s="409"/>
      <c r="DB74" s="177"/>
    </row>
    <row r="75" spans="2:106" ht="9" customHeight="1">
      <c r="B75" s="178"/>
      <c r="C75" s="179"/>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c r="AE75" s="180"/>
      <c r="AF75" s="180"/>
      <c r="AG75" s="180"/>
      <c r="AH75" s="180"/>
      <c r="AI75" s="180"/>
      <c r="AJ75" s="180"/>
      <c r="AK75" s="180"/>
      <c r="AL75" s="180"/>
      <c r="AM75" s="180"/>
      <c r="AN75" s="180"/>
      <c r="AO75" s="180"/>
      <c r="AP75" s="180"/>
      <c r="AQ75" s="180"/>
      <c r="AR75" s="180"/>
      <c r="AS75" s="180"/>
      <c r="AT75" s="180"/>
      <c r="AU75" s="180"/>
      <c r="AV75" s="180"/>
      <c r="AW75" s="180"/>
      <c r="AX75" s="180"/>
      <c r="AY75" s="180"/>
      <c r="AZ75" s="180"/>
      <c r="BA75" s="180"/>
      <c r="BB75" s="180"/>
      <c r="BC75" s="180"/>
      <c r="BD75" s="180"/>
      <c r="BE75" s="180"/>
      <c r="BF75" s="180"/>
      <c r="BG75" s="180"/>
      <c r="BH75" s="180"/>
      <c r="BI75" s="180"/>
      <c r="BJ75" s="180"/>
      <c r="BK75" s="180"/>
      <c r="BL75" s="180"/>
      <c r="BM75" s="180"/>
      <c r="BN75" s="180"/>
      <c r="BO75" s="180"/>
      <c r="BP75" s="180"/>
      <c r="BQ75" s="180"/>
      <c r="BR75" s="180"/>
      <c r="BS75" s="180"/>
      <c r="BT75" s="180"/>
      <c r="BU75" s="180"/>
      <c r="BV75" s="180"/>
      <c r="BW75" s="180"/>
      <c r="BX75" s="180"/>
      <c r="BY75" s="180"/>
      <c r="BZ75" s="180"/>
      <c r="CA75" s="180"/>
      <c r="CB75" s="180"/>
      <c r="CC75" s="180"/>
      <c r="CD75" s="180"/>
      <c r="CE75" s="180"/>
      <c r="CF75" s="180"/>
      <c r="CG75" s="180"/>
      <c r="CH75" s="180"/>
      <c r="CI75" s="180"/>
      <c r="CJ75" s="180"/>
      <c r="CK75" s="180"/>
      <c r="CL75" s="180"/>
      <c r="CM75" s="180"/>
      <c r="CN75" s="180"/>
      <c r="CO75" s="180"/>
      <c r="CP75" s="180"/>
      <c r="CQ75" s="180"/>
      <c r="CR75" s="180"/>
      <c r="CS75" s="180"/>
      <c r="CT75" s="180"/>
      <c r="CU75" s="180"/>
      <c r="CV75" s="180"/>
      <c r="CW75" s="180"/>
      <c r="CX75" s="180"/>
      <c r="CY75" s="180"/>
      <c r="CZ75" s="180"/>
      <c r="DA75" s="180"/>
      <c r="DB75" s="182"/>
    </row>
    <row r="76" spans="2:106" ht="13.15" customHeight="1">
      <c r="C76" s="171"/>
      <c r="D76" s="409"/>
      <c r="E76" s="409"/>
      <c r="F76" s="409"/>
      <c r="G76" s="409"/>
      <c r="H76" s="409"/>
      <c r="I76" s="409"/>
      <c r="J76" s="409"/>
      <c r="K76" s="409"/>
      <c r="L76" s="409"/>
      <c r="M76" s="409"/>
      <c r="N76" s="409"/>
      <c r="O76" s="409"/>
      <c r="P76" s="409"/>
      <c r="Q76" s="409"/>
      <c r="R76" s="409"/>
      <c r="S76" s="409"/>
      <c r="T76" s="409"/>
      <c r="U76" s="409"/>
      <c r="V76" s="409"/>
      <c r="W76" s="409"/>
      <c r="X76" s="409"/>
      <c r="Y76" s="409"/>
      <c r="Z76" s="409"/>
      <c r="AA76" s="409"/>
      <c r="AB76" s="409"/>
      <c r="AC76" s="409"/>
      <c r="AD76" s="409"/>
      <c r="AE76" s="409"/>
      <c r="AF76" s="409"/>
      <c r="AG76" s="409"/>
      <c r="AH76" s="409"/>
      <c r="AI76" s="409"/>
      <c r="AJ76" s="409"/>
      <c r="AK76" s="409"/>
      <c r="AL76" s="409"/>
      <c r="AM76" s="409"/>
      <c r="AN76" s="409"/>
      <c r="AO76" s="409"/>
      <c r="AP76" s="409"/>
      <c r="AQ76" s="409"/>
      <c r="AR76" s="409"/>
      <c r="AS76" s="409"/>
      <c r="AT76" s="409"/>
      <c r="AU76" s="409"/>
      <c r="AV76" s="409"/>
      <c r="AW76" s="409"/>
      <c r="AX76" s="409"/>
      <c r="AY76" s="409"/>
      <c r="AZ76" s="409"/>
      <c r="BA76" s="409"/>
      <c r="BB76" s="409"/>
      <c r="BC76" s="409"/>
      <c r="BD76" s="409"/>
      <c r="BE76" s="409"/>
      <c r="BF76" s="409"/>
      <c r="BG76" s="409"/>
      <c r="BH76" s="409"/>
      <c r="BI76" s="409"/>
      <c r="BJ76" s="409"/>
      <c r="BK76" s="409"/>
      <c r="BL76" s="409"/>
      <c r="BM76" s="409"/>
      <c r="BN76" s="409"/>
      <c r="BO76" s="409"/>
      <c r="BP76" s="409"/>
      <c r="BQ76" s="409"/>
      <c r="BR76" s="409"/>
      <c r="BS76" s="409"/>
      <c r="BT76" s="409"/>
      <c r="BU76" s="409"/>
      <c r="BV76" s="409"/>
      <c r="BW76" s="409"/>
      <c r="BX76" s="409"/>
      <c r="BY76" s="409"/>
      <c r="BZ76" s="409"/>
      <c r="CA76" s="409"/>
      <c r="CB76" s="409"/>
      <c r="CC76" s="409"/>
      <c r="CD76" s="409"/>
      <c r="CE76" s="409"/>
      <c r="CF76" s="409"/>
      <c r="CG76" s="409"/>
      <c r="CH76" s="409"/>
      <c r="CI76" s="409"/>
      <c r="CJ76" s="409"/>
      <c r="CK76" s="409"/>
      <c r="CL76" s="409"/>
      <c r="CM76" s="409"/>
      <c r="CN76" s="409"/>
      <c r="CO76" s="409"/>
      <c r="CP76" s="409"/>
      <c r="CQ76" s="409"/>
      <c r="CR76" s="409"/>
      <c r="CS76" s="409"/>
      <c r="CT76" s="409"/>
      <c r="CU76" s="409"/>
      <c r="CV76" s="409"/>
      <c r="CW76" s="409"/>
      <c r="CX76" s="409"/>
      <c r="CY76" s="409"/>
      <c r="CZ76" s="409"/>
      <c r="DA76" s="409"/>
    </row>
    <row r="77" spans="2:106" ht="7.9" customHeight="1">
      <c r="D77" s="411" t="s">
        <v>129</v>
      </c>
      <c r="E77" s="411"/>
      <c r="F77" s="411"/>
      <c r="G77" s="411"/>
      <c r="H77" s="411"/>
      <c r="I77" s="411"/>
      <c r="J77" s="411"/>
      <c r="K77" s="411"/>
      <c r="L77" s="411"/>
      <c r="M77" s="411"/>
      <c r="N77" s="411"/>
      <c r="O77" s="411"/>
      <c r="P77" s="411"/>
      <c r="Q77" s="411"/>
      <c r="R77" s="411"/>
      <c r="S77" s="411"/>
      <c r="T77" s="411"/>
      <c r="U77" s="411"/>
      <c r="V77" s="411"/>
      <c r="W77" s="411"/>
      <c r="X77" s="411"/>
      <c r="Y77" s="411"/>
      <c r="Z77" s="411"/>
      <c r="AA77" s="411"/>
      <c r="AB77" s="411"/>
      <c r="AC77" s="411"/>
      <c r="AD77" s="411"/>
      <c r="AE77" s="411"/>
      <c r="AF77" s="411"/>
      <c r="AG77" s="411"/>
      <c r="AH77" s="411"/>
      <c r="AI77" s="411"/>
      <c r="AJ77" s="411"/>
      <c r="AK77" s="411"/>
      <c r="AL77" s="411"/>
      <c r="AM77" s="411"/>
      <c r="AN77" s="411"/>
      <c r="AO77" s="411"/>
      <c r="AP77" s="411"/>
      <c r="AQ77" s="411"/>
      <c r="AR77" s="411"/>
      <c r="AS77" s="411"/>
      <c r="AT77" s="411"/>
      <c r="AU77" s="411"/>
      <c r="AV77" s="411"/>
      <c r="AW77" s="411"/>
      <c r="AX77" s="411"/>
      <c r="AY77" s="411"/>
      <c r="AZ77" s="411"/>
      <c r="BA77" s="411"/>
      <c r="BB77" s="411"/>
      <c r="BC77" s="411"/>
      <c r="BD77" s="411"/>
      <c r="BE77" s="411"/>
      <c r="BF77" s="411"/>
      <c r="BG77" s="411"/>
      <c r="BH77" s="411"/>
      <c r="BI77" s="411"/>
      <c r="BJ77" s="411"/>
      <c r="BK77" s="411"/>
      <c r="BL77" s="411"/>
      <c r="BM77" s="411"/>
      <c r="BN77" s="411"/>
      <c r="BO77" s="411"/>
      <c r="BP77" s="411"/>
      <c r="BQ77" s="411"/>
      <c r="BR77" s="411"/>
      <c r="BS77" s="411"/>
      <c r="BT77" s="411"/>
      <c r="BU77" s="411"/>
      <c r="BV77" s="411"/>
      <c r="BW77" s="411"/>
      <c r="BX77" s="411"/>
      <c r="BY77" s="411"/>
      <c r="BZ77" s="411"/>
      <c r="CA77" s="411"/>
      <c r="CB77" s="411"/>
      <c r="CC77" s="411"/>
      <c r="CD77" s="411"/>
      <c r="CE77" s="411"/>
      <c r="CF77" s="411"/>
      <c r="CG77" s="411"/>
      <c r="CH77" s="411"/>
      <c r="CI77" s="411"/>
      <c r="CJ77" s="411"/>
      <c r="CK77" s="411"/>
      <c r="CL77" s="411"/>
      <c r="CM77" s="411"/>
      <c r="CN77" s="411"/>
      <c r="CO77" s="411"/>
      <c r="CP77" s="411"/>
      <c r="CQ77" s="411"/>
      <c r="CR77" s="411"/>
      <c r="CS77" s="411"/>
      <c r="CT77" s="411"/>
      <c r="CU77" s="411"/>
      <c r="CV77" s="411"/>
      <c r="CW77" s="411"/>
      <c r="CX77" s="411"/>
      <c r="CY77" s="411"/>
      <c r="CZ77" s="411"/>
      <c r="DA77" s="181"/>
    </row>
    <row r="78" spans="2:106" ht="7.9" customHeight="1">
      <c r="D78" s="411" t="s">
        <v>130</v>
      </c>
      <c r="E78" s="411"/>
      <c r="F78" s="411"/>
      <c r="G78" s="411"/>
      <c r="H78" s="411"/>
      <c r="I78" s="411"/>
      <c r="J78" s="411"/>
      <c r="K78" s="411"/>
      <c r="L78" s="411"/>
      <c r="M78" s="411"/>
      <c r="N78" s="411"/>
      <c r="O78" s="411"/>
      <c r="P78" s="411"/>
      <c r="Q78" s="411"/>
      <c r="R78" s="411"/>
      <c r="S78" s="411"/>
      <c r="T78" s="411"/>
      <c r="U78" s="411"/>
      <c r="V78" s="411"/>
      <c r="W78" s="411"/>
      <c r="X78" s="411"/>
      <c r="Y78" s="411"/>
      <c r="Z78" s="411"/>
      <c r="AA78" s="411"/>
      <c r="AB78" s="411"/>
      <c r="AC78" s="411"/>
      <c r="AD78" s="411"/>
      <c r="AE78" s="411"/>
      <c r="AF78" s="411"/>
      <c r="AG78" s="411"/>
      <c r="AH78" s="411"/>
      <c r="AI78" s="411"/>
      <c r="AJ78" s="411"/>
      <c r="AK78" s="411"/>
      <c r="AL78" s="411"/>
      <c r="AM78" s="411"/>
      <c r="AN78" s="411"/>
      <c r="AO78" s="411"/>
      <c r="AP78" s="411"/>
      <c r="AQ78" s="411"/>
      <c r="AR78" s="411"/>
      <c r="AS78" s="411"/>
      <c r="AT78" s="411"/>
      <c r="AU78" s="411"/>
      <c r="AV78" s="411"/>
      <c r="AW78" s="411"/>
      <c r="AX78" s="411"/>
      <c r="AY78" s="411"/>
      <c r="AZ78" s="411"/>
      <c r="BA78" s="411"/>
      <c r="BB78" s="411"/>
      <c r="BC78" s="411"/>
      <c r="BD78" s="411"/>
      <c r="BE78" s="411"/>
      <c r="BF78" s="411"/>
      <c r="BG78" s="411"/>
      <c r="BH78" s="411"/>
      <c r="BI78" s="411"/>
      <c r="BJ78" s="411"/>
      <c r="BK78" s="411"/>
      <c r="BL78" s="411"/>
      <c r="BM78" s="411"/>
      <c r="BN78" s="411"/>
      <c r="BO78" s="411"/>
      <c r="BP78" s="411"/>
      <c r="BQ78" s="411"/>
      <c r="BR78" s="411"/>
      <c r="BS78" s="411"/>
      <c r="BT78" s="411"/>
      <c r="BU78" s="411"/>
      <c r="BV78" s="411"/>
      <c r="BW78" s="411"/>
      <c r="BX78" s="411"/>
      <c r="BY78" s="411"/>
      <c r="BZ78" s="411"/>
      <c r="CA78" s="411"/>
      <c r="CB78" s="411"/>
      <c r="CC78" s="411"/>
      <c r="CD78" s="411"/>
      <c r="CE78" s="411"/>
      <c r="CF78" s="411"/>
      <c r="CG78" s="411"/>
      <c r="CH78" s="411"/>
      <c r="CI78" s="411"/>
      <c r="CJ78" s="411"/>
      <c r="CK78" s="411"/>
      <c r="CL78" s="411"/>
      <c r="CM78" s="411"/>
      <c r="CN78" s="411"/>
      <c r="CO78" s="411"/>
      <c r="CP78" s="411"/>
      <c r="CQ78" s="411"/>
      <c r="CR78" s="411"/>
      <c r="CS78" s="411"/>
      <c r="CT78" s="411"/>
      <c r="CU78" s="411"/>
      <c r="CV78" s="411"/>
      <c r="CW78" s="411"/>
      <c r="CX78" s="411"/>
      <c r="CY78" s="411"/>
      <c r="CZ78" s="411"/>
      <c r="DA78" s="181"/>
    </row>
    <row r="79" spans="2:106" ht="7.9" customHeight="1">
      <c r="D79" s="411" t="s">
        <v>131</v>
      </c>
      <c r="E79" s="411"/>
      <c r="F79" s="411"/>
      <c r="G79" s="411"/>
      <c r="H79" s="411"/>
      <c r="I79" s="411"/>
      <c r="J79" s="411"/>
      <c r="K79" s="411"/>
      <c r="L79" s="411"/>
      <c r="M79" s="411"/>
      <c r="N79" s="411"/>
      <c r="O79" s="411"/>
      <c r="P79" s="411"/>
      <c r="Q79" s="411"/>
      <c r="R79" s="411"/>
      <c r="S79" s="411"/>
      <c r="T79" s="411"/>
      <c r="U79" s="411"/>
      <c r="V79" s="411"/>
      <c r="W79" s="411"/>
      <c r="X79" s="411"/>
      <c r="Y79" s="411"/>
      <c r="Z79" s="411"/>
      <c r="AA79" s="411"/>
      <c r="AB79" s="411"/>
      <c r="AC79" s="411"/>
      <c r="AD79" s="411"/>
      <c r="AE79" s="411"/>
      <c r="AF79" s="411"/>
      <c r="AG79" s="411"/>
      <c r="AH79" s="411"/>
      <c r="AI79" s="411"/>
      <c r="AJ79" s="411"/>
      <c r="AK79" s="411"/>
      <c r="AL79" s="411"/>
      <c r="AM79" s="411"/>
      <c r="AN79" s="411"/>
      <c r="AO79" s="411"/>
      <c r="AP79" s="411"/>
      <c r="AQ79" s="411"/>
      <c r="AR79" s="411"/>
      <c r="AS79" s="411"/>
      <c r="AT79" s="411"/>
      <c r="AU79" s="411"/>
      <c r="AV79" s="411"/>
      <c r="AW79" s="411"/>
      <c r="AX79" s="411"/>
      <c r="AY79" s="411"/>
      <c r="AZ79" s="411"/>
      <c r="BA79" s="411"/>
      <c r="BB79" s="411"/>
      <c r="BC79" s="411"/>
      <c r="BD79" s="411"/>
      <c r="BE79" s="411"/>
      <c r="BF79" s="411"/>
      <c r="BG79" s="411"/>
      <c r="BH79" s="411"/>
      <c r="BI79" s="411"/>
      <c r="BJ79" s="411"/>
      <c r="BK79" s="411"/>
      <c r="BL79" s="411"/>
      <c r="BM79" s="411"/>
      <c r="BN79" s="411"/>
      <c r="BO79" s="411"/>
      <c r="BP79" s="411"/>
      <c r="BQ79" s="411"/>
      <c r="BR79" s="411"/>
      <c r="BS79" s="411"/>
      <c r="BT79" s="411"/>
      <c r="BU79" s="411"/>
      <c r="BV79" s="411"/>
      <c r="BW79" s="411"/>
      <c r="BX79" s="411"/>
      <c r="BY79" s="411"/>
      <c r="BZ79" s="411"/>
      <c r="CA79" s="411"/>
      <c r="CB79" s="411"/>
      <c r="CC79" s="411"/>
      <c r="CD79" s="411"/>
      <c r="CE79" s="411"/>
      <c r="CF79" s="411"/>
      <c r="CG79" s="411"/>
      <c r="CH79" s="411"/>
      <c r="CI79" s="411"/>
      <c r="CJ79" s="411"/>
      <c r="CK79" s="411"/>
      <c r="CL79" s="411"/>
      <c r="CM79" s="411"/>
      <c r="CN79" s="411"/>
      <c r="CO79" s="411"/>
      <c r="CP79" s="411"/>
      <c r="CQ79" s="411"/>
      <c r="CR79" s="411"/>
      <c r="CS79" s="411"/>
      <c r="CT79" s="411"/>
      <c r="CU79" s="411"/>
      <c r="CV79" s="411"/>
      <c r="CW79" s="411"/>
      <c r="CX79" s="411"/>
      <c r="CY79" s="411"/>
      <c r="CZ79" s="411"/>
      <c r="DA79" s="181"/>
    </row>
    <row r="80" spans="2:106" ht="7.9" customHeight="1">
      <c r="D80" s="411" t="s">
        <v>132</v>
      </c>
      <c r="E80" s="411"/>
      <c r="F80" s="411"/>
      <c r="G80" s="411"/>
      <c r="H80" s="411"/>
      <c r="I80" s="411"/>
      <c r="J80" s="411"/>
      <c r="K80" s="411"/>
      <c r="L80" s="411"/>
      <c r="M80" s="411"/>
      <c r="N80" s="411"/>
      <c r="O80" s="411"/>
      <c r="P80" s="411"/>
      <c r="Q80" s="411"/>
      <c r="R80" s="411"/>
      <c r="S80" s="411"/>
      <c r="T80" s="411"/>
      <c r="U80" s="411"/>
      <c r="V80" s="411"/>
      <c r="W80" s="411"/>
      <c r="X80" s="411"/>
      <c r="Y80" s="411"/>
      <c r="Z80" s="411"/>
      <c r="AA80" s="411"/>
      <c r="AB80" s="411"/>
      <c r="AC80" s="411"/>
      <c r="AD80" s="411"/>
      <c r="AE80" s="411"/>
      <c r="AF80" s="411"/>
      <c r="AG80" s="411"/>
      <c r="AH80" s="411"/>
      <c r="AI80" s="411"/>
      <c r="AJ80" s="411"/>
      <c r="AK80" s="411"/>
      <c r="AL80" s="411"/>
      <c r="AM80" s="411"/>
      <c r="AN80" s="411"/>
      <c r="AO80" s="411"/>
      <c r="AP80" s="411"/>
      <c r="AQ80" s="411"/>
      <c r="AR80" s="411"/>
      <c r="AS80" s="411"/>
      <c r="AT80" s="411"/>
      <c r="AU80" s="411"/>
      <c r="AV80" s="411"/>
      <c r="AW80" s="411"/>
      <c r="AX80" s="411"/>
      <c r="AY80" s="411"/>
      <c r="AZ80" s="411"/>
      <c r="BA80" s="411"/>
      <c r="BB80" s="411"/>
      <c r="BC80" s="411"/>
      <c r="BD80" s="411"/>
      <c r="BE80" s="411"/>
      <c r="BF80" s="411"/>
      <c r="BG80" s="411"/>
      <c r="BH80" s="411"/>
      <c r="BI80" s="411"/>
      <c r="BJ80" s="411"/>
      <c r="BK80" s="411"/>
      <c r="BL80" s="411"/>
      <c r="BM80" s="411"/>
      <c r="BN80" s="411"/>
      <c r="BO80" s="411"/>
      <c r="BP80" s="411"/>
      <c r="BQ80" s="411"/>
      <c r="BR80" s="411"/>
      <c r="BS80" s="411"/>
      <c r="BT80" s="411"/>
      <c r="BU80" s="411"/>
      <c r="BV80" s="411"/>
      <c r="BW80" s="411"/>
      <c r="BX80" s="411"/>
      <c r="BY80" s="411"/>
      <c r="BZ80" s="411"/>
      <c r="CA80" s="411"/>
      <c r="CB80" s="411"/>
      <c r="CC80" s="411"/>
      <c r="CD80" s="411"/>
      <c r="CE80" s="411"/>
      <c r="CF80" s="411"/>
      <c r="CG80" s="411"/>
      <c r="CH80" s="411"/>
      <c r="CI80" s="411"/>
      <c r="CJ80" s="411"/>
      <c r="CK80" s="411"/>
      <c r="CL80" s="411"/>
      <c r="CM80" s="411"/>
      <c r="CN80" s="411"/>
      <c r="CO80" s="411"/>
      <c r="CP80" s="411"/>
      <c r="CQ80" s="411"/>
      <c r="CR80" s="411"/>
      <c r="CS80" s="411"/>
      <c r="CT80" s="411"/>
      <c r="CU80" s="411"/>
      <c r="CV80" s="411"/>
      <c r="CW80" s="411"/>
      <c r="CX80" s="411"/>
      <c r="CY80" s="411"/>
      <c r="CZ80" s="411"/>
      <c r="DA80" s="181"/>
    </row>
  </sheetData>
  <sheetProtection sheet="1" objects="1" scenarios="1" formatCells="0"/>
  <mergeCells count="96">
    <mergeCell ref="D77:CZ77"/>
    <mergeCell ref="D78:CZ78"/>
    <mergeCell ref="D79:CZ79"/>
    <mergeCell ref="D80:CZ80"/>
    <mergeCell ref="D71:DA71"/>
    <mergeCell ref="D72:DA72"/>
    <mergeCell ref="D73:DA73"/>
    <mergeCell ref="D74:DA74"/>
    <mergeCell ref="D76:DA76"/>
    <mergeCell ref="C66:DA66"/>
    <mergeCell ref="C67:DA67"/>
    <mergeCell ref="D68:DA68"/>
    <mergeCell ref="D69:DA69"/>
    <mergeCell ref="D70:DA70"/>
    <mergeCell ref="C61:DA61"/>
    <mergeCell ref="C62:DA62"/>
    <mergeCell ref="C63:DA63"/>
    <mergeCell ref="C64:DA64"/>
    <mergeCell ref="C65:DA65"/>
    <mergeCell ref="C56:DA56"/>
    <mergeCell ref="C57:DA57"/>
    <mergeCell ref="C58:DA58"/>
    <mergeCell ref="C59:DA59"/>
    <mergeCell ref="C60:DA60"/>
    <mergeCell ref="C51:DA51"/>
    <mergeCell ref="C52:DA52"/>
    <mergeCell ref="C53:DA53"/>
    <mergeCell ref="C54:DA54"/>
    <mergeCell ref="C55:DA55"/>
    <mergeCell ref="D46:DA46"/>
    <mergeCell ref="C47:DA47"/>
    <mergeCell ref="C48:DA48"/>
    <mergeCell ref="C49:DA49"/>
    <mergeCell ref="C50:DA50"/>
    <mergeCell ref="D41:DA41"/>
    <mergeCell ref="C42:DA42"/>
    <mergeCell ref="D43:DA43"/>
    <mergeCell ref="D44:DA44"/>
    <mergeCell ref="D45:DA45"/>
    <mergeCell ref="C36:DA36"/>
    <mergeCell ref="D37:DA37"/>
    <mergeCell ref="D38:DA38"/>
    <mergeCell ref="D39:DA39"/>
    <mergeCell ref="C40:DA40"/>
    <mergeCell ref="C31:DA31"/>
    <mergeCell ref="C32:DA32"/>
    <mergeCell ref="D33:DA33"/>
    <mergeCell ref="D34:DA34"/>
    <mergeCell ref="D35:DA35"/>
    <mergeCell ref="D26:CZ26"/>
    <mergeCell ref="C27:DA27"/>
    <mergeCell ref="C28:DA28"/>
    <mergeCell ref="C29:DA29"/>
    <mergeCell ref="C30:DA30"/>
    <mergeCell ref="CK22:DA22"/>
    <mergeCell ref="C23:CJ23"/>
    <mergeCell ref="CK23:DA23"/>
    <mergeCell ref="C25:CJ25"/>
    <mergeCell ref="CK25:DA25"/>
    <mergeCell ref="C22:U22"/>
    <mergeCell ref="V22:AH22"/>
    <mergeCell ref="AI22:AW22"/>
    <mergeCell ref="AX22:BQ22"/>
    <mergeCell ref="BR22:CH22"/>
    <mergeCell ref="C19:CJ19"/>
    <mergeCell ref="CK19:DA19"/>
    <mergeCell ref="C20:CJ20"/>
    <mergeCell ref="CK20:DA20"/>
    <mergeCell ref="C21:CJ21"/>
    <mergeCell ref="CK21:DA21"/>
    <mergeCell ref="D15:CZ15"/>
    <mergeCell ref="C16:DA16"/>
    <mergeCell ref="C17:DA17"/>
    <mergeCell ref="C18:CJ18"/>
    <mergeCell ref="CK18:DA18"/>
    <mergeCell ref="C12:CJ12"/>
    <mergeCell ref="CK12:DA12"/>
    <mergeCell ref="C13:CJ13"/>
    <mergeCell ref="CK13:DA13"/>
    <mergeCell ref="C14:CJ14"/>
    <mergeCell ref="CK14:DA14"/>
    <mergeCell ref="C8:DA8"/>
    <mergeCell ref="D9:CZ9"/>
    <mergeCell ref="C10:DA10"/>
    <mergeCell ref="C11:CJ11"/>
    <mergeCell ref="CK11:DA11"/>
    <mergeCell ref="C6:DA6"/>
    <mergeCell ref="C7:N7"/>
    <mergeCell ref="O7:BQ7"/>
    <mergeCell ref="BR7:CD7"/>
    <mergeCell ref="CE7:DA7"/>
    <mergeCell ref="C1:DA1"/>
    <mergeCell ref="B2:DB2"/>
    <mergeCell ref="B3:DB3"/>
    <mergeCell ref="B4:DB4"/>
    <mergeCell ref="B5:DB5"/>
  </mergeCells>
  <phoneticPr fontId="12" type="noConversion"/>
  <conditionalFormatting sqref="C29:S29">
    <cfRule type="expression" dxfId="6" priority="75">
      <formula>CK25&lt;20%</formula>
    </cfRule>
  </conditionalFormatting>
  <conditionalFormatting sqref="T29">
    <cfRule type="expression" dxfId="5" priority="74">
      <formula>#REF!&lt;20%</formula>
    </cfRule>
  </conditionalFormatting>
  <conditionalFormatting sqref="U29">
    <cfRule type="expression" dxfId="4" priority="1">
      <formula>DB25&lt;20%</formula>
    </cfRule>
  </conditionalFormatting>
  <conditionalFormatting sqref="V29:Y29">
    <cfRule type="expression" dxfId="3" priority="45">
      <formula>#REF!&lt;20%</formula>
    </cfRule>
  </conditionalFormatting>
  <conditionalFormatting sqref="Z29">
    <cfRule type="expression" dxfId="2" priority="44">
      <formula>DC25&lt;20%</formula>
    </cfRule>
  </conditionalFormatting>
  <conditionalFormatting sqref="AA29:DA29">
    <cfRule type="expression" dxfId="1" priority="48">
      <formula>#REF!&lt;20%</formula>
    </cfRule>
  </conditionalFormatting>
  <conditionalFormatting sqref="CK25">
    <cfRule type="expression" dxfId="0" priority="14" stopIfTrue="1">
      <formula>AND((((#REF!-#REF!)/#REF!)*100)&gt;25,#REF!&lt;#REF!)</formula>
    </cfRule>
  </conditionalFormatting>
  <printOptions horizontalCentered="1"/>
  <pageMargins left="0.5" right="0.5" top="0.75" bottom="1" header="0.5" footer="0.5"/>
  <pageSetup paperSize="5" orientation="portrait" blackAndWhite="1"/>
  <headerFooter alignWithMargins="0">
    <oddFooter>&amp;LIncome Calculations - Back to Work&amp;CPage &amp;P of &amp;N&amp;R12/06/2016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39991454817346722"/>
  </sheetPr>
  <dimension ref="A1:BN1267"/>
  <sheetViews>
    <sheetView topLeftCell="A1045" workbookViewId="0">
      <selection activeCell="C1072" sqref="C1072"/>
    </sheetView>
  </sheetViews>
  <sheetFormatPr defaultColWidth="9.28515625" defaultRowHeight="12.75"/>
  <cols>
    <col min="1" max="16" width="12.7109375" style="1" customWidth="1"/>
    <col min="17" max="16384" width="9.28515625" style="1"/>
  </cols>
  <sheetData>
    <row r="1" spans="1:13" ht="18" customHeight="1">
      <c r="A1" s="412" t="s">
        <v>133</v>
      </c>
      <c r="B1" s="413"/>
      <c r="C1" s="413"/>
      <c r="D1" s="413"/>
      <c r="E1" s="413"/>
      <c r="F1" s="413"/>
      <c r="G1" s="413"/>
      <c r="H1" s="413"/>
      <c r="I1" s="413"/>
      <c r="J1" s="413"/>
      <c r="K1" s="413"/>
      <c r="L1" s="413"/>
      <c r="M1" s="414"/>
    </row>
    <row r="2" spans="1:13">
      <c r="A2"/>
      <c r="B2"/>
      <c r="C2" s="39"/>
      <c r="D2"/>
      <c r="E2"/>
      <c r="F2"/>
      <c r="G2"/>
      <c r="H2"/>
      <c r="I2"/>
      <c r="J2"/>
      <c r="K2"/>
      <c r="L2"/>
      <c r="M2"/>
    </row>
    <row r="3" spans="1:13" ht="16.149999999999999" customHeight="1">
      <c r="A3" s="415" t="s">
        <v>134</v>
      </c>
      <c r="B3" s="416"/>
      <c r="C3" s="416"/>
      <c r="D3" s="416"/>
      <c r="E3" s="416"/>
      <c r="F3" s="416"/>
      <c r="G3" s="416"/>
      <c r="H3" s="416"/>
      <c r="I3" s="416"/>
      <c r="J3" s="416"/>
      <c r="K3" s="416"/>
      <c r="L3" s="416"/>
      <c r="M3" s="417"/>
    </row>
    <row r="4" spans="1:13">
      <c r="A4"/>
      <c r="B4"/>
      <c r="C4"/>
      <c r="D4"/>
      <c r="I4"/>
      <c r="J4"/>
      <c r="K4"/>
      <c r="L4"/>
      <c r="M4"/>
    </row>
    <row r="5" spans="1:13">
      <c r="A5" s="40" t="s">
        <v>135</v>
      </c>
      <c r="B5" s="40">
        <f ca="1">TODAY()</f>
        <v>46100</v>
      </c>
      <c r="C5"/>
      <c r="D5"/>
      <c r="I5"/>
      <c r="J5"/>
      <c r="K5"/>
      <c r="L5"/>
      <c r="M5"/>
    </row>
    <row r="6" spans="1:13">
      <c r="A6" t="s">
        <v>136</v>
      </c>
      <c r="B6">
        <f ca="1">MONTH(TODAY())</f>
        <v>3</v>
      </c>
      <c r="C6"/>
      <c r="D6"/>
      <c r="I6"/>
      <c r="J6"/>
      <c r="K6"/>
      <c r="L6"/>
      <c r="M6"/>
    </row>
    <row r="7" spans="1:13">
      <c r="A7" t="s">
        <v>137</v>
      </c>
      <c r="B7">
        <f ca="1">DAY(B5)</f>
        <v>19</v>
      </c>
      <c r="C7"/>
      <c r="D7"/>
      <c r="I7"/>
      <c r="J7"/>
      <c r="K7"/>
      <c r="L7"/>
      <c r="M7"/>
    </row>
    <row r="8" spans="1:13">
      <c r="A8" t="s">
        <v>138</v>
      </c>
      <c r="B8">
        <f ca="1">YEAR(B5)</f>
        <v>2026</v>
      </c>
      <c r="C8"/>
      <c r="D8"/>
      <c r="F8"/>
      <c r="G8"/>
      <c r="H8"/>
      <c r="I8"/>
      <c r="J8"/>
      <c r="K8"/>
      <c r="L8"/>
      <c r="M8"/>
    </row>
    <row r="9" spans="1:13">
      <c r="A9" t="s">
        <v>139</v>
      </c>
      <c r="B9" t="e">
        <f ca="1">IF(#REF!="",YEAR(TODAY()),YEAR(#REF!))</f>
        <v>#REF!</v>
      </c>
      <c r="C9"/>
      <c r="D9"/>
      <c r="F9"/>
      <c r="G9"/>
      <c r="H9"/>
      <c r="I9"/>
      <c r="J9"/>
      <c r="K9"/>
      <c r="L9"/>
      <c r="M9"/>
    </row>
    <row r="10" spans="1:13">
      <c r="A10" t="s">
        <v>140</v>
      </c>
      <c r="B10">
        <f ca="1">YEAR(TODAY())-1</f>
        <v>2025</v>
      </c>
      <c r="C10"/>
      <c r="D10"/>
      <c r="F10"/>
      <c r="G10"/>
      <c r="H10"/>
      <c r="I10"/>
      <c r="J10"/>
      <c r="K10"/>
      <c r="L10"/>
      <c r="M10"/>
    </row>
    <row r="11" spans="1:13">
      <c r="A11" t="s">
        <v>141</v>
      </c>
      <c r="B11">
        <f ca="1">YEAR(TODAY())-2</f>
        <v>2024</v>
      </c>
      <c r="C11"/>
      <c r="D11"/>
      <c r="F11"/>
      <c r="G11"/>
      <c r="H11"/>
      <c r="I11"/>
      <c r="J11"/>
      <c r="K11"/>
      <c r="L11"/>
      <c r="M11"/>
    </row>
    <row r="12" spans="1:13">
      <c r="A12" t="s">
        <v>142</v>
      </c>
      <c r="B12" s="41" t="e">
        <f>#REF!</f>
        <v>#REF!</v>
      </c>
      <c r="C12"/>
      <c r="D12"/>
      <c r="F12"/>
      <c r="G12"/>
      <c r="H12"/>
      <c r="I12"/>
      <c r="J12"/>
      <c r="K12"/>
      <c r="L12"/>
      <c r="M12"/>
    </row>
    <row r="13" spans="1:13">
      <c r="A13" t="s">
        <v>143</v>
      </c>
      <c r="B13" s="41" t="e">
        <f>DATE(YEAR(B12),1,1)</f>
        <v>#REF!</v>
      </c>
      <c r="C13" s="42" t="s">
        <v>144</v>
      </c>
      <c r="D13"/>
      <c r="F13"/>
      <c r="G13"/>
      <c r="H13"/>
      <c r="I13"/>
      <c r="J13"/>
      <c r="K13"/>
      <c r="L13"/>
      <c r="M13"/>
    </row>
    <row r="14" spans="1:13">
      <c r="A14" t="s">
        <v>145</v>
      </c>
      <c r="B14" s="41">
        <f ca="1">DATE((YEAR(TODAY())-1),1,1)</f>
        <v>45658</v>
      </c>
      <c r="C14" s="42" t="s">
        <v>146</v>
      </c>
      <c r="D14"/>
      <c r="F14"/>
      <c r="G14"/>
      <c r="H14"/>
      <c r="I14"/>
      <c r="J14"/>
      <c r="K14"/>
      <c r="L14"/>
      <c r="M14"/>
    </row>
    <row r="15" spans="1:13">
      <c r="A15" t="s">
        <v>147</v>
      </c>
      <c r="B15" s="41">
        <f ca="1">DATE((YEAR(TODAY())-1),12,31)</f>
        <v>46022</v>
      </c>
      <c r="C15" s="42" t="s">
        <v>148</v>
      </c>
      <c r="D15"/>
      <c r="F15"/>
      <c r="G15"/>
      <c r="H15"/>
      <c r="I15"/>
      <c r="J15"/>
      <c r="K15"/>
      <c r="L15"/>
      <c r="M15"/>
    </row>
    <row r="16" spans="1:13">
      <c r="A16" t="s">
        <v>149</v>
      </c>
      <c r="B16" s="41">
        <f ca="1">DATE((YEAR(TODAY())-2),1,1)</f>
        <v>45292</v>
      </c>
      <c r="C16" s="42" t="s">
        <v>150</v>
      </c>
      <c r="D16"/>
      <c r="F16"/>
      <c r="G16"/>
      <c r="H16"/>
      <c r="I16"/>
      <c r="J16"/>
      <c r="K16"/>
      <c r="L16"/>
      <c r="M16"/>
    </row>
    <row r="17" spans="1:13">
      <c r="A17" t="s">
        <v>151</v>
      </c>
      <c r="B17" s="41">
        <f ca="1">DATE((YEAR(TODAY())-2),12,31)</f>
        <v>45657</v>
      </c>
      <c r="C17" s="42" t="s">
        <v>152</v>
      </c>
      <c r="D17"/>
      <c r="F17"/>
      <c r="G17"/>
      <c r="H17"/>
      <c r="I17"/>
      <c r="J17"/>
      <c r="K17"/>
      <c r="L17"/>
      <c r="M17"/>
    </row>
    <row r="18" spans="1:13">
      <c r="A18"/>
      <c r="B18" s="41"/>
      <c r="C18" s="42"/>
      <c r="D18"/>
      <c r="E18"/>
      <c r="F18"/>
      <c r="G18"/>
      <c r="H18"/>
      <c r="I18"/>
      <c r="J18"/>
      <c r="K18"/>
      <c r="L18"/>
      <c r="M18"/>
    </row>
    <row r="19" spans="1:13" ht="15">
      <c r="A19" s="415" t="s">
        <v>153</v>
      </c>
      <c r="B19" s="416"/>
      <c r="C19" s="416"/>
      <c r="D19" s="416"/>
      <c r="E19" s="416"/>
      <c r="F19" s="416"/>
      <c r="G19" s="416"/>
      <c r="H19" s="416"/>
      <c r="I19" s="416"/>
      <c r="J19" s="416"/>
      <c r="K19" s="416"/>
      <c r="L19" s="416"/>
      <c r="M19" s="417"/>
    </row>
    <row r="20" spans="1:13">
      <c r="A20"/>
      <c r="B20"/>
      <c r="C20"/>
      <c r="D20"/>
      <c r="E20"/>
      <c r="F20"/>
      <c r="G20"/>
      <c r="H20"/>
      <c r="I20"/>
      <c r="J20"/>
      <c r="K20"/>
      <c r="L20"/>
      <c r="M20"/>
    </row>
    <row r="21" spans="1:13">
      <c r="A21" s="43" t="s">
        <v>154</v>
      </c>
      <c r="B21" s="43" t="s">
        <v>155</v>
      </c>
      <c r="C21" s="43" t="s">
        <v>156</v>
      </c>
      <c r="D21"/>
      <c r="E21"/>
      <c r="F21"/>
      <c r="G21"/>
      <c r="H21"/>
      <c r="I21"/>
      <c r="J21"/>
      <c r="K21"/>
      <c r="L21"/>
      <c r="M21"/>
    </row>
    <row r="22" spans="1:13">
      <c r="A22" s="453">
        <v>0</v>
      </c>
      <c r="B22" s="44">
        <v>6.2E-2</v>
      </c>
      <c r="C22" s="45">
        <f>A22*B22</f>
        <v>0</v>
      </c>
      <c r="D22"/>
      <c r="E22"/>
      <c r="F22"/>
      <c r="G22"/>
      <c r="H22"/>
      <c r="I22"/>
      <c r="J22"/>
      <c r="K22"/>
      <c r="L22"/>
      <c r="M22"/>
    </row>
    <row r="23" spans="1:13">
      <c r="A23" s="454"/>
      <c r="B23" s="46">
        <v>1.4500000000000001E-2</v>
      </c>
      <c r="C23" s="47">
        <f>A22*B23</f>
        <v>0</v>
      </c>
      <c r="D23"/>
      <c r="E23"/>
      <c r="F23"/>
      <c r="G23"/>
      <c r="H23"/>
      <c r="I23"/>
      <c r="J23"/>
      <c r="K23"/>
      <c r="L23"/>
      <c r="M23"/>
    </row>
    <row r="24" spans="1:13">
      <c r="A24"/>
      <c r="B24" s="41"/>
      <c r="C24" s="42"/>
      <c r="D24"/>
      <c r="E24"/>
      <c r="F24"/>
      <c r="G24"/>
      <c r="H24"/>
      <c r="I24"/>
      <c r="J24"/>
      <c r="K24"/>
      <c r="L24"/>
      <c r="M24"/>
    </row>
    <row r="25" spans="1:13" ht="15">
      <c r="A25" s="415" t="s">
        <v>157</v>
      </c>
      <c r="B25" s="416"/>
      <c r="C25" s="416"/>
      <c r="D25" s="416"/>
      <c r="E25" s="416"/>
      <c r="F25" s="416"/>
      <c r="G25" s="416"/>
      <c r="H25" s="416"/>
      <c r="I25" s="416"/>
      <c r="J25" s="416"/>
      <c r="K25" s="416"/>
      <c r="L25" s="416"/>
      <c r="M25" s="417"/>
    </row>
    <row r="26" spans="1:13">
      <c r="A26"/>
      <c r="B26" s="41"/>
      <c r="C26" s="42"/>
      <c r="D26"/>
      <c r="E26"/>
      <c r="F26"/>
      <c r="G26"/>
      <c r="H26"/>
      <c r="I26"/>
      <c r="J26"/>
      <c r="K26"/>
      <c r="L26"/>
      <c r="M26"/>
    </row>
    <row r="27" spans="1:13">
      <c r="A27" s="48" t="s">
        <v>158</v>
      </c>
      <c r="C27" s="41" t="s">
        <v>159</v>
      </c>
      <c r="D27"/>
      <c r="E27"/>
      <c r="F27"/>
      <c r="G27"/>
      <c r="H27"/>
      <c r="I27"/>
      <c r="J27"/>
      <c r="K27"/>
      <c r="L27"/>
      <c r="M27"/>
    </row>
    <row r="28" spans="1:13">
      <c r="A28" s="10" t="s">
        <v>160</v>
      </c>
      <c r="C28" s="39">
        <v>2014</v>
      </c>
      <c r="D28"/>
      <c r="E28"/>
      <c r="F28"/>
      <c r="G28"/>
      <c r="H28"/>
      <c r="I28"/>
      <c r="J28"/>
      <c r="K28"/>
      <c r="L28"/>
      <c r="M28"/>
    </row>
    <row r="29" spans="1:13">
      <c r="A29" s="10" t="s">
        <v>161</v>
      </c>
      <c r="C29" s="39">
        <v>2015</v>
      </c>
      <c r="D29"/>
      <c r="E29"/>
      <c r="F29"/>
      <c r="G29"/>
      <c r="H29"/>
      <c r="I29"/>
      <c r="J29"/>
      <c r="K29"/>
      <c r="L29"/>
      <c r="M29"/>
    </row>
    <row r="30" spans="1:13">
      <c r="A30" s="10" t="s">
        <v>161</v>
      </c>
      <c r="C30" s="39">
        <v>2016</v>
      </c>
      <c r="D30"/>
      <c r="E30"/>
      <c r="F30"/>
      <c r="G30"/>
      <c r="H30"/>
      <c r="I30"/>
      <c r="J30"/>
      <c r="K30"/>
      <c r="L30"/>
      <c r="M30"/>
    </row>
    <row r="31" spans="1:13">
      <c r="A31" s="10" t="s">
        <v>161</v>
      </c>
      <c r="C31" s="39">
        <v>2017</v>
      </c>
      <c r="D31"/>
      <c r="E31"/>
      <c r="F31"/>
      <c r="G31"/>
      <c r="H31"/>
      <c r="I31"/>
      <c r="J31"/>
      <c r="K31"/>
      <c r="L31"/>
      <c r="M31"/>
    </row>
    <row r="32" spans="1:13">
      <c r="A32" s="49" t="s">
        <v>162</v>
      </c>
      <c r="C32" s="39">
        <v>2018</v>
      </c>
      <c r="D32"/>
      <c r="E32"/>
      <c r="F32"/>
      <c r="G32"/>
      <c r="H32"/>
      <c r="I32"/>
      <c r="J32"/>
      <c r="K32"/>
      <c r="L32"/>
      <c r="M32"/>
    </row>
    <row r="33" spans="1:13">
      <c r="A33"/>
      <c r="B33" s="50"/>
      <c r="C33" s="42"/>
      <c r="D33"/>
      <c r="E33"/>
      <c r="F33"/>
      <c r="G33"/>
      <c r="H33"/>
      <c r="I33"/>
      <c r="J33"/>
      <c r="K33"/>
      <c r="L33"/>
      <c r="M33"/>
    </row>
    <row r="34" spans="1:13" ht="15">
      <c r="A34" s="415" t="s">
        <v>163</v>
      </c>
      <c r="B34" s="416"/>
      <c r="C34" s="416"/>
      <c r="D34" s="416"/>
      <c r="E34" s="416"/>
      <c r="F34" s="416"/>
      <c r="G34" s="416"/>
      <c r="H34" s="416"/>
      <c r="I34" s="416"/>
      <c r="J34" s="416"/>
      <c r="K34" s="416"/>
      <c r="L34" s="416"/>
      <c r="M34" s="417"/>
    </row>
    <row r="35" spans="1:13">
      <c r="A35"/>
      <c r="B35" s="50"/>
      <c r="C35" s="42"/>
      <c r="D35"/>
      <c r="E35"/>
      <c r="F35"/>
      <c r="G35"/>
      <c r="H35"/>
      <c r="I35"/>
      <c r="J35"/>
      <c r="K35"/>
      <c r="L35"/>
      <c r="M35"/>
    </row>
    <row r="36" spans="1:13">
      <c r="C36" s="4" t="s">
        <v>164</v>
      </c>
      <c r="D36" s="4" t="s">
        <v>165</v>
      </c>
      <c r="E36"/>
      <c r="F36"/>
      <c r="G36"/>
      <c r="H36"/>
      <c r="I36"/>
      <c r="J36"/>
      <c r="K36"/>
      <c r="L36"/>
      <c r="M36"/>
    </row>
    <row r="37" spans="1:13">
      <c r="A37" s="48" t="s">
        <v>158</v>
      </c>
      <c r="C37" s="4">
        <v>2013</v>
      </c>
      <c r="D37" s="4">
        <v>0.23</v>
      </c>
      <c r="E37"/>
      <c r="F37"/>
      <c r="G37"/>
      <c r="H37"/>
      <c r="I37"/>
      <c r="J37"/>
      <c r="K37"/>
      <c r="L37"/>
      <c r="M37"/>
    </row>
    <row r="38" spans="1:13">
      <c r="A38" s="4" t="s">
        <v>166</v>
      </c>
      <c r="C38" s="4">
        <v>2014</v>
      </c>
      <c r="D38" s="4">
        <v>0.22</v>
      </c>
      <c r="E38"/>
      <c r="F38"/>
      <c r="G38"/>
      <c r="H38"/>
      <c r="I38"/>
      <c r="J38"/>
      <c r="K38"/>
      <c r="L38"/>
      <c r="M38"/>
    </row>
    <row r="39" spans="1:13">
      <c r="A39" s="4" t="s">
        <v>167</v>
      </c>
      <c r="C39" s="4">
        <v>2015</v>
      </c>
      <c r="D39" s="4">
        <v>0.24</v>
      </c>
      <c r="E39"/>
      <c r="F39"/>
      <c r="G39"/>
      <c r="H39"/>
      <c r="I39"/>
      <c r="J39"/>
      <c r="K39"/>
      <c r="L39"/>
      <c r="M39"/>
    </row>
    <row r="40" spans="1:13">
      <c r="A40" s="4" t="s">
        <v>168</v>
      </c>
      <c r="C40" s="4">
        <v>2016</v>
      </c>
      <c r="D40" s="4">
        <v>0.24</v>
      </c>
      <c r="E40"/>
      <c r="F40"/>
      <c r="G40"/>
      <c r="H40"/>
      <c r="I40"/>
      <c r="J40"/>
      <c r="K40"/>
      <c r="L40"/>
      <c r="M40"/>
    </row>
    <row r="41" spans="1:13">
      <c r="A41" s="4" t="s">
        <v>169</v>
      </c>
      <c r="C41" s="4">
        <v>2017</v>
      </c>
      <c r="D41" s="4">
        <v>0.24</v>
      </c>
      <c r="E41"/>
      <c r="F41"/>
      <c r="G41"/>
      <c r="H41"/>
      <c r="I41"/>
      <c r="J41"/>
      <c r="K41"/>
      <c r="L41"/>
      <c r="M41"/>
    </row>
    <row r="42" spans="1:13">
      <c r="A42" s="49" t="s">
        <v>162</v>
      </c>
      <c r="C42" s="4">
        <v>2018</v>
      </c>
      <c r="D42" s="4">
        <v>0.24</v>
      </c>
      <c r="E42"/>
      <c r="F42"/>
      <c r="G42"/>
      <c r="H42"/>
      <c r="I42"/>
      <c r="J42"/>
      <c r="K42"/>
      <c r="L42"/>
      <c r="M42"/>
    </row>
    <row r="43" spans="1:13">
      <c r="A43"/>
      <c r="B43" s="41"/>
      <c r="C43" s="42"/>
      <c r="D43"/>
      <c r="E43"/>
      <c r="F43"/>
      <c r="G43"/>
      <c r="H43"/>
      <c r="I43"/>
      <c r="J43"/>
      <c r="K43"/>
      <c r="L43"/>
      <c r="M43"/>
    </row>
    <row r="44" spans="1:13" ht="16.149999999999999" customHeight="1">
      <c r="A44" s="415" t="s">
        <v>170</v>
      </c>
      <c r="B44" s="416"/>
      <c r="C44" s="416"/>
      <c r="D44" s="416"/>
      <c r="E44" s="416"/>
      <c r="F44" s="416"/>
      <c r="G44" s="416"/>
      <c r="H44" s="416"/>
      <c r="I44" s="416"/>
      <c r="J44" s="416"/>
      <c r="K44" s="416"/>
      <c r="L44" s="416"/>
      <c r="M44" s="417"/>
    </row>
    <row r="45" spans="1:13">
      <c r="A45"/>
      <c r="B45"/>
      <c r="C45"/>
      <c r="D45"/>
      <c r="E45"/>
      <c r="F45"/>
      <c r="G45"/>
      <c r="H45"/>
      <c r="I45"/>
      <c r="J45"/>
      <c r="K45"/>
      <c r="L45"/>
      <c r="M45"/>
    </row>
    <row r="46" spans="1:13">
      <c r="A46"/>
      <c r="B46"/>
      <c r="C46"/>
      <c r="D46" s="418" t="s">
        <v>171</v>
      </c>
      <c r="E46" s="418"/>
      <c r="F46" s="418"/>
      <c r="G46"/>
      <c r="H46"/>
      <c r="I46"/>
      <c r="J46"/>
      <c r="K46"/>
      <c r="L46"/>
      <c r="M46"/>
    </row>
    <row r="47" spans="1:13">
      <c r="A47" s="52"/>
      <c r="B47" s="43" t="s">
        <v>172</v>
      </c>
      <c r="C47" s="53" t="s">
        <v>173</v>
      </c>
      <c r="D47" s="53" t="s">
        <v>174</v>
      </c>
      <c r="E47" s="53" t="s">
        <v>175</v>
      </c>
      <c r="F47" s="53" t="s">
        <v>176</v>
      </c>
      <c r="G47" s="53" t="s">
        <v>177</v>
      </c>
      <c r="H47"/>
      <c r="I47"/>
      <c r="J47"/>
      <c r="K47" s="50"/>
      <c r="L47"/>
      <c r="M47"/>
    </row>
    <row r="48" spans="1:13">
      <c r="A48" s="54">
        <v>1</v>
      </c>
      <c r="B48" s="54"/>
      <c r="C48" s="55"/>
      <c r="D48" s="56"/>
      <c r="E48" s="51"/>
      <c r="F48" s="51"/>
      <c r="G48" s="55"/>
      <c r="H48"/>
      <c r="I48"/>
      <c r="J48"/>
      <c r="K48"/>
      <c r="L48"/>
      <c r="M48" s="39"/>
    </row>
    <row r="49" spans="1:13">
      <c r="A49" s="56">
        <v>2</v>
      </c>
      <c r="B49" s="57" t="s">
        <v>178</v>
      </c>
      <c r="C49" s="58" t="s">
        <v>179</v>
      </c>
      <c r="D49" s="58" t="s">
        <v>180</v>
      </c>
      <c r="E49" s="56">
        <v>1</v>
      </c>
      <c r="F49" s="59">
        <v>2080</v>
      </c>
      <c r="G49" s="58" t="s">
        <v>181</v>
      </c>
      <c r="H49"/>
      <c r="I49"/>
      <c r="J49"/>
      <c r="K49"/>
      <c r="L49" s="39"/>
      <c r="M49" s="39"/>
    </row>
    <row r="50" spans="1:13">
      <c r="A50" s="56">
        <v>3</v>
      </c>
      <c r="B50" s="57" t="s">
        <v>182</v>
      </c>
      <c r="C50" s="58" t="s">
        <v>183</v>
      </c>
      <c r="D50" s="243" t="s">
        <v>184</v>
      </c>
      <c r="E50" s="56">
        <v>26</v>
      </c>
      <c r="F50" s="59">
        <v>80</v>
      </c>
      <c r="G50" s="58" t="s">
        <v>185</v>
      </c>
      <c r="H50"/>
      <c r="I50"/>
      <c r="J50"/>
      <c r="K50"/>
      <c r="L50" s="39"/>
      <c r="M50" s="39"/>
    </row>
    <row r="51" spans="1:13">
      <c r="A51" s="56">
        <v>4</v>
      </c>
      <c r="B51" s="57" t="s">
        <v>186</v>
      </c>
      <c r="C51" s="243" t="s">
        <v>184</v>
      </c>
      <c r="D51" s="58" t="s">
        <v>179</v>
      </c>
      <c r="E51" s="56">
        <v>2080</v>
      </c>
      <c r="F51" s="59">
        <v>1</v>
      </c>
      <c r="G51" s="58" t="s">
        <v>187</v>
      </c>
      <c r="H51"/>
      <c r="I51"/>
      <c r="J51"/>
      <c r="K51"/>
      <c r="L51" s="39"/>
      <c r="M51" s="39"/>
    </row>
    <row r="52" spans="1:13">
      <c r="A52" s="56">
        <v>5</v>
      </c>
      <c r="B52" s="57" t="s">
        <v>188</v>
      </c>
      <c r="C52" s="58" t="s">
        <v>189</v>
      </c>
      <c r="D52" s="58" t="s">
        <v>190</v>
      </c>
      <c r="E52" s="56">
        <v>12</v>
      </c>
      <c r="F52" s="59">
        <f>2080/12</f>
        <v>173.333333333333</v>
      </c>
      <c r="G52" s="243" t="s">
        <v>191</v>
      </c>
      <c r="H52"/>
      <c r="I52"/>
      <c r="J52"/>
      <c r="K52"/>
      <c r="L52" s="39"/>
      <c r="M52" s="39"/>
    </row>
    <row r="53" spans="1:13">
      <c r="A53" s="56">
        <v>6</v>
      </c>
      <c r="B53" s="57" t="s">
        <v>192</v>
      </c>
      <c r="C53" s="58" t="s">
        <v>190</v>
      </c>
      <c r="D53" s="58" t="s">
        <v>193</v>
      </c>
      <c r="E53" s="56">
        <v>0</v>
      </c>
      <c r="F53" s="59">
        <v>0</v>
      </c>
      <c r="G53" s="58" t="s">
        <v>194</v>
      </c>
      <c r="H53"/>
      <c r="I53"/>
      <c r="J53"/>
      <c r="K53"/>
      <c r="L53" s="39"/>
      <c r="M53" s="39"/>
    </row>
    <row r="54" spans="1:13">
      <c r="A54" s="56">
        <v>7</v>
      </c>
      <c r="B54" s="57" t="s">
        <v>195</v>
      </c>
      <c r="C54" s="58" t="s">
        <v>180</v>
      </c>
      <c r="D54" s="58" t="s">
        <v>196</v>
      </c>
      <c r="E54" s="56">
        <v>0</v>
      </c>
      <c r="F54" s="59">
        <v>0</v>
      </c>
      <c r="G54" s="58" t="s">
        <v>197</v>
      </c>
      <c r="H54"/>
      <c r="I54"/>
      <c r="J54"/>
      <c r="K54"/>
      <c r="L54" s="39"/>
      <c r="M54" s="39"/>
    </row>
    <row r="55" spans="1:13">
      <c r="A55" s="56">
        <v>8</v>
      </c>
      <c r="B55" s="57" t="s">
        <v>198</v>
      </c>
      <c r="C55" s="58" t="s">
        <v>193</v>
      </c>
      <c r="D55" s="58" t="s">
        <v>189</v>
      </c>
      <c r="E55" s="56">
        <v>24</v>
      </c>
      <c r="F55" s="59">
        <f>2080/24</f>
        <v>86.6666666666667</v>
      </c>
      <c r="G55" s="58" t="s">
        <v>199</v>
      </c>
      <c r="H55"/>
      <c r="I55"/>
      <c r="J55"/>
      <c r="K55"/>
      <c r="L55" s="39"/>
      <c r="M55" s="39"/>
    </row>
    <row r="56" spans="1:13">
      <c r="A56" s="56">
        <v>9</v>
      </c>
      <c r="B56" s="57" t="s">
        <v>200</v>
      </c>
      <c r="C56" s="58" t="s">
        <v>196</v>
      </c>
      <c r="D56" s="58" t="s">
        <v>201</v>
      </c>
      <c r="E56" s="56">
        <v>0</v>
      </c>
      <c r="F56" s="59">
        <v>0</v>
      </c>
      <c r="G56" s="58" t="s">
        <v>202</v>
      </c>
      <c r="H56"/>
      <c r="I56"/>
      <c r="J56"/>
      <c r="K56"/>
      <c r="L56" s="39"/>
      <c r="M56" s="39"/>
    </row>
    <row r="57" spans="1:13">
      <c r="A57" s="56">
        <v>10</v>
      </c>
      <c r="B57" s="57" t="s">
        <v>203</v>
      </c>
      <c r="C57" s="58" t="s">
        <v>204</v>
      </c>
      <c r="D57" s="58" t="s">
        <v>183</v>
      </c>
      <c r="E57" s="56">
        <v>52</v>
      </c>
      <c r="F57" s="59">
        <v>40</v>
      </c>
      <c r="G57" s="58" t="s">
        <v>205</v>
      </c>
      <c r="H57"/>
      <c r="I57"/>
      <c r="J57"/>
      <c r="K57"/>
      <c r="L57" s="65"/>
      <c r="M57" s="65"/>
    </row>
    <row r="58" spans="1:13">
      <c r="A58" s="50"/>
      <c r="B58" s="50"/>
      <c r="C58" s="50"/>
      <c r="D58" s="50"/>
      <c r="E58" s="60"/>
      <c r="F58" s="60"/>
      <c r="G58"/>
      <c r="H58"/>
      <c r="I58"/>
      <c r="J58"/>
      <c r="K58"/>
      <c r="L58"/>
      <c r="M58"/>
    </row>
    <row r="59" spans="1:13" ht="15">
      <c r="A59" s="415" t="s">
        <v>206</v>
      </c>
      <c r="B59" s="416"/>
      <c r="C59" s="416"/>
      <c r="D59" s="416"/>
      <c r="E59" s="416"/>
      <c r="F59" s="416"/>
      <c r="G59" s="416"/>
      <c r="H59" s="416"/>
      <c r="I59" s="416"/>
      <c r="J59" s="416"/>
      <c r="K59" s="416"/>
      <c r="L59" s="416"/>
      <c r="M59" s="417"/>
    </row>
    <row r="60" spans="1:13">
      <c r="A60" s="50"/>
      <c r="B60" s="50"/>
      <c r="C60" s="50"/>
      <c r="D60" s="50"/>
      <c r="E60" s="60"/>
      <c r="F60" s="60"/>
      <c r="G60"/>
      <c r="H60"/>
      <c r="I60"/>
      <c r="J60"/>
      <c r="K60"/>
      <c r="L60"/>
      <c r="M60"/>
    </row>
    <row r="61" spans="1:13">
      <c r="A61"/>
      <c r="B61" s="418" t="s">
        <v>207</v>
      </c>
      <c r="C61" s="418"/>
      <c r="D61" s="418"/>
      <c r="E61" s="418"/>
      <c r="F61" s="418"/>
      <c r="G61" s="418"/>
      <c r="H61" s="418"/>
      <c r="I61" s="66"/>
      <c r="J61" s="66"/>
      <c r="K61"/>
      <c r="L61"/>
      <c r="M61"/>
    </row>
    <row r="62" spans="1:13">
      <c r="A62" s="61"/>
      <c r="B62" s="61">
        <v>2014</v>
      </c>
      <c r="C62" s="61">
        <f t="shared" ref="C62:H62" si="0">B62+1</f>
        <v>2015</v>
      </c>
      <c r="D62" s="61">
        <f t="shared" si="0"/>
        <v>2016</v>
      </c>
      <c r="E62" s="61">
        <f t="shared" si="0"/>
        <v>2017</v>
      </c>
      <c r="F62" s="61">
        <f t="shared" si="0"/>
        <v>2018</v>
      </c>
      <c r="G62" s="61">
        <f t="shared" si="0"/>
        <v>2019</v>
      </c>
      <c r="H62" s="61">
        <f t="shared" si="0"/>
        <v>2020</v>
      </c>
      <c r="I62" s="67"/>
      <c r="J62" s="67"/>
      <c r="K62"/>
      <c r="L62"/>
      <c r="M62"/>
    </row>
    <row r="63" spans="1:13">
      <c r="A63" s="62">
        <v>1</v>
      </c>
      <c r="B63" s="62">
        <v>2</v>
      </c>
      <c r="C63" s="62">
        <v>3</v>
      </c>
      <c r="D63" s="62">
        <v>4</v>
      </c>
      <c r="E63" s="62">
        <v>5</v>
      </c>
      <c r="F63" s="62">
        <v>6</v>
      </c>
      <c r="G63" s="62">
        <v>7</v>
      </c>
      <c r="H63" s="62">
        <v>8</v>
      </c>
      <c r="I63" s="67"/>
      <c r="J63" s="67"/>
      <c r="K63"/>
      <c r="L63"/>
      <c r="M63"/>
    </row>
    <row r="64" spans="1:13">
      <c r="A64" s="63">
        <v>1</v>
      </c>
      <c r="B64" s="64">
        <v>41636</v>
      </c>
      <c r="C64" s="64">
        <f t="shared" ref="C64:H64" si="1">B89+14</f>
        <v>42000</v>
      </c>
      <c r="D64" s="64">
        <f t="shared" si="1"/>
        <v>42364</v>
      </c>
      <c r="E64" s="64">
        <f t="shared" si="1"/>
        <v>42728</v>
      </c>
      <c r="F64" s="64">
        <f t="shared" si="1"/>
        <v>43092</v>
      </c>
      <c r="G64" s="64">
        <f t="shared" si="1"/>
        <v>43456</v>
      </c>
      <c r="H64" s="64">
        <f t="shared" si="1"/>
        <v>43820</v>
      </c>
      <c r="I64" s="68"/>
      <c r="J64" s="68"/>
      <c r="K64"/>
      <c r="L64"/>
      <c r="M64"/>
    </row>
    <row r="65" spans="1:13">
      <c r="A65" s="63">
        <f t="shared" ref="A65:A89" si="2">A64+1</f>
        <v>2</v>
      </c>
      <c r="B65" s="64">
        <f t="shared" ref="B65:B89" si="3">B64+14</f>
        <v>41650</v>
      </c>
      <c r="C65" s="64">
        <f t="shared" ref="C65:C89" si="4">C64+14</f>
        <v>42014</v>
      </c>
      <c r="D65" s="64">
        <f t="shared" ref="D65:D89" si="5">D64+14</f>
        <v>42378</v>
      </c>
      <c r="E65" s="64">
        <f t="shared" ref="E65:E89" si="6">E64+14</f>
        <v>42742</v>
      </c>
      <c r="F65" s="64">
        <f t="shared" ref="F65:F89" si="7">F64+14</f>
        <v>43106</v>
      </c>
      <c r="G65" s="64">
        <f t="shared" ref="G65:G89" si="8">G64+14</f>
        <v>43470</v>
      </c>
      <c r="H65" s="64">
        <f t="shared" ref="H65:H89" si="9">H64+14</f>
        <v>43834</v>
      </c>
      <c r="I65" s="68"/>
      <c r="J65" s="68"/>
      <c r="K65"/>
      <c r="L65"/>
      <c r="M65"/>
    </row>
    <row r="66" spans="1:13">
      <c r="A66" s="63">
        <f t="shared" si="2"/>
        <v>3</v>
      </c>
      <c r="B66" s="64">
        <f t="shared" si="3"/>
        <v>41664</v>
      </c>
      <c r="C66" s="64">
        <f t="shared" si="4"/>
        <v>42028</v>
      </c>
      <c r="D66" s="64">
        <f t="shared" si="5"/>
        <v>42392</v>
      </c>
      <c r="E66" s="64">
        <f t="shared" si="6"/>
        <v>42756</v>
      </c>
      <c r="F66" s="64">
        <f t="shared" si="7"/>
        <v>43120</v>
      </c>
      <c r="G66" s="64">
        <f t="shared" si="8"/>
        <v>43484</v>
      </c>
      <c r="H66" s="64">
        <f t="shared" si="9"/>
        <v>43848</v>
      </c>
      <c r="I66" s="68"/>
      <c r="J66" s="68"/>
      <c r="K66"/>
      <c r="L66"/>
      <c r="M66"/>
    </row>
    <row r="67" spans="1:13">
      <c r="A67" s="63">
        <f t="shared" si="2"/>
        <v>4</v>
      </c>
      <c r="B67" s="64">
        <f t="shared" si="3"/>
        <v>41678</v>
      </c>
      <c r="C67" s="64">
        <f t="shared" si="4"/>
        <v>42042</v>
      </c>
      <c r="D67" s="64">
        <f t="shared" si="5"/>
        <v>42406</v>
      </c>
      <c r="E67" s="64">
        <f t="shared" si="6"/>
        <v>42770</v>
      </c>
      <c r="F67" s="64">
        <f t="shared" si="7"/>
        <v>43134</v>
      </c>
      <c r="G67" s="64">
        <f t="shared" si="8"/>
        <v>43498</v>
      </c>
      <c r="H67" s="64">
        <f t="shared" si="9"/>
        <v>43862</v>
      </c>
      <c r="I67" s="68"/>
      <c r="J67" s="68"/>
      <c r="K67"/>
      <c r="L67"/>
      <c r="M67"/>
    </row>
    <row r="68" spans="1:13">
      <c r="A68" s="63">
        <f t="shared" si="2"/>
        <v>5</v>
      </c>
      <c r="B68" s="64">
        <f t="shared" si="3"/>
        <v>41692</v>
      </c>
      <c r="C68" s="64">
        <f t="shared" si="4"/>
        <v>42056</v>
      </c>
      <c r="D68" s="64">
        <f t="shared" si="5"/>
        <v>42420</v>
      </c>
      <c r="E68" s="64">
        <f t="shared" si="6"/>
        <v>42784</v>
      </c>
      <c r="F68" s="64">
        <f t="shared" si="7"/>
        <v>43148</v>
      </c>
      <c r="G68" s="64">
        <f t="shared" si="8"/>
        <v>43512</v>
      </c>
      <c r="H68" s="64">
        <f t="shared" si="9"/>
        <v>43876</v>
      </c>
      <c r="I68" s="68"/>
      <c r="J68" s="68"/>
      <c r="K68"/>
      <c r="L68"/>
      <c r="M68"/>
    </row>
    <row r="69" spans="1:13">
      <c r="A69" s="63">
        <f t="shared" si="2"/>
        <v>6</v>
      </c>
      <c r="B69" s="64">
        <f t="shared" si="3"/>
        <v>41706</v>
      </c>
      <c r="C69" s="64">
        <f t="shared" si="4"/>
        <v>42070</v>
      </c>
      <c r="D69" s="64">
        <f t="shared" si="5"/>
        <v>42434</v>
      </c>
      <c r="E69" s="64">
        <f t="shared" si="6"/>
        <v>42798</v>
      </c>
      <c r="F69" s="64">
        <f t="shared" si="7"/>
        <v>43162</v>
      </c>
      <c r="G69" s="64">
        <f t="shared" si="8"/>
        <v>43526</v>
      </c>
      <c r="H69" s="64">
        <f t="shared" si="9"/>
        <v>43890</v>
      </c>
      <c r="I69" s="68"/>
      <c r="J69" s="68"/>
      <c r="K69"/>
      <c r="L69"/>
      <c r="M69"/>
    </row>
    <row r="70" spans="1:13">
      <c r="A70" s="63">
        <f t="shared" si="2"/>
        <v>7</v>
      </c>
      <c r="B70" s="64">
        <f t="shared" si="3"/>
        <v>41720</v>
      </c>
      <c r="C70" s="64">
        <f t="shared" si="4"/>
        <v>42084</v>
      </c>
      <c r="D70" s="64">
        <f t="shared" si="5"/>
        <v>42448</v>
      </c>
      <c r="E70" s="64">
        <f t="shared" si="6"/>
        <v>42812</v>
      </c>
      <c r="F70" s="64">
        <f t="shared" si="7"/>
        <v>43176</v>
      </c>
      <c r="G70" s="64">
        <f t="shared" si="8"/>
        <v>43540</v>
      </c>
      <c r="H70" s="64">
        <f t="shared" si="9"/>
        <v>43904</v>
      </c>
      <c r="I70" s="68"/>
      <c r="J70" s="68"/>
      <c r="K70"/>
      <c r="L70"/>
      <c r="M70"/>
    </row>
    <row r="71" spans="1:13">
      <c r="A71" s="63">
        <f t="shared" si="2"/>
        <v>8</v>
      </c>
      <c r="B71" s="64">
        <f t="shared" si="3"/>
        <v>41734</v>
      </c>
      <c r="C71" s="64">
        <f t="shared" si="4"/>
        <v>42098</v>
      </c>
      <c r="D71" s="64">
        <f t="shared" si="5"/>
        <v>42462</v>
      </c>
      <c r="E71" s="64">
        <f t="shared" si="6"/>
        <v>42826</v>
      </c>
      <c r="F71" s="64">
        <f t="shared" si="7"/>
        <v>43190</v>
      </c>
      <c r="G71" s="64">
        <f t="shared" si="8"/>
        <v>43554</v>
      </c>
      <c r="H71" s="64">
        <f t="shared" si="9"/>
        <v>43918</v>
      </c>
      <c r="I71" s="68"/>
      <c r="J71" s="68"/>
      <c r="K71"/>
      <c r="L71"/>
      <c r="M71"/>
    </row>
    <row r="72" spans="1:13">
      <c r="A72" s="63">
        <f t="shared" si="2"/>
        <v>9</v>
      </c>
      <c r="B72" s="64">
        <f t="shared" si="3"/>
        <v>41748</v>
      </c>
      <c r="C72" s="64">
        <f t="shared" si="4"/>
        <v>42112</v>
      </c>
      <c r="D72" s="64">
        <f t="shared" si="5"/>
        <v>42476</v>
      </c>
      <c r="E72" s="64">
        <f t="shared" si="6"/>
        <v>42840</v>
      </c>
      <c r="F72" s="64">
        <f t="shared" si="7"/>
        <v>43204</v>
      </c>
      <c r="G72" s="64">
        <f t="shared" si="8"/>
        <v>43568</v>
      </c>
      <c r="H72" s="64">
        <f t="shared" si="9"/>
        <v>43932</v>
      </c>
      <c r="I72" s="68"/>
      <c r="J72" s="68"/>
      <c r="K72"/>
      <c r="L72"/>
      <c r="M72"/>
    </row>
    <row r="73" spans="1:13">
      <c r="A73" s="63">
        <f t="shared" si="2"/>
        <v>10</v>
      </c>
      <c r="B73" s="64">
        <f t="shared" si="3"/>
        <v>41762</v>
      </c>
      <c r="C73" s="64">
        <f t="shared" si="4"/>
        <v>42126</v>
      </c>
      <c r="D73" s="64">
        <f t="shared" si="5"/>
        <v>42490</v>
      </c>
      <c r="E73" s="64">
        <f t="shared" si="6"/>
        <v>42854</v>
      </c>
      <c r="F73" s="64">
        <f t="shared" si="7"/>
        <v>43218</v>
      </c>
      <c r="G73" s="64">
        <f t="shared" si="8"/>
        <v>43582</v>
      </c>
      <c r="H73" s="64">
        <f t="shared" si="9"/>
        <v>43946</v>
      </c>
      <c r="I73" s="68"/>
      <c r="J73" s="68"/>
      <c r="K73"/>
      <c r="L73"/>
      <c r="M73"/>
    </row>
    <row r="74" spans="1:13">
      <c r="A74" s="63">
        <f t="shared" si="2"/>
        <v>11</v>
      </c>
      <c r="B74" s="64">
        <f t="shared" si="3"/>
        <v>41776</v>
      </c>
      <c r="C74" s="64">
        <f t="shared" si="4"/>
        <v>42140</v>
      </c>
      <c r="D74" s="64">
        <f t="shared" si="5"/>
        <v>42504</v>
      </c>
      <c r="E74" s="64">
        <f t="shared" si="6"/>
        <v>42868</v>
      </c>
      <c r="F74" s="64">
        <f t="shared" si="7"/>
        <v>43232</v>
      </c>
      <c r="G74" s="64">
        <f t="shared" si="8"/>
        <v>43596</v>
      </c>
      <c r="H74" s="64">
        <f t="shared" si="9"/>
        <v>43960</v>
      </c>
      <c r="I74" s="68"/>
      <c r="J74" s="68"/>
      <c r="K74"/>
      <c r="L74"/>
      <c r="M74"/>
    </row>
    <row r="75" spans="1:13">
      <c r="A75" s="63">
        <f t="shared" si="2"/>
        <v>12</v>
      </c>
      <c r="B75" s="64">
        <f t="shared" si="3"/>
        <v>41790</v>
      </c>
      <c r="C75" s="64">
        <f t="shared" si="4"/>
        <v>42154</v>
      </c>
      <c r="D75" s="64">
        <f t="shared" si="5"/>
        <v>42518</v>
      </c>
      <c r="E75" s="64">
        <f t="shared" si="6"/>
        <v>42882</v>
      </c>
      <c r="F75" s="64">
        <f t="shared" si="7"/>
        <v>43246</v>
      </c>
      <c r="G75" s="64">
        <f t="shared" si="8"/>
        <v>43610</v>
      </c>
      <c r="H75" s="64">
        <f t="shared" si="9"/>
        <v>43974</v>
      </c>
      <c r="I75" s="68"/>
      <c r="J75" s="68"/>
      <c r="K75"/>
      <c r="L75"/>
      <c r="M75"/>
    </row>
    <row r="76" spans="1:13">
      <c r="A76" s="63">
        <f t="shared" si="2"/>
        <v>13</v>
      </c>
      <c r="B76" s="64">
        <f t="shared" si="3"/>
        <v>41804</v>
      </c>
      <c r="C76" s="64">
        <f t="shared" si="4"/>
        <v>42168</v>
      </c>
      <c r="D76" s="64">
        <f t="shared" si="5"/>
        <v>42532</v>
      </c>
      <c r="E76" s="64">
        <f t="shared" si="6"/>
        <v>42896</v>
      </c>
      <c r="F76" s="64">
        <f t="shared" si="7"/>
        <v>43260</v>
      </c>
      <c r="G76" s="64">
        <f t="shared" si="8"/>
        <v>43624</v>
      </c>
      <c r="H76" s="64">
        <f t="shared" si="9"/>
        <v>43988</v>
      </c>
      <c r="I76" s="68"/>
      <c r="J76" s="68"/>
      <c r="K76"/>
      <c r="L76"/>
      <c r="M76"/>
    </row>
    <row r="77" spans="1:13">
      <c r="A77" s="63">
        <f t="shared" si="2"/>
        <v>14</v>
      </c>
      <c r="B77" s="64">
        <f t="shared" si="3"/>
        <v>41818</v>
      </c>
      <c r="C77" s="64">
        <f t="shared" si="4"/>
        <v>42182</v>
      </c>
      <c r="D77" s="64">
        <f t="shared" si="5"/>
        <v>42546</v>
      </c>
      <c r="E77" s="64">
        <f t="shared" si="6"/>
        <v>42910</v>
      </c>
      <c r="F77" s="64">
        <f t="shared" si="7"/>
        <v>43274</v>
      </c>
      <c r="G77" s="64">
        <f t="shared" si="8"/>
        <v>43638</v>
      </c>
      <c r="H77" s="64">
        <f t="shared" si="9"/>
        <v>44002</v>
      </c>
      <c r="I77" s="68"/>
      <c r="J77" s="68"/>
      <c r="K77"/>
      <c r="L77"/>
      <c r="M77"/>
    </row>
    <row r="78" spans="1:13">
      <c r="A78" s="63">
        <f t="shared" si="2"/>
        <v>15</v>
      </c>
      <c r="B78" s="64">
        <f t="shared" si="3"/>
        <v>41832</v>
      </c>
      <c r="C78" s="64">
        <f t="shared" si="4"/>
        <v>42196</v>
      </c>
      <c r="D78" s="64">
        <f t="shared" si="5"/>
        <v>42560</v>
      </c>
      <c r="E78" s="64">
        <f t="shared" si="6"/>
        <v>42924</v>
      </c>
      <c r="F78" s="64">
        <f t="shared" si="7"/>
        <v>43288</v>
      </c>
      <c r="G78" s="64">
        <f t="shared" si="8"/>
        <v>43652</v>
      </c>
      <c r="H78" s="64">
        <f t="shared" si="9"/>
        <v>44016</v>
      </c>
      <c r="I78" s="68"/>
      <c r="J78" s="68"/>
      <c r="K78"/>
      <c r="L78"/>
      <c r="M78"/>
    </row>
    <row r="79" spans="1:13">
      <c r="A79" s="63">
        <f t="shared" si="2"/>
        <v>16</v>
      </c>
      <c r="B79" s="64">
        <f t="shared" si="3"/>
        <v>41846</v>
      </c>
      <c r="C79" s="64">
        <f t="shared" si="4"/>
        <v>42210</v>
      </c>
      <c r="D79" s="64">
        <f t="shared" si="5"/>
        <v>42574</v>
      </c>
      <c r="E79" s="64">
        <f t="shared" si="6"/>
        <v>42938</v>
      </c>
      <c r="F79" s="64">
        <f t="shared" si="7"/>
        <v>43302</v>
      </c>
      <c r="G79" s="64">
        <f t="shared" si="8"/>
        <v>43666</v>
      </c>
      <c r="H79" s="64">
        <f t="shared" si="9"/>
        <v>44030</v>
      </c>
      <c r="I79" s="68"/>
      <c r="J79" s="68"/>
      <c r="K79"/>
      <c r="L79"/>
      <c r="M79"/>
    </row>
    <row r="80" spans="1:13">
      <c r="A80" s="63">
        <f t="shared" si="2"/>
        <v>17</v>
      </c>
      <c r="B80" s="64">
        <f t="shared" si="3"/>
        <v>41860</v>
      </c>
      <c r="C80" s="64">
        <f t="shared" si="4"/>
        <v>42224</v>
      </c>
      <c r="D80" s="64">
        <f t="shared" si="5"/>
        <v>42588</v>
      </c>
      <c r="E80" s="64">
        <f t="shared" si="6"/>
        <v>42952</v>
      </c>
      <c r="F80" s="64">
        <f t="shared" si="7"/>
        <v>43316</v>
      </c>
      <c r="G80" s="64">
        <f t="shared" si="8"/>
        <v>43680</v>
      </c>
      <c r="H80" s="64">
        <f t="shared" si="9"/>
        <v>44044</v>
      </c>
      <c r="I80" s="68"/>
      <c r="J80" s="68"/>
      <c r="K80"/>
      <c r="L80"/>
      <c r="M80"/>
    </row>
    <row r="81" spans="1:13">
      <c r="A81" s="63">
        <f t="shared" si="2"/>
        <v>18</v>
      </c>
      <c r="B81" s="64">
        <f t="shared" si="3"/>
        <v>41874</v>
      </c>
      <c r="C81" s="64">
        <f t="shared" si="4"/>
        <v>42238</v>
      </c>
      <c r="D81" s="64">
        <f t="shared" si="5"/>
        <v>42602</v>
      </c>
      <c r="E81" s="64">
        <f t="shared" si="6"/>
        <v>42966</v>
      </c>
      <c r="F81" s="64">
        <f t="shared" si="7"/>
        <v>43330</v>
      </c>
      <c r="G81" s="64">
        <f t="shared" si="8"/>
        <v>43694</v>
      </c>
      <c r="H81" s="64">
        <f t="shared" si="9"/>
        <v>44058</v>
      </c>
      <c r="I81" s="68"/>
      <c r="J81" s="68"/>
      <c r="K81"/>
      <c r="L81"/>
      <c r="M81"/>
    </row>
    <row r="82" spans="1:13">
      <c r="A82" s="63">
        <f t="shared" si="2"/>
        <v>19</v>
      </c>
      <c r="B82" s="64">
        <f t="shared" si="3"/>
        <v>41888</v>
      </c>
      <c r="C82" s="64">
        <f t="shared" si="4"/>
        <v>42252</v>
      </c>
      <c r="D82" s="64">
        <f t="shared" si="5"/>
        <v>42616</v>
      </c>
      <c r="E82" s="64">
        <f t="shared" si="6"/>
        <v>42980</v>
      </c>
      <c r="F82" s="64">
        <f t="shared" si="7"/>
        <v>43344</v>
      </c>
      <c r="G82" s="64">
        <f t="shared" si="8"/>
        <v>43708</v>
      </c>
      <c r="H82" s="64">
        <f t="shared" si="9"/>
        <v>44072</v>
      </c>
      <c r="I82" s="68"/>
      <c r="J82" s="68"/>
      <c r="K82"/>
      <c r="L82"/>
      <c r="M82"/>
    </row>
    <row r="83" spans="1:13">
      <c r="A83" s="63">
        <f t="shared" si="2"/>
        <v>20</v>
      </c>
      <c r="B83" s="64">
        <f t="shared" si="3"/>
        <v>41902</v>
      </c>
      <c r="C83" s="64">
        <f t="shared" si="4"/>
        <v>42266</v>
      </c>
      <c r="D83" s="64">
        <f t="shared" si="5"/>
        <v>42630</v>
      </c>
      <c r="E83" s="64">
        <f t="shared" si="6"/>
        <v>42994</v>
      </c>
      <c r="F83" s="64">
        <f t="shared" si="7"/>
        <v>43358</v>
      </c>
      <c r="G83" s="64">
        <f t="shared" si="8"/>
        <v>43722</v>
      </c>
      <c r="H83" s="64">
        <f t="shared" si="9"/>
        <v>44086</v>
      </c>
      <c r="I83" s="68"/>
      <c r="J83" s="68"/>
      <c r="K83"/>
      <c r="L83"/>
      <c r="M83"/>
    </row>
    <row r="84" spans="1:13">
      <c r="A84" s="63">
        <f t="shared" si="2"/>
        <v>21</v>
      </c>
      <c r="B84" s="64">
        <f t="shared" si="3"/>
        <v>41916</v>
      </c>
      <c r="C84" s="64">
        <f t="shared" si="4"/>
        <v>42280</v>
      </c>
      <c r="D84" s="64">
        <f t="shared" si="5"/>
        <v>42644</v>
      </c>
      <c r="E84" s="64">
        <f t="shared" si="6"/>
        <v>43008</v>
      </c>
      <c r="F84" s="64">
        <f t="shared" si="7"/>
        <v>43372</v>
      </c>
      <c r="G84" s="64">
        <f t="shared" si="8"/>
        <v>43736</v>
      </c>
      <c r="H84" s="64">
        <f t="shared" si="9"/>
        <v>44100</v>
      </c>
      <c r="I84" s="68"/>
      <c r="J84" s="68"/>
      <c r="K84"/>
      <c r="L84"/>
      <c r="M84"/>
    </row>
    <row r="85" spans="1:13">
      <c r="A85" s="63">
        <f t="shared" si="2"/>
        <v>22</v>
      </c>
      <c r="B85" s="64">
        <f t="shared" si="3"/>
        <v>41930</v>
      </c>
      <c r="C85" s="64">
        <f t="shared" si="4"/>
        <v>42294</v>
      </c>
      <c r="D85" s="64">
        <f t="shared" si="5"/>
        <v>42658</v>
      </c>
      <c r="E85" s="64">
        <f t="shared" si="6"/>
        <v>43022</v>
      </c>
      <c r="F85" s="64">
        <f t="shared" si="7"/>
        <v>43386</v>
      </c>
      <c r="G85" s="64">
        <f t="shared" si="8"/>
        <v>43750</v>
      </c>
      <c r="H85" s="64">
        <f t="shared" si="9"/>
        <v>44114</v>
      </c>
      <c r="I85" s="68"/>
      <c r="J85" s="68"/>
      <c r="K85"/>
      <c r="L85"/>
      <c r="M85"/>
    </row>
    <row r="86" spans="1:13">
      <c r="A86" s="63">
        <f t="shared" si="2"/>
        <v>23</v>
      </c>
      <c r="B86" s="64">
        <f t="shared" si="3"/>
        <v>41944</v>
      </c>
      <c r="C86" s="64">
        <f t="shared" si="4"/>
        <v>42308</v>
      </c>
      <c r="D86" s="64">
        <f t="shared" si="5"/>
        <v>42672</v>
      </c>
      <c r="E86" s="64">
        <f t="shared" si="6"/>
        <v>43036</v>
      </c>
      <c r="F86" s="64">
        <f t="shared" si="7"/>
        <v>43400</v>
      </c>
      <c r="G86" s="64">
        <f t="shared" si="8"/>
        <v>43764</v>
      </c>
      <c r="H86" s="64">
        <f t="shared" si="9"/>
        <v>44128</v>
      </c>
      <c r="I86" s="68"/>
      <c r="J86" s="68"/>
      <c r="K86"/>
      <c r="L86"/>
      <c r="M86"/>
    </row>
    <row r="87" spans="1:13">
      <c r="A87" s="63">
        <f t="shared" si="2"/>
        <v>24</v>
      </c>
      <c r="B87" s="64">
        <f t="shared" si="3"/>
        <v>41958</v>
      </c>
      <c r="C87" s="64">
        <f t="shared" si="4"/>
        <v>42322</v>
      </c>
      <c r="D87" s="64">
        <f t="shared" si="5"/>
        <v>42686</v>
      </c>
      <c r="E87" s="64">
        <f t="shared" si="6"/>
        <v>43050</v>
      </c>
      <c r="F87" s="64">
        <f t="shared" si="7"/>
        <v>43414</v>
      </c>
      <c r="G87" s="64">
        <f t="shared" si="8"/>
        <v>43778</v>
      </c>
      <c r="H87" s="64">
        <f t="shared" si="9"/>
        <v>44142</v>
      </c>
      <c r="I87" s="68"/>
      <c r="J87" s="68"/>
      <c r="K87"/>
      <c r="L87"/>
      <c r="M87"/>
    </row>
    <row r="88" spans="1:13">
      <c r="A88" s="63">
        <f t="shared" si="2"/>
        <v>25</v>
      </c>
      <c r="B88" s="64">
        <f t="shared" si="3"/>
        <v>41972</v>
      </c>
      <c r="C88" s="64">
        <f t="shared" si="4"/>
        <v>42336</v>
      </c>
      <c r="D88" s="64">
        <f t="shared" si="5"/>
        <v>42700</v>
      </c>
      <c r="E88" s="64">
        <f t="shared" si="6"/>
        <v>43064</v>
      </c>
      <c r="F88" s="64">
        <f t="shared" si="7"/>
        <v>43428</v>
      </c>
      <c r="G88" s="64">
        <f t="shared" si="8"/>
        <v>43792</v>
      </c>
      <c r="H88" s="64">
        <f t="shared" si="9"/>
        <v>44156</v>
      </c>
      <c r="I88" s="68"/>
      <c r="J88" s="68"/>
      <c r="K88"/>
      <c r="L88"/>
      <c r="M88"/>
    </row>
    <row r="89" spans="1:13">
      <c r="A89" s="63">
        <f t="shared" si="2"/>
        <v>26</v>
      </c>
      <c r="B89" s="64">
        <f t="shared" si="3"/>
        <v>41986</v>
      </c>
      <c r="C89" s="64">
        <f t="shared" si="4"/>
        <v>42350</v>
      </c>
      <c r="D89" s="64">
        <f t="shared" si="5"/>
        <v>42714</v>
      </c>
      <c r="E89" s="64">
        <f t="shared" si="6"/>
        <v>43078</v>
      </c>
      <c r="F89" s="64">
        <f t="shared" si="7"/>
        <v>43442</v>
      </c>
      <c r="G89" s="64">
        <f t="shared" si="8"/>
        <v>43806</v>
      </c>
      <c r="H89" s="64">
        <f t="shared" si="9"/>
        <v>44170</v>
      </c>
      <c r="I89" s="68"/>
      <c r="J89" s="68"/>
      <c r="K89"/>
      <c r="L89"/>
      <c r="M89"/>
    </row>
    <row r="90" spans="1:13">
      <c r="A90"/>
      <c r="B90"/>
      <c r="C90"/>
      <c r="D90"/>
      <c r="E90"/>
      <c r="F90"/>
      <c r="G90"/>
      <c r="H90"/>
      <c r="I90"/>
      <c r="J90"/>
      <c r="K90"/>
      <c r="L90"/>
      <c r="M90"/>
    </row>
    <row r="91" spans="1:13">
      <c r="A91"/>
      <c r="B91"/>
      <c r="C91"/>
      <c r="D91"/>
      <c r="E91"/>
      <c r="F91"/>
      <c r="G91"/>
      <c r="H91"/>
      <c r="I91"/>
      <c r="J91"/>
      <c r="K91"/>
      <c r="L91"/>
      <c r="M91"/>
    </row>
    <row r="92" spans="1:13" ht="15">
      <c r="A92" s="415" t="s">
        <v>208</v>
      </c>
      <c r="B92" s="416"/>
      <c r="C92" s="416"/>
      <c r="D92" s="416"/>
      <c r="E92" s="416"/>
      <c r="F92" s="416"/>
      <c r="G92" s="416"/>
      <c r="H92" s="416"/>
      <c r="I92" s="416"/>
      <c r="J92" s="416"/>
      <c r="K92" s="416"/>
      <c r="L92" s="416"/>
      <c r="M92" s="417"/>
    </row>
    <row r="93" spans="1:13">
      <c r="A93"/>
      <c r="B93"/>
      <c r="C93"/>
      <c r="D93" s="69"/>
      <c r="E93" s="69"/>
      <c r="F93" s="69"/>
      <c r="G93" s="69"/>
      <c r="H93" s="69"/>
      <c r="I93" s="69"/>
      <c r="J93" s="69"/>
      <c r="K93"/>
      <c r="L93"/>
      <c r="M93"/>
    </row>
    <row r="94" spans="1:13">
      <c r="A94" s="48" t="s">
        <v>158</v>
      </c>
      <c r="C94" t="s">
        <v>209</v>
      </c>
      <c r="D94"/>
      <c r="E94"/>
      <c r="F94" s="69"/>
      <c r="G94" s="69"/>
      <c r="H94" s="69"/>
      <c r="I94" s="69"/>
      <c r="J94" s="69"/>
    </row>
    <row r="95" spans="1:13">
      <c r="A95" s="10" t="s">
        <v>210</v>
      </c>
      <c r="C95" t="s">
        <v>211</v>
      </c>
      <c r="D95"/>
      <c r="E95"/>
      <c r="F95" s="244" t="s">
        <v>212</v>
      </c>
      <c r="G95" s="69"/>
      <c r="H95" s="69"/>
      <c r="I95" s="69"/>
      <c r="J95" s="69"/>
    </row>
    <row r="96" spans="1:13">
      <c r="A96" s="10" t="s">
        <v>161</v>
      </c>
      <c r="C96" t="s">
        <v>213</v>
      </c>
      <c r="D96"/>
      <c r="E96"/>
      <c r="F96" s="244" t="s">
        <v>212</v>
      </c>
      <c r="G96" s="69"/>
      <c r="H96" s="69"/>
      <c r="I96" s="69"/>
      <c r="J96" s="69"/>
    </row>
    <row r="97" spans="1:13">
      <c r="A97" s="10" t="s">
        <v>161</v>
      </c>
      <c r="C97" t="s">
        <v>214</v>
      </c>
      <c r="D97"/>
      <c r="E97"/>
      <c r="F97" s="244" t="s">
        <v>212</v>
      </c>
      <c r="G97" s="69"/>
      <c r="H97" s="69"/>
      <c r="I97" s="69"/>
      <c r="J97" s="69"/>
    </row>
    <row r="98" spans="1:13">
      <c r="A98" s="10" t="s">
        <v>161</v>
      </c>
      <c r="C98" t="s">
        <v>215</v>
      </c>
      <c r="D98"/>
      <c r="E98"/>
      <c r="F98" s="244" t="s">
        <v>212</v>
      </c>
      <c r="G98" s="69"/>
      <c r="H98" s="69"/>
      <c r="I98" s="69"/>
      <c r="J98" s="69"/>
    </row>
    <row r="99" spans="1:13">
      <c r="A99" s="10" t="s">
        <v>161</v>
      </c>
      <c r="C99" t="s">
        <v>216</v>
      </c>
      <c r="D99"/>
      <c r="E99"/>
      <c r="F99" s="244" t="s">
        <v>212</v>
      </c>
      <c r="G99" s="69"/>
      <c r="H99" s="69"/>
      <c r="I99" s="69"/>
      <c r="J99" s="69"/>
    </row>
    <row r="100" spans="1:13">
      <c r="A100" s="10" t="s">
        <v>161</v>
      </c>
      <c r="C100" t="s">
        <v>217</v>
      </c>
      <c r="D100"/>
      <c r="E100"/>
      <c r="F100" s="244" t="s">
        <v>212</v>
      </c>
      <c r="G100" s="69"/>
      <c r="H100" s="69"/>
      <c r="I100" s="69"/>
      <c r="J100" s="69"/>
    </row>
    <row r="101" spans="1:13">
      <c r="A101" s="10" t="s">
        <v>161</v>
      </c>
      <c r="C101" t="s">
        <v>218</v>
      </c>
      <c r="D101"/>
      <c r="E101"/>
      <c r="F101" s="244" t="s">
        <v>212</v>
      </c>
      <c r="G101" s="69"/>
      <c r="H101" s="69"/>
      <c r="I101" s="69"/>
      <c r="J101" s="69"/>
    </row>
    <row r="102" spans="1:13">
      <c r="A102" s="49" t="s">
        <v>162</v>
      </c>
      <c r="C102" t="s">
        <v>219</v>
      </c>
      <c r="D102"/>
      <c r="E102"/>
      <c r="F102" s="244" t="s">
        <v>212</v>
      </c>
      <c r="G102" s="69"/>
      <c r="H102" s="69"/>
      <c r="I102" s="69"/>
      <c r="J102" s="69"/>
    </row>
    <row r="103" spans="1:13">
      <c r="A103"/>
      <c r="B103"/>
      <c r="C103"/>
      <c r="D103"/>
      <c r="E103"/>
      <c r="F103"/>
      <c r="G103"/>
      <c r="H103"/>
      <c r="I103"/>
      <c r="J103"/>
      <c r="K103"/>
      <c r="L103"/>
      <c r="M103"/>
    </row>
    <row r="104" spans="1:13" ht="15">
      <c r="A104" s="415" t="s">
        <v>220</v>
      </c>
      <c r="B104" s="416"/>
      <c r="C104" s="416"/>
      <c r="D104" s="416"/>
      <c r="E104" s="416"/>
      <c r="F104" s="416"/>
      <c r="G104" s="416"/>
      <c r="H104" s="416"/>
      <c r="I104" s="416"/>
      <c r="J104" s="416"/>
      <c r="K104" s="416"/>
      <c r="L104" s="416"/>
      <c r="M104" s="417"/>
    </row>
    <row r="105" spans="1:13">
      <c r="D105"/>
      <c r="E105"/>
      <c r="F105"/>
      <c r="G105"/>
      <c r="H105"/>
      <c r="I105"/>
      <c r="J105"/>
      <c r="K105"/>
      <c r="L105"/>
      <c r="M105"/>
    </row>
    <row r="106" spans="1:13">
      <c r="A106" s="48" t="s">
        <v>158</v>
      </c>
      <c r="D106"/>
      <c r="E106" s="70"/>
      <c r="G106"/>
      <c r="H106"/>
      <c r="I106"/>
      <c r="J106"/>
      <c r="K106"/>
      <c r="L106"/>
      <c r="M106"/>
    </row>
    <row r="107" spans="1:13">
      <c r="A107" s="10" t="s">
        <v>221</v>
      </c>
      <c r="C107" s="1" t="s">
        <v>188</v>
      </c>
      <c r="D107"/>
      <c r="E107"/>
      <c r="G107"/>
      <c r="H107"/>
      <c r="I107"/>
      <c r="J107"/>
      <c r="K107"/>
      <c r="L107"/>
      <c r="M107"/>
    </row>
    <row r="108" spans="1:13">
      <c r="A108" s="10" t="s">
        <v>161</v>
      </c>
      <c r="C108" s="1" t="s">
        <v>192</v>
      </c>
      <c r="D108"/>
      <c r="E108"/>
      <c r="G108"/>
      <c r="H108"/>
      <c r="I108"/>
      <c r="J108"/>
      <c r="K108"/>
      <c r="L108"/>
      <c r="M108"/>
    </row>
    <row r="109" spans="1:13">
      <c r="A109" s="10" t="s">
        <v>161</v>
      </c>
      <c r="C109" s="1" t="s">
        <v>222</v>
      </c>
      <c r="D109"/>
      <c r="E109"/>
      <c r="G109"/>
      <c r="H109"/>
      <c r="I109"/>
      <c r="J109"/>
      <c r="K109"/>
      <c r="L109"/>
      <c r="M109"/>
    </row>
    <row r="110" spans="1:13">
      <c r="A110" s="10" t="s">
        <v>161</v>
      </c>
      <c r="C110" s="1" t="s">
        <v>198</v>
      </c>
      <c r="D110"/>
      <c r="E110"/>
      <c r="G110"/>
      <c r="H110"/>
      <c r="I110"/>
      <c r="J110"/>
      <c r="K110"/>
      <c r="L110"/>
      <c r="M110"/>
    </row>
    <row r="111" spans="1:13">
      <c r="A111" s="10" t="s">
        <v>161</v>
      </c>
      <c r="C111" s="1" t="s">
        <v>223</v>
      </c>
      <c r="D111"/>
      <c r="E111"/>
      <c r="G111"/>
      <c r="H111"/>
      <c r="I111"/>
      <c r="J111"/>
      <c r="K111"/>
      <c r="L111"/>
      <c r="M111"/>
    </row>
    <row r="112" spans="1:13">
      <c r="A112" s="10" t="s">
        <v>161</v>
      </c>
      <c r="C112" s="1" t="s">
        <v>224</v>
      </c>
      <c r="D112"/>
      <c r="E112"/>
      <c r="G112"/>
      <c r="H112"/>
      <c r="I112"/>
      <c r="J112"/>
      <c r="K112"/>
      <c r="L112"/>
      <c r="M112"/>
    </row>
    <row r="113" spans="1:13">
      <c r="A113" s="10" t="s">
        <v>161</v>
      </c>
      <c r="C113" s="1" t="s">
        <v>225</v>
      </c>
      <c r="D113"/>
      <c r="E113"/>
      <c r="G113"/>
      <c r="H113"/>
      <c r="I113"/>
      <c r="J113"/>
      <c r="K113"/>
      <c r="L113"/>
      <c r="M113"/>
    </row>
    <row r="114" spans="1:13">
      <c r="A114" s="10" t="s">
        <v>161</v>
      </c>
      <c r="C114" s="1" t="s">
        <v>200</v>
      </c>
      <c r="D114"/>
      <c r="E114"/>
      <c r="G114"/>
      <c r="H114"/>
      <c r="I114"/>
      <c r="J114"/>
      <c r="K114"/>
      <c r="L114"/>
      <c r="M114"/>
    </row>
    <row r="115" spans="1:13">
      <c r="A115" s="49" t="s">
        <v>162</v>
      </c>
      <c r="C115" s="1" t="s">
        <v>203</v>
      </c>
      <c r="D115"/>
      <c r="E115"/>
      <c r="G115"/>
      <c r="H115"/>
      <c r="I115"/>
      <c r="J115"/>
      <c r="K115"/>
      <c r="L115"/>
      <c r="M115"/>
    </row>
    <row r="116" spans="1:13">
      <c r="A116"/>
      <c r="B116"/>
      <c r="C116"/>
      <c r="D116"/>
      <c r="E116"/>
      <c r="F116"/>
      <c r="G116"/>
      <c r="H116"/>
      <c r="I116"/>
      <c r="J116"/>
      <c r="K116"/>
      <c r="L116"/>
      <c r="M116"/>
    </row>
    <row r="117" spans="1:13" ht="18" customHeight="1">
      <c r="A117" s="419" t="s">
        <v>226</v>
      </c>
      <c r="B117" s="420"/>
      <c r="C117" s="420"/>
      <c r="D117" s="420"/>
      <c r="E117" s="420"/>
      <c r="F117" s="420"/>
      <c r="G117" s="420"/>
      <c r="H117" s="420"/>
      <c r="I117" s="420"/>
      <c r="J117" s="420"/>
      <c r="K117" s="420"/>
      <c r="L117" s="420"/>
      <c r="M117" s="421"/>
    </row>
    <row r="118" spans="1:13">
      <c r="A118"/>
      <c r="B118"/>
      <c r="C118"/>
      <c r="D118"/>
      <c r="E118"/>
      <c r="F118"/>
      <c r="G118"/>
      <c r="H118"/>
      <c r="I118"/>
      <c r="J118"/>
      <c r="K118"/>
      <c r="L118"/>
      <c r="M118"/>
    </row>
    <row r="119" spans="1:13">
      <c r="A119" s="422" t="s">
        <v>171</v>
      </c>
      <c r="B119" s="422"/>
      <c r="C119" s="422"/>
      <c r="D119" s="422"/>
      <c r="E119" s="422"/>
      <c r="F119" s="422"/>
      <c r="G119" s="422"/>
      <c r="H119" s="422"/>
      <c r="I119" s="422"/>
      <c r="J119" s="422"/>
      <c r="K119" s="422"/>
      <c r="L119"/>
      <c r="M119"/>
    </row>
    <row r="120" spans="1:13">
      <c r="A120" s="72">
        <v>1</v>
      </c>
      <c r="B120" s="72">
        <v>2</v>
      </c>
      <c r="C120" s="72">
        <v>3</v>
      </c>
      <c r="D120" s="71">
        <v>4</v>
      </c>
      <c r="E120" s="73">
        <v>5</v>
      </c>
      <c r="F120" s="74"/>
      <c r="G120" s="74"/>
      <c r="H120" s="74"/>
      <c r="I120" s="74"/>
      <c r="J120" s="78"/>
      <c r="K120"/>
      <c r="L120"/>
    </row>
    <row r="121" spans="1:13">
      <c r="A121" s="53" t="s">
        <v>174</v>
      </c>
      <c r="B121" s="53" t="s">
        <v>175</v>
      </c>
      <c r="C121" s="53" t="s">
        <v>176</v>
      </c>
      <c r="D121" s="53" t="s">
        <v>177</v>
      </c>
      <c r="E121" s="75" t="s">
        <v>227</v>
      </c>
      <c r="F121" s="76"/>
      <c r="G121" s="76"/>
      <c r="H121" s="76"/>
      <c r="I121" s="76"/>
      <c r="J121" s="79"/>
      <c r="K121"/>
      <c r="L121"/>
    </row>
    <row r="122" spans="1:13">
      <c r="A122" s="58" t="str">
        <f>$C$54</f>
        <v>Annually (1)</v>
      </c>
      <c r="B122" s="56">
        <f>$E$49</f>
        <v>1</v>
      </c>
      <c r="C122" s="59">
        <f>$F$49</f>
        <v>2080</v>
      </c>
      <c r="D122" s="58" t="str">
        <f>$G$49</f>
        <v>annually</v>
      </c>
      <c r="E122" s="77" t="e">
        <f>IF(D135=0,"N/A",CONCATENATE("Working full-time at current rate of pay (",DOLLAR(D204,0)," annually), borrower's YTD earnings would need to reflect ",DOLLAR(D231,0)," as the total amount of base earnings from ",MONTH(C143),"/",DAY(C143),"/",YEAR(C143)," to ",MONTH(D143),"/",DAY(D143),"/",YEAR(D143)," (excluding bonus, commissions, differential, incentive, overtime, etc.)."))</f>
        <v>#REF!</v>
      </c>
      <c r="F122" s="76"/>
      <c r="G122" s="76"/>
      <c r="H122" s="76"/>
      <c r="I122" s="76"/>
      <c r="J122" s="80"/>
      <c r="K122"/>
      <c r="L122"/>
    </row>
    <row r="123" spans="1:13">
      <c r="A123" s="245" t="str">
        <f>$C$51</f>
        <v>Bi-Weekly (26)</v>
      </c>
      <c r="B123" s="56">
        <f>$E$50</f>
        <v>26</v>
      </c>
      <c r="C123" s="59">
        <f>$F$50</f>
        <v>80</v>
      </c>
      <c r="D123" s="58" t="str">
        <f>$G$50</f>
        <v>bi-weekly</v>
      </c>
      <c r="E123" s="77" t="e">
        <f>IF(D135=0,"N/A",CONCATENATE("Working full-time at current rate of pay (",DOLLAR(D204,0)," bi-weekly), borrower's YTD earnings would need to reflect ",DOLLAR(D231,0)," as the total amount of base earnings from ",MONTH(C143),"/",DAY(C143),"/",YEAR(C143)," to ",MONTH(D143),"/",DAY(D143),"/",YEAR(D143)," (excluding bonus, commissions, differential, incentive, overtime, etc.)."))</f>
        <v>#REF!</v>
      </c>
      <c r="F123" s="76"/>
      <c r="G123" s="76"/>
      <c r="H123" s="76"/>
      <c r="I123" s="76"/>
      <c r="J123" s="80"/>
      <c r="K123"/>
      <c r="L123"/>
    </row>
    <row r="124" spans="1:13">
      <c r="A124" s="58" t="str">
        <f>$C$49</f>
        <v>Hourly (H)</v>
      </c>
      <c r="B124" s="56">
        <f>$E$51</f>
        <v>2080</v>
      </c>
      <c r="C124" s="59">
        <f>$F$51</f>
        <v>1</v>
      </c>
      <c r="D124" s="58" t="str">
        <f>$G$51</f>
        <v>hourly</v>
      </c>
      <c r="E124" s="77" t="e">
        <f>IF(D135=0,"N/A",CONCATENATE("Working full-time at current rate of pay (",DOLLAR(D204,2)," hourly), borrower's YTD earnings would need to reflect ",DOLLAR(D231,0)," as the total amount of base earnings from ",MONTH(C143),"/",DAY(C143),"/",YEAR(C143)," to ",MONTH(D143),"/",DAY(D143),"/",YEAR(D143)," (excluding bonus, commissions, differential, incentive, overtime, etc.)."))</f>
        <v>#REF!</v>
      </c>
      <c r="F124" s="76"/>
      <c r="G124" s="76"/>
      <c r="H124" s="76"/>
      <c r="I124" s="76"/>
      <c r="J124" s="80"/>
      <c r="K124"/>
      <c r="L124"/>
    </row>
    <row r="125" spans="1:13">
      <c r="A125" s="58" t="str">
        <f>$C$53</f>
        <v>Monthly (12)</v>
      </c>
      <c r="B125" s="56">
        <f>$E$52</f>
        <v>12</v>
      </c>
      <c r="C125" s="59">
        <f>$F$52</f>
        <v>173.333333333333</v>
      </c>
      <c r="D125" s="243" t="str">
        <f>$G$52</f>
        <v>monthly</v>
      </c>
      <c r="E125" s="77" t="e">
        <f>IF(D135=0,"N/A",CONCATENATE("Working full-time at current rate of pay (",DOLLAR(D204,0)," monthly), borrower's YTD earnings would need to reflect ",DOLLAR(D231,0)," as the total amount of base earnings from ",MONTH(C143),"/",DAY(C143),"/",YEAR(C143)," to ",MONTH(D143),"/",DAY(D143),"/",YEAR(D143)," (excluding bonus, commissions, differential, incentive, overtime, etc.)."))</f>
        <v>#REF!</v>
      </c>
      <c r="F125" s="76"/>
      <c r="G125" s="76"/>
      <c r="H125" s="76"/>
      <c r="I125" s="76"/>
      <c r="J125" s="80"/>
      <c r="K125"/>
      <c r="L125"/>
    </row>
    <row r="126" spans="1:13">
      <c r="A126" s="58" t="str">
        <f>$C$55</f>
        <v>Part-Time</v>
      </c>
      <c r="B126" s="56">
        <f>$E$53</f>
        <v>0</v>
      </c>
      <c r="C126" s="59">
        <f>$F$53</f>
        <v>0</v>
      </c>
      <c r="D126" s="58" t="str">
        <f>$G$53</f>
        <v>part-time</v>
      </c>
      <c r="E126" s="77" t="e">
        <f>IF(D135=0,"N/A",CONCATENATE("Working Part-Time at averaged monthly pay, borrower's YTD earnings would need to reflect approximately ",DOLLAR(D231,0)," as the total amount of base earnings from ",MONTH(C143),"/",DAY(C143),"/",YEAR(C143)," to ",MONTH(D143),"/",DAY(D143),"/",YEAR(D143)," (excluding bonus, commissions, differential, incentive, overtime, etc.)."))</f>
        <v>#REF!</v>
      </c>
      <c r="F126" s="76"/>
      <c r="G126" s="76"/>
      <c r="H126" s="76"/>
      <c r="I126" s="76"/>
      <c r="J126" s="80"/>
      <c r="K126"/>
      <c r="L126"/>
    </row>
    <row r="127" spans="1:13">
      <c r="A127" s="58" t="str">
        <f>$C$56</f>
        <v>Seasonal</v>
      </c>
      <c r="B127" s="56">
        <f>$E$54</f>
        <v>0</v>
      </c>
      <c r="C127" s="59">
        <f>$F$54</f>
        <v>0</v>
      </c>
      <c r="D127" s="58" t="str">
        <f>$G$54</f>
        <v>seasonal</v>
      </c>
      <c r="E127" s="77" t="e">
        <f>IF(D135=0,"N/A",CONCATENATE("Working Seasonal at averaged monthly pay, borrower's YTD earnings would need to reflect approximately ",DOLLAR(D231,0)," as the total amount of base earnings from ",MONTH(C143),"/",DAY(C143),"/",YEAR(C143)," to ",MONTH(D143),"/",DAY(D143),"/",YEAR(D143)," (excluding bonus, commissions, differential, incentive, overtime, etc.)."))</f>
        <v>#REF!</v>
      </c>
      <c r="F127" s="76"/>
      <c r="G127" s="76"/>
      <c r="H127" s="76"/>
      <c r="I127" s="76"/>
      <c r="J127" s="80"/>
      <c r="K127"/>
      <c r="L127"/>
    </row>
    <row r="128" spans="1:13">
      <c r="A128" s="58" t="str">
        <f>$C$52</f>
        <v>Semi-Monthly (24)</v>
      </c>
      <c r="B128" s="56">
        <f>$E$55</f>
        <v>24</v>
      </c>
      <c r="C128" s="59">
        <f>$F$55</f>
        <v>86.6666666666667</v>
      </c>
      <c r="D128" s="58" t="str">
        <f>$G$55</f>
        <v>semi-monthly</v>
      </c>
      <c r="E128" s="77" t="e">
        <f>IF(D135=0,"N/A",CONCATENATE("Working full-time at current rate of pay (",DOLLAR(D204,2)," semi-monthly), borrower's YTD earnings would need to reflect ",DOLLAR(D231,0)," as the total amount of base earnings from ",MONTH(C143),"/",DAY(C143),"/",YEAR(C143)," to ",MONTH(D143),"/",DAY(D143),"/",YEAR(D143)," (excluding bonus, commissions, differential, incentive, overtime, etc.)."))</f>
        <v>#REF!</v>
      </c>
      <c r="F128" s="76"/>
      <c r="G128" s="76"/>
      <c r="H128" s="76"/>
      <c r="I128" s="76"/>
      <c r="J128" s="80"/>
      <c r="K128"/>
      <c r="L128"/>
    </row>
    <row r="129" spans="1:13">
      <c r="A129" s="58" t="str">
        <f>$C$57</f>
        <v>Varies / Averaged</v>
      </c>
      <c r="B129" s="56">
        <f>$E$56</f>
        <v>0</v>
      </c>
      <c r="C129" s="59">
        <f>$F$56</f>
        <v>0</v>
      </c>
      <c r="D129" s="58" t="str">
        <f>$G$56</f>
        <v>varies</v>
      </c>
      <c r="E129" s="77" t="e">
        <f>IF(D135=0,"N/A",CONCATENATE("Based on calculated averaged monthly earnings, borrower's YTD earnings should reflect approximately ",DOLLAR(D231,0)," as the total amount of base income earned from ",MONTH(C143),"/",DAY(C143),"/",YEAR(C143)," to ",MONTH(D143),"/",DAY(D143),"/",YEAR(D143)," (excluding bonus, commissions, differential, incentive, overtime, etc.)."))</f>
        <v>#REF!</v>
      </c>
      <c r="F129" s="76"/>
      <c r="G129" s="76"/>
      <c r="H129" s="76"/>
      <c r="I129" s="76"/>
      <c r="J129" s="80"/>
      <c r="K129"/>
      <c r="L129"/>
    </row>
    <row r="130" spans="1:13">
      <c r="A130" s="58" t="str">
        <f>$C$50</f>
        <v>Weekly (52)</v>
      </c>
      <c r="B130" s="56">
        <f>$E$57</f>
        <v>52</v>
      </c>
      <c r="C130" s="59">
        <f>$F$57</f>
        <v>40</v>
      </c>
      <c r="D130" s="58" t="str">
        <f>$G$57</f>
        <v>weekly</v>
      </c>
      <c r="E130" s="77" t="e">
        <f>IF(D135=0,"N/A",CONCATENATE("Working full-time at current rate of pay (",DOLLAR(D204,2)," weekly), borrower's YTD earnings would need to reflect ",DOLLAR(D231,0)," as the total amount of base earnings from ",MONTH(C143),"/",DAY(C143),"/",YEAR(C143)," to ",MONTH(D143),"/",DAY(D143),"/",YEAR(D143)," (excluding bonus, commissions, differential, incentive, overtime, etc.)."))</f>
        <v>#REF!</v>
      </c>
      <c r="F130" s="76"/>
      <c r="G130" s="76"/>
      <c r="H130" s="76"/>
      <c r="I130" s="76"/>
      <c r="J130" s="80"/>
      <c r="K130"/>
      <c r="L130"/>
    </row>
    <row r="131" spans="1:13">
      <c r="A131"/>
      <c r="B131"/>
      <c r="C131"/>
      <c r="D131"/>
      <c r="E131"/>
      <c r="F131"/>
      <c r="G131"/>
      <c r="H131"/>
      <c r="I131"/>
      <c r="J131"/>
      <c r="K131"/>
      <c r="L131"/>
      <c r="M131"/>
    </row>
    <row r="132" spans="1:13">
      <c r="A132" t="s">
        <v>228</v>
      </c>
      <c r="B132"/>
      <c r="C132"/>
      <c r="D132" s="81" t="e">
        <f>IF(#REF!="","",#REF!)</f>
        <v>#REF!</v>
      </c>
      <c r="E132"/>
      <c r="F132" s="82"/>
      <c r="G132" s="246" t="s">
        <v>229</v>
      </c>
      <c r="H132" s="82"/>
      <c r="I132" s="82"/>
      <c r="J132" s="82"/>
      <c r="K132"/>
      <c r="L132"/>
      <c r="M132"/>
    </row>
    <row r="133" spans="1:13">
      <c r="A133" t="s">
        <v>230</v>
      </c>
      <c r="B133"/>
      <c r="C133"/>
      <c r="D133" s="83" t="e">
        <f>IF(OR(#REF!=0,#REF!=""),0,#REF!)</f>
        <v>#REF!</v>
      </c>
      <c r="E133"/>
      <c r="F133" s="82"/>
      <c r="G133" s="246" t="s">
        <v>231</v>
      </c>
      <c r="H133" s="82"/>
      <c r="I133" s="82"/>
      <c r="J133" s="82"/>
      <c r="K133"/>
      <c r="L133"/>
      <c r="M133"/>
    </row>
    <row r="134" spans="1:13">
      <c r="A134" t="s">
        <v>232</v>
      </c>
      <c r="B134"/>
      <c r="C134"/>
      <c r="D134" s="83" t="e">
        <f>IF(D135=A126,"Hourly Rate of Pay (part-time)","Rate of Pay")</f>
        <v>#REF!</v>
      </c>
      <c r="E134"/>
      <c r="F134" s="82"/>
      <c r="G134" s="82"/>
      <c r="H134" s="82"/>
      <c r="I134" s="82"/>
      <c r="J134" s="82"/>
      <c r="K134"/>
      <c r="L134"/>
      <c r="M134"/>
    </row>
    <row r="135" spans="1:13">
      <c r="A135" t="s">
        <v>233</v>
      </c>
      <c r="B135"/>
      <c r="C135"/>
      <c r="D135" s="84" t="e">
        <f>#REF!</f>
        <v>#REF!</v>
      </c>
      <c r="E135"/>
      <c r="F135" s="82"/>
      <c r="G135" s="246" t="s">
        <v>234</v>
      </c>
      <c r="H135" s="82"/>
      <c r="I135" s="82"/>
      <c r="J135" s="82"/>
      <c r="K135"/>
      <c r="L135"/>
      <c r="M135"/>
    </row>
    <row r="136" spans="1:13">
      <c r="A136" t="s">
        <v>235</v>
      </c>
      <c r="B136"/>
      <c r="C136"/>
      <c r="D136" s="85" t="e">
        <f>#REF!</f>
        <v>#REF!</v>
      </c>
      <c r="E136" t="e">
        <f>AND(D135="Hourly (H)",D227&lt;D136)</f>
        <v>#REF!</v>
      </c>
      <c r="F136" s="82"/>
      <c r="G136" s="246" t="s">
        <v>236</v>
      </c>
      <c r="H136" s="82"/>
      <c r="I136" s="82"/>
      <c r="J136" s="82"/>
      <c r="K136"/>
      <c r="L136"/>
      <c r="M136"/>
    </row>
    <row r="137" spans="1:13">
      <c r="A137" t="s">
        <v>237</v>
      </c>
      <c r="B137"/>
      <c r="C137"/>
      <c r="D137" s="83" t="e">
        <f>IF(OR(D133=0,D135=0),"",IF(D135="Hourly (H)",(D133*D136)*52,D133*VLOOKUP(D135,A122:E130,2,FALSE)))</f>
        <v>#REF!</v>
      </c>
      <c r="E137"/>
      <c r="F137" s="82"/>
      <c r="G137" s="246" t="s">
        <v>238</v>
      </c>
      <c r="H137" s="82"/>
      <c r="I137" s="82"/>
      <c r="J137" s="82"/>
      <c r="K137"/>
      <c r="L137"/>
      <c r="M137"/>
    </row>
    <row r="138" spans="1:13">
      <c r="A138" t="s">
        <v>239</v>
      </c>
      <c r="B138"/>
      <c r="C138"/>
      <c r="D138" s="86" t="e">
        <f>IF(OR(D133=0,D135=0),0,IF(OR(D135=A126,D135=A127,D135=A129),J146,ROUND(D137/12,0)))</f>
        <v>#REF!</v>
      </c>
      <c r="E138"/>
      <c r="F138" s="82"/>
      <c r="G138" s="246" t="s">
        <v>240</v>
      </c>
      <c r="H138" s="82"/>
      <c r="I138" s="82"/>
      <c r="J138" s="82"/>
      <c r="K138"/>
      <c r="L138"/>
      <c r="M138"/>
    </row>
    <row r="139" spans="1:13">
      <c r="A139" t="s">
        <v>241</v>
      </c>
      <c r="B139"/>
      <c r="C139"/>
      <c r="D139" t="b">
        <v>0</v>
      </c>
      <c r="E139"/>
      <c r="F139" s="82"/>
      <c r="G139" s="246" t="s">
        <v>242</v>
      </c>
      <c r="H139" s="82"/>
      <c r="I139" s="82"/>
      <c r="J139" s="82"/>
      <c r="K139"/>
      <c r="L139"/>
      <c r="M139"/>
    </row>
    <row r="140" spans="1:13">
      <c r="A140"/>
      <c r="B140"/>
      <c r="C140"/>
      <c r="D140"/>
      <c r="E140"/>
      <c r="F140"/>
      <c r="G140"/>
      <c r="H140"/>
      <c r="I140"/>
      <c r="J140"/>
      <c r="K140"/>
      <c r="L140"/>
      <c r="M140"/>
    </row>
    <row r="141" spans="1:13">
      <c r="A141" s="423" t="s">
        <v>243</v>
      </c>
      <c r="B141" s="424"/>
      <c r="C141" s="424"/>
      <c r="D141" s="424"/>
      <c r="E141" s="424"/>
      <c r="F141" s="424"/>
      <c r="G141" s="425"/>
      <c r="H141" s="423" t="s">
        <v>244</v>
      </c>
      <c r="I141" s="424"/>
      <c r="J141" s="425"/>
      <c r="K141" s="423" t="s">
        <v>245</v>
      </c>
      <c r="L141" s="424"/>
      <c r="M141" s="425"/>
    </row>
    <row r="142" spans="1:13">
      <c r="A142" s="87" t="s">
        <v>246</v>
      </c>
      <c r="B142" s="87" t="s">
        <v>164</v>
      </c>
      <c r="C142" s="87" t="s">
        <v>247</v>
      </c>
      <c r="D142" s="87" t="s">
        <v>248</v>
      </c>
      <c r="E142" s="87" t="s">
        <v>5</v>
      </c>
      <c r="F142" s="87" t="s">
        <v>4</v>
      </c>
      <c r="G142" s="87" t="s">
        <v>1</v>
      </c>
      <c r="H142" s="87" t="s">
        <v>154</v>
      </c>
      <c r="I142" s="87" t="s">
        <v>4</v>
      </c>
      <c r="J142" s="87" t="s">
        <v>5</v>
      </c>
      <c r="K142" s="87" t="s">
        <v>249</v>
      </c>
      <c r="L142" s="87" t="s">
        <v>250</v>
      </c>
      <c r="M142" s="87" t="s">
        <v>251</v>
      </c>
    </row>
    <row r="143" spans="1:13">
      <c r="A143" s="88" t="b">
        <v>1</v>
      </c>
      <c r="B143" s="89" t="e">
        <f>#REF!</f>
        <v>#REF!</v>
      </c>
      <c r="C143" s="90" t="e">
        <f>#REF!</f>
        <v>#REF!</v>
      </c>
      <c r="D143" s="90" t="e">
        <f>#REF!</f>
        <v>#REF!</v>
      </c>
      <c r="E143" s="91" t="e">
        <f>IF(#REF!="",0,#REF!)</f>
        <v>#REF!</v>
      </c>
      <c r="F143" s="92" t="e">
        <f>IF(OR(D143="",E143="",E143=0),"",ROUND((((D143-C143)+1)/365)*12,1))</f>
        <v>#REF!</v>
      </c>
      <c r="G143" s="93" t="e">
        <f>IF(OR(D143="",E143="",E143=0),"",ROUND(E143/F143,0))</f>
        <v>#REF!</v>
      </c>
      <c r="H143" s="93" t="e">
        <f>IF(A143=TRUE,E143,0)</f>
        <v>#REF!</v>
      </c>
      <c r="I143" s="118" t="e">
        <f>IF(A143=TRUE,F143,0)</f>
        <v>#REF!</v>
      </c>
      <c r="J143" s="93" t="e">
        <f>IF(OR(A143=FALSE,H143=0,I143=0),0,ROUND(H143/I143,0))</f>
        <v>#REF!</v>
      </c>
      <c r="K143" s="92" t="e">
        <f>IF(OR(G143="",G143=0,G144="",G144=0),100,IF(G143&gt;G144,((G143-G144)/G144)*100,((G144-G143)/G144)*100))</f>
        <v>#REF!</v>
      </c>
      <c r="L143" s="54" t="e">
        <f>IF(G143&gt;G144,"Increase","Decrease")</f>
        <v>#REF!</v>
      </c>
      <c r="M143" s="54" t="e">
        <f>IF(AND(A143=TRUE,E143&gt;0),TRUE,FALSE)</f>
        <v>#REF!</v>
      </c>
    </row>
    <row r="144" spans="1:13">
      <c r="A144" s="57" t="b">
        <v>1</v>
      </c>
      <c r="B144" s="94" t="e">
        <f>#REF!</f>
        <v>#REF!</v>
      </c>
      <c r="C144" s="95" t="e">
        <f>#REF!</f>
        <v>#REF!</v>
      </c>
      <c r="D144" s="96" t="e">
        <f>#REF!</f>
        <v>#REF!</v>
      </c>
      <c r="E144" s="91" t="e">
        <f>IF(#REF!="",0,#REF!)</f>
        <v>#REF!</v>
      </c>
      <c r="F144" s="92" t="e">
        <f>IF(OR(E144="",E144=0),"",ROUND((((D144-C144)+1)/365)*12,1))</f>
        <v>#REF!</v>
      </c>
      <c r="G144" s="97" t="e">
        <f>IF(OR(E144="",E144=0),"",ROUND(E144/F144,0))</f>
        <v>#REF!</v>
      </c>
      <c r="H144" s="93" t="e">
        <f>IF(A144=TRUE,E144,0)</f>
        <v>#REF!</v>
      </c>
      <c r="I144" s="118" t="e">
        <f>IF(A144=TRUE,F144,0)</f>
        <v>#REF!</v>
      </c>
      <c r="J144" s="93" t="e">
        <f>IF(OR(A144=FALSE,H144=0,I144=0),0,ROUND(H144/I144,0))</f>
        <v>#REF!</v>
      </c>
      <c r="K144" s="92" t="e">
        <f>IF(OR(G144="",G144=0,G145="",G145=0),100,IF(G144&gt;G145,((G144-G145)/G145)*100,((G145-G144)/G145)*100))</f>
        <v>#REF!</v>
      </c>
      <c r="L144" s="54" t="e">
        <f>IF(G144&gt;G145,"Increase","Decrease")</f>
        <v>#REF!</v>
      </c>
      <c r="M144" s="54" t="e">
        <f>IF(AND(A144=TRUE,E144&gt;0),TRUE,FALSE)</f>
        <v>#REF!</v>
      </c>
    </row>
    <row r="145" spans="1:13">
      <c r="A145" s="57" t="b">
        <v>0</v>
      </c>
      <c r="B145" s="94" t="e">
        <f>#REF!</f>
        <v>#REF!</v>
      </c>
      <c r="C145" s="95" t="e">
        <f>#REF!</f>
        <v>#REF!</v>
      </c>
      <c r="D145" s="96" t="e">
        <f>#REF!</f>
        <v>#REF!</v>
      </c>
      <c r="E145" s="91" t="e">
        <f>IF(#REF!="",0,#REF!)</f>
        <v>#REF!</v>
      </c>
      <c r="F145" s="92" t="e">
        <f>IF(OR(E145="",E145=0),"",ROUND((((D145-C145)+1)/365)*12,1))</f>
        <v>#REF!</v>
      </c>
      <c r="G145" s="97" t="e">
        <f>IF(OR(E145="",E145=0),"",ROUND(E145/F145,0))</f>
        <v>#REF!</v>
      </c>
      <c r="H145" s="93">
        <f>IF(A145=TRUE,E145,0)</f>
        <v>0</v>
      </c>
      <c r="I145" s="118">
        <f>IF(A145=TRUE,F145,0)</f>
        <v>0</v>
      </c>
      <c r="J145" s="93">
        <f>IF(OR(A145=FALSE,H145=0,I145=0),0,ROUND(H145/I145,0))</f>
        <v>0</v>
      </c>
      <c r="K145" s="92" t="e">
        <f>IF(OR(G143="",G143=0,G145="",G145=0),100,IF(G143&gt;G145,((G143-G145)/G145)*100,((G145-G143)/G145)*100))</f>
        <v>#REF!</v>
      </c>
      <c r="L145" s="54" t="e">
        <f>IF(G143&gt;G145,"Increase","Decrease")</f>
        <v>#REF!</v>
      </c>
      <c r="M145" s="54" t="e">
        <f>IF(AND(A145=TRUE,E145&gt;0),TRUE,FALSE)</f>
        <v>#REF!</v>
      </c>
    </row>
    <row r="146" spans="1:13">
      <c r="A146" s="51" t="s">
        <v>252</v>
      </c>
      <c r="B146" s="98"/>
      <c r="C146" s="99"/>
      <c r="D146" s="99"/>
      <c r="E146" s="100" t="e">
        <f>SUM(E143:E145)</f>
        <v>#REF!</v>
      </c>
      <c r="F146" s="101" t="e">
        <f>SUM(F143:F145)</f>
        <v>#REF!</v>
      </c>
      <c r="G146" s="102" t="e">
        <f>IF(AND(D133=0,D135=0),0,IF(D139=TRUE,D138,IF(OR(D135=A126,D135=A127,D135=A129,F143=FALSE,F144=FALSE,F145=FALSE),J146,IF(D139=FALSE,MIN(D138,G143),J146))))</f>
        <v>#REF!</v>
      </c>
      <c r="H146" s="97" t="e">
        <f>IF(SUM(E143:E145)=0,0,SUM(H143:H145))</f>
        <v>#REF!</v>
      </c>
      <c r="I146" s="119" t="e">
        <f>IF(SUM(F143:F145)=0,0,SUM(I143:I145))</f>
        <v>#REF!</v>
      </c>
      <c r="J146" s="97" t="e">
        <f>IF(I146=0,0,ROUND(H146/I146,0))</f>
        <v>#REF!</v>
      </c>
      <c r="K146" s="99"/>
      <c r="L146" s="99"/>
      <c r="M146" s="99"/>
    </row>
    <row r="147" spans="1:13">
      <c r="A147"/>
      <c r="B147"/>
      <c r="C147"/>
      <c r="D147"/>
      <c r="E147"/>
      <c r="F147"/>
      <c r="G147"/>
      <c r="H147"/>
      <c r="I147"/>
      <c r="J147"/>
      <c r="K147"/>
      <c r="L147"/>
      <c r="M147"/>
    </row>
    <row r="148" spans="1:13">
      <c r="A148" t="s">
        <v>253</v>
      </c>
      <c r="B148"/>
      <c r="C148"/>
      <c r="D148" t="e">
        <f>IF(OR(D227=0,D227&gt;=40),"",CONCATENATE("(actual = ",D227," hrs)"))</f>
        <v>#REF!</v>
      </c>
      <c r="E148"/>
      <c r="F148"/>
      <c r="G148"/>
      <c r="H148"/>
      <c r="I148"/>
      <c r="J148"/>
      <c r="K148"/>
      <c r="L148"/>
      <c r="M148"/>
    </row>
    <row r="149" spans="1:13">
      <c r="A149"/>
      <c r="B149"/>
      <c r="C149"/>
      <c r="D149"/>
      <c r="E149"/>
      <c r="F149"/>
      <c r="G149"/>
      <c r="H149"/>
      <c r="I149"/>
      <c r="J149"/>
      <c r="K149"/>
      <c r="L149"/>
      <c r="M149"/>
    </row>
    <row r="150" spans="1:13">
      <c r="A150" s="426" t="s">
        <v>254</v>
      </c>
      <c r="B150" s="426"/>
      <c r="C150" s="426"/>
      <c r="D150" s="426"/>
      <c r="E150" s="426"/>
      <c r="F150"/>
      <c r="G150"/>
      <c r="H150"/>
      <c r="I150"/>
      <c r="J150"/>
      <c r="K150"/>
      <c r="L150"/>
      <c r="M150"/>
    </row>
    <row r="151" spans="1:13">
      <c r="A151" s="427" t="s">
        <v>241</v>
      </c>
      <c r="B151" s="428"/>
      <c r="C151" s="429"/>
      <c r="D151" s="57" t="b">
        <f>IF(D139=TRUE,TRUE,FALSE)</f>
        <v>0</v>
      </c>
      <c r="E151" s="103" t="e">
        <f>IF(AND(D151=TRUE,D153=FALSE,D154=FALSE),D138,0)</f>
        <v>#REF!</v>
      </c>
      <c r="F151"/>
      <c r="G151"/>
      <c r="H151"/>
      <c r="I151"/>
      <c r="J151"/>
      <c r="K151"/>
      <c r="L151"/>
      <c r="M151"/>
    </row>
    <row r="152" spans="1:13">
      <c r="A152" s="427" t="s">
        <v>255</v>
      </c>
      <c r="B152" s="428"/>
      <c r="C152" s="429"/>
      <c r="D152" s="57" t="e">
        <f>IF(AND(D151=FALSE,E179&lt;10%,F179=" Decrease"),TRUE,FALSE)</f>
        <v>#REF!</v>
      </c>
      <c r="E152" s="103" t="e">
        <f>IF(D152=TRUE,G143,0)</f>
        <v>#REF!</v>
      </c>
      <c r="F152"/>
      <c r="G152"/>
      <c r="H152"/>
      <c r="I152"/>
      <c r="J152"/>
      <c r="K152"/>
      <c r="L152"/>
      <c r="M152"/>
    </row>
    <row r="153" spans="1:13">
      <c r="A153" s="427" t="s">
        <v>256</v>
      </c>
      <c r="B153" s="428"/>
      <c r="C153" s="429"/>
      <c r="D153" s="57" t="b">
        <f>IF(AND(D151=FALSE,E177&gt;10%,F177=" Decrease"),TRUE,FALSE)</f>
        <v>0</v>
      </c>
      <c r="E153" s="103" t="e">
        <f>IF(AND(D151=FALSE,D153=TRUE,D154=FALSE),G143,0)</f>
        <v>#REF!</v>
      </c>
      <c r="F153"/>
      <c r="G153"/>
      <c r="H153"/>
      <c r="I153"/>
      <c r="J153"/>
      <c r="K153"/>
      <c r="L153"/>
      <c r="M153"/>
    </row>
    <row r="154" spans="1:13">
      <c r="A154" s="427" t="s">
        <v>257</v>
      </c>
      <c r="B154" s="428"/>
      <c r="C154" s="429"/>
      <c r="D154" s="57" t="e">
        <f>IF(OR(D151=TRUE,D153=TRUE),FALSE,IF(OR(D135=A126,D135=A127,D135=A129),TRUE,FALSE))</f>
        <v>#REF!</v>
      </c>
      <c r="E154" s="103" t="e">
        <f>IF(AND(D151=FALSE,D153=FALSE,D154=TRUE),J146,0)</f>
        <v>#REF!</v>
      </c>
      <c r="F154"/>
      <c r="G154"/>
      <c r="H154"/>
      <c r="I154"/>
      <c r="J154"/>
      <c r="K154"/>
      <c r="L154"/>
      <c r="M154"/>
    </row>
    <row r="155" spans="1:13">
      <c r="A155" s="104" t="s">
        <v>258</v>
      </c>
      <c r="B155" s="104"/>
      <c r="C155" s="104"/>
      <c r="D155" s="104" t="e">
        <f>IF(AND(D151=FALSE,D153=FALSE,D154=FALSE),TRUE,FALSE)</f>
        <v>#REF!</v>
      </c>
      <c r="E155" s="105" t="e">
        <f>IF(D155=TRUE,G146,0)</f>
        <v>#REF!</v>
      </c>
      <c r="F155"/>
      <c r="G155"/>
      <c r="H155"/>
      <c r="I155"/>
      <c r="J155"/>
      <c r="K155"/>
      <c r="L155"/>
      <c r="M155"/>
    </row>
    <row r="156" spans="1:13">
      <c r="A156" s="430" t="s">
        <v>259</v>
      </c>
      <c r="B156" s="430"/>
      <c r="C156" s="430"/>
      <c r="D156" s="430"/>
      <c r="E156" s="106" t="e">
        <f>VLOOKUP(TRUE,D151:E155,2,FALSE)</f>
        <v>#N/A</v>
      </c>
      <c r="F156"/>
      <c r="G156"/>
      <c r="H156"/>
      <c r="I156"/>
      <c r="J156"/>
      <c r="K156"/>
      <c r="L156"/>
      <c r="M156"/>
    </row>
    <row r="157" spans="1:13">
      <c r="A157"/>
      <c r="B157"/>
      <c r="C157"/>
      <c r="D157"/>
      <c r="E157"/>
      <c r="F157"/>
      <c r="G157"/>
      <c r="H157"/>
      <c r="I157"/>
      <c r="J157"/>
      <c r="K157"/>
      <c r="L157"/>
      <c r="M157"/>
    </row>
    <row r="158" spans="1:13">
      <c r="A158" t="s">
        <v>260</v>
      </c>
      <c r="B158"/>
      <c r="C158"/>
      <c r="D158" t="e">
        <f>IF(OR(D139=TRUE,E143=0),"",IF(D153=TRUE,"YTD average monthly earnings reflect greater than 10% reduction",IF(G143&lt;D138,CONCATENATE("NOTE: YTD earnings reflect borrower is averaging ",D227," hours weekly."),"")))</f>
        <v>#REF!</v>
      </c>
      <c r="E158"/>
      <c r="F158"/>
      <c r="G158" s="246" t="s">
        <v>261</v>
      </c>
      <c r="H158"/>
      <c r="I158"/>
      <c r="J158"/>
      <c r="K158"/>
      <c r="L158"/>
      <c r="M158"/>
    </row>
    <row r="159" spans="1:13">
      <c r="A159"/>
      <c r="B159"/>
      <c r="C159"/>
      <c r="D159"/>
      <c r="E159"/>
      <c r="F159"/>
      <c r="G159"/>
      <c r="H159"/>
      <c r="I159"/>
      <c r="J159"/>
      <c r="K159"/>
      <c r="L159"/>
      <c r="M159"/>
    </row>
    <row r="160" spans="1:13">
      <c r="A160" s="431" t="s">
        <v>262</v>
      </c>
      <c r="B160" s="432"/>
      <c r="C160" s="432"/>
      <c r="D160" s="432"/>
      <c r="E160" s="432"/>
      <c r="F160" s="432"/>
      <c r="G160" s="432"/>
      <c r="H160" s="432"/>
      <c r="I160" s="432"/>
      <c r="J160" s="432"/>
      <c r="K160" s="432"/>
      <c r="L160" s="432"/>
      <c r="M160" s="433"/>
    </row>
    <row r="161" spans="1:13">
      <c r="A161"/>
      <c r="B161"/>
      <c r="C161"/>
      <c r="D161"/>
      <c r="E161"/>
      <c r="F161"/>
      <c r="G161"/>
      <c r="H161"/>
      <c r="I161"/>
      <c r="J161"/>
      <c r="K161"/>
      <c r="L161"/>
      <c r="M161"/>
    </row>
    <row r="162" spans="1:13">
      <c r="A162" s="87" t="s">
        <v>263</v>
      </c>
      <c r="B162" s="87" t="s">
        <v>164</v>
      </c>
      <c r="C162" s="87" t="s">
        <v>264</v>
      </c>
      <c r="D162" s="87" t="s">
        <v>167</v>
      </c>
      <c r="E162" s="87" t="s">
        <v>265</v>
      </c>
      <c r="F162" s="87" t="s">
        <v>266</v>
      </c>
      <c r="G162" s="87" t="s">
        <v>5</v>
      </c>
      <c r="H162" s="87" t="s">
        <v>4</v>
      </c>
      <c r="I162" s="87"/>
      <c r="J162" s="87"/>
      <c r="K162" s="87" t="s">
        <v>267</v>
      </c>
      <c r="L162"/>
      <c r="M162"/>
    </row>
    <row r="163" spans="1:13">
      <c r="A163" s="108" t="b">
        <v>0</v>
      </c>
      <c r="B163" s="56" t="e">
        <f>#REF!</f>
        <v>#REF!</v>
      </c>
      <c r="C163" s="109" t="e">
        <f>#REF!</f>
        <v>#REF!</v>
      </c>
      <c r="D163" s="110" t="e">
        <f>#REF!</f>
        <v>#REF!</v>
      </c>
      <c r="E163" s="111" t="e">
        <f>#REF!</f>
        <v>#REF!</v>
      </c>
      <c r="F163" s="100" t="e">
        <f>IF(OR(A163=FALSE,C163=0,E163=0),0,E163*VLOOKUP(B163,$C$37:$D$42,2))</f>
        <v>#REF!</v>
      </c>
      <c r="G163" s="100" t="e">
        <f>IF(AND(C163&lt;&gt;0,D163&lt;&gt;0),0,IF(D163&lt;&gt;0,C163-D163,C163-F163))</f>
        <v>#REF!</v>
      </c>
      <c r="H163" s="101" t="e">
        <f>#REF!</f>
        <v>#REF!</v>
      </c>
      <c r="I163" s="101"/>
      <c r="J163" s="101"/>
      <c r="K163" s="100" t="str">
        <f>IF(A163=FALSE,"",IF(AND(D163&gt;0,E163&gt;0),"Error Dep &amp; Buss",IF(OR(H163=0,H163=""),0,ROUND(G163/H163,0))))</f>
        <v/>
      </c>
      <c r="L163"/>
      <c r="M163"/>
    </row>
    <row r="164" spans="1:13">
      <c r="A164" s="57" t="b">
        <v>0</v>
      </c>
      <c r="B164" s="56" t="e">
        <f>#REF!</f>
        <v>#REF!</v>
      </c>
      <c r="C164" s="109" t="e">
        <f>#REF!</f>
        <v>#REF!</v>
      </c>
      <c r="D164" s="110" t="e">
        <f>#REF!</f>
        <v>#REF!</v>
      </c>
      <c r="E164" s="111" t="e">
        <f>#REF!</f>
        <v>#REF!</v>
      </c>
      <c r="F164" s="100" t="e">
        <f>IF(OR(A164=FALSE,C164=0,E164=0),0,E164*VLOOKUP(B163,$C$37:$D$42,2))</f>
        <v>#REF!</v>
      </c>
      <c r="G164" s="100" t="e">
        <f>IF(AND(C164&lt;&gt;0,D164&lt;&gt;0),0,IF(D164&lt;&gt;0,C164-D164,C164-F164))</f>
        <v>#REF!</v>
      </c>
      <c r="H164" s="101" t="e">
        <f>#REF!</f>
        <v>#REF!</v>
      </c>
      <c r="I164" s="101"/>
      <c r="J164" s="101"/>
      <c r="K164" s="100" t="str">
        <f>IF(A164=FALSE,"",IF(AND(D164&gt;0,E164&gt;0),"Error Dep &amp; Buss",IF(OR(H164=0,H164=""),0,ROUND(G164/H164,0))))</f>
        <v/>
      </c>
      <c r="L164"/>
      <c r="M164"/>
    </row>
    <row r="165" spans="1:13">
      <c r="A165" s="51" t="s">
        <v>252</v>
      </c>
      <c r="B165" s="98"/>
      <c r="C165" s="99"/>
      <c r="D165" s="99"/>
      <c r="E165" s="111" t="e">
        <f>SUM(E163:E164)</f>
        <v>#REF!</v>
      </c>
      <c r="F165" s="100" t="e">
        <f>SUM(F163:F164)</f>
        <v>#REF!</v>
      </c>
      <c r="G165" s="100" t="e">
        <f>SUM(G163:G164)</f>
        <v>#REF!</v>
      </c>
      <c r="H165" s="101" t="e">
        <f>SUM(H163:H164)</f>
        <v>#REF!</v>
      </c>
      <c r="I165" s="101"/>
      <c r="J165" s="101"/>
      <c r="K165" s="100">
        <f>IF(ISERROR(G165/H165),0,IF(AND(A163=TRUE,A164=TRUE),ROUND(G165/H165,0),IF(AND(A163=TRUE,A164=FALSE),K163,IF(AND(A163=FALSE,A164=TRUE),K164,0))))</f>
        <v>0</v>
      </c>
      <c r="L165"/>
      <c r="M165"/>
    </row>
    <row r="166" spans="1:13">
      <c r="A166"/>
      <c r="B166"/>
      <c r="C166"/>
      <c r="D166"/>
      <c r="E166"/>
      <c r="F166"/>
      <c r="G166"/>
      <c r="H166"/>
      <c r="I166"/>
      <c r="J166"/>
      <c r="K166"/>
      <c r="L166"/>
      <c r="M166"/>
    </row>
    <row r="167" spans="1:13">
      <c r="A167" t="s">
        <v>268</v>
      </c>
      <c r="B167"/>
      <c r="C167"/>
      <c r="D167" t="b">
        <v>0</v>
      </c>
      <c r="E167"/>
      <c r="F167"/>
      <c r="G167" s="246" t="s">
        <v>269</v>
      </c>
      <c r="H167"/>
      <c r="I167"/>
      <c r="J167"/>
      <c r="K167"/>
      <c r="L167"/>
      <c r="M167"/>
    </row>
    <row r="168" spans="1:13">
      <c r="A168"/>
      <c r="B168"/>
      <c r="C168"/>
      <c r="D168"/>
      <c r="E168"/>
      <c r="F168"/>
      <c r="G168"/>
      <c r="H168"/>
      <c r="I168"/>
      <c r="J168"/>
      <c r="K168"/>
      <c r="L168"/>
      <c r="M168"/>
    </row>
    <row r="169" spans="1:13">
      <c r="A169" s="431" t="s">
        <v>270</v>
      </c>
      <c r="B169" s="432"/>
      <c r="C169" s="432"/>
      <c r="D169" s="432"/>
      <c r="E169" s="432"/>
      <c r="F169" s="432"/>
      <c r="G169" s="432"/>
      <c r="H169" s="432"/>
      <c r="I169" s="432"/>
      <c r="J169" s="432"/>
      <c r="K169" s="432"/>
      <c r="L169" s="432"/>
      <c r="M169" s="433"/>
    </row>
    <row r="170" spans="1:13">
      <c r="A170"/>
      <c r="B170"/>
      <c r="C170"/>
      <c r="D170"/>
      <c r="E170"/>
      <c r="F170"/>
      <c r="G170"/>
      <c r="H170"/>
      <c r="I170"/>
      <c r="J170"/>
      <c r="K170"/>
      <c r="L170"/>
      <c r="M170"/>
    </row>
    <row r="171" spans="1:13">
      <c r="A171" t="s">
        <v>271</v>
      </c>
      <c r="B171"/>
      <c r="C171"/>
      <c r="D171" s="86" t="e">
        <f>G146</f>
        <v>#REF!</v>
      </c>
      <c r="E171"/>
      <c r="F171" t="e">
        <f>IF(OR(D135=A126,D135=A127,D135=A129),CONCATENATE("total average earnings for the past ",I146," months"),"(lower of Current Rate or YTD avg, or explanation provided)")</f>
        <v>#REF!</v>
      </c>
      <c r="G171"/>
      <c r="H171"/>
      <c r="I171"/>
      <c r="J171"/>
      <c r="K171"/>
      <c r="L171"/>
      <c r="M171"/>
    </row>
    <row r="172" spans="1:13">
      <c r="A172" t="s">
        <v>272</v>
      </c>
      <c r="B172"/>
      <c r="C172"/>
      <c r="D172" s="86">
        <f>IF(K165=0,0,IF(D167=TRUE,K165,0))</f>
        <v>0</v>
      </c>
      <c r="E172"/>
      <c r="F172"/>
      <c r="G172"/>
      <c r="H172"/>
      <c r="I172"/>
      <c r="J172"/>
      <c r="K172"/>
      <c r="L172"/>
      <c r="M172"/>
    </row>
    <row r="173" spans="1:13">
      <c r="A173" t="s">
        <v>273</v>
      </c>
      <c r="B173"/>
      <c r="C173"/>
      <c r="D173" s="86" t="e">
        <f>#REF!</f>
        <v>#REF!</v>
      </c>
      <c r="E173"/>
      <c r="F173"/>
      <c r="G173"/>
      <c r="H173"/>
      <c r="I173"/>
      <c r="J173"/>
      <c r="K173"/>
      <c r="L173"/>
      <c r="M173"/>
    </row>
    <row r="174" spans="1:13">
      <c r="A174" t="s">
        <v>274</v>
      </c>
      <c r="B174"/>
      <c r="C174"/>
      <c r="D174" s="86" t="e">
        <f>(D171+D173)-D172</f>
        <v>#REF!</v>
      </c>
      <c r="E174"/>
      <c r="F174"/>
      <c r="G174"/>
      <c r="H174"/>
      <c r="I174"/>
      <c r="J174"/>
      <c r="K174"/>
      <c r="L174"/>
      <c r="M174"/>
    </row>
    <row r="175" spans="1:13">
      <c r="A175"/>
      <c r="B175"/>
      <c r="C175"/>
      <c r="D175"/>
      <c r="E175"/>
      <c r="F175"/>
      <c r="G175"/>
      <c r="H175"/>
      <c r="I175"/>
      <c r="J175"/>
      <c r="K175"/>
      <c r="L175"/>
      <c r="M175"/>
    </row>
    <row r="176" spans="1:13">
      <c r="A176" s="434" t="s">
        <v>275</v>
      </c>
      <c r="B176" s="435"/>
      <c r="C176" s="435"/>
      <c r="D176" s="435"/>
      <c r="E176" s="435"/>
      <c r="F176" s="435"/>
      <c r="G176" s="435"/>
      <c r="H176" s="435"/>
      <c r="I176" s="435"/>
      <c r="J176" s="435"/>
      <c r="K176" s="435"/>
      <c r="L176" s="435"/>
      <c r="M176" s="436"/>
    </row>
    <row r="177" spans="1:13">
      <c r="A177"/>
      <c r="B177" s="83"/>
      <c r="C177" s="112"/>
      <c r="D177" s="113"/>
      <c r="E177"/>
      <c r="F177"/>
      <c r="G177"/>
      <c r="H177"/>
      <c r="I177"/>
      <c r="J177"/>
      <c r="K177"/>
      <c r="L177"/>
      <c r="M177"/>
    </row>
    <row r="178" spans="1:13">
      <c r="A178" s="437"/>
      <c r="B178" s="437"/>
      <c r="C178" s="114" t="s">
        <v>276</v>
      </c>
      <c r="D178" s="115" t="s">
        <v>277</v>
      </c>
      <c r="E178" s="115" t="s">
        <v>278</v>
      </c>
      <c r="F178" s="247" t="s">
        <v>2</v>
      </c>
      <c r="G178" s="115" t="s">
        <v>279</v>
      </c>
      <c r="H178" s="438" t="s">
        <v>227</v>
      </c>
      <c r="I178" s="439"/>
      <c r="J178" s="439"/>
      <c r="K178" s="439"/>
      <c r="L178" s="440"/>
    </row>
    <row r="179" spans="1:13">
      <c r="A179" s="427" t="e">
        <f>CONCATENATE(" Total ",B143," YTD")</f>
        <v>#REF!</v>
      </c>
      <c r="B179" s="429"/>
      <c r="C179" s="102" t="e">
        <f>IF(OR(G143=0,G143=""),0,G143)</f>
        <v>#REF!</v>
      </c>
      <c r="D179" s="102" t="e">
        <f>ABS(C179-C180)</f>
        <v>#REF!</v>
      </c>
      <c r="E179" s="116" t="e">
        <f>IF(C180=0,100%,D179/C180)</f>
        <v>#REF!</v>
      </c>
      <c r="F179" s="35" t="e">
        <f>IF(C179&gt;C180," Increase"," Decrease")</f>
        <v>#REF!</v>
      </c>
      <c r="G179" s="117" t="e">
        <f>IF((C180+(C180*E179))=C179,"PASS","FAIL")</f>
        <v>#REF!</v>
      </c>
      <c r="H179" s="427" t="e">
        <f>IF(OR(C179=0,C179="")," ",CONCATENATE(B144," to ",B143," = ",TEXT(E179,"###.0%"),F179))</f>
        <v>#REF!</v>
      </c>
      <c r="I179" s="428"/>
      <c r="J179" s="428"/>
      <c r="K179" s="428"/>
      <c r="L179" s="429"/>
    </row>
    <row r="180" spans="1:13">
      <c r="A180" s="427" t="e">
        <f>CONCATENATE(" Total ",B144)</f>
        <v>#REF!</v>
      </c>
      <c r="B180" s="429"/>
      <c r="C180" s="102" t="e">
        <f>IF(OR(G144=0,G144=""),0,G144)</f>
        <v>#REF!</v>
      </c>
      <c r="D180" s="102" t="e">
        <f>ABS(C180-C181)</f>
        <v>#REF!</v>
      </c>
      <c r="E180" s="116" t="e">
        <f>IF(C181=0,100%,D180/C181)</f>
        <v>#REF!</v>
      </c>
      <c r="F180" s="35" t="e">
        <f>IF(C180&gt;C181," Increase"," Decrease")</f>
        <v>#REF!</v>
      </c>
      <c r="G180" s="117" t="e">
        <f>IF((C181+(C181*E180))=C180,"PASS","FAIL")</f>
        <v>#REF!</v>
      </c>
      <c r="H180" s="427" t="e">
        <f>IF(OR(C180=0,C180="")," ",CONCATENATE(B145," to ",B144," = ",TEXT(E180,"###.0%"),F180))</f>
        <v>#REF!</v>
      </c>
      <c r="I180" s="428"/>
      <c r="J180" s="428"/>
      <c r="K180" s="428"/>
      <c r="L180" s="429"/>
    </row>
    <row r="181" spans="1:13">
      <c r="A181" s="427" t="e">
        <f>CONCATENATE(" Total ",B145)</f>
        <v>#REF!</v>
      </c>
      <c r="B181" s="429"/>
      <c r="C181" s="102" t="e">
        <f>IF(OR(G145=0,G145=""),0,G145)</f>
        <v>#REF!</v>
      </c>
      <c r="D181" s="102" t="e">
        <f>ABS(C179-C181)</f>
        <v>#REF!</v>
      </c>
      <c r="E181" s="116" t="e">
        <f>IF(C181=0,100%,D181/C181)</f>
        <v>#REF!</v>
      </c>
      <c r="F181" s="35" t="e">
        <f>IF(C181&gt;C182," Increase"," Decrease")</f>
        <v>#REF!</v>
      </c>
      <c r="G181" s="117" t="e">
        <f>IF((C181+(C181*E181))=C179,"PASS","FAIL")</f>
        <v>#REF!</v>
      </c>
      <c r="H181" s="427" t="e">
        <f>IF(OR(C181=0,C181="")," ",CONCATENATE(B145," to ",B143," = ",TEXT(E181,"###.0%"),F181))</f>
        <v>#REF!</v>
      </c>
      <c r="I181" s="428"/>
      <c r="J181" s="428"/>
      <c r="K181" s="428"/>
      <c r="L181" s="429"/>
    </row>
    <row r="182" spans="1:13">
      <c r="A182"/>
      <c r="B182"/>
      <c r="C182" s="39"/>
      <c r="D182"/>
      <c r="E182"/>
      <c r="F182"/>
      <c r="G182"/>
      <c r="H182"/>
      <c r="I182"/>
      <c r="J182"/>
      <c r="K182"/>
      <c r="L182"/>
      <c r="M182"/>
    </row>
    <row r="183" spans="1:13">
      <c r="A183"/>
      <c r="B183"/>
      <c r="C183" s="39" t="e">
        <f>IF(AND(C179&gt;0,C180&gt;0,C181&gt;0),TRUE,FALSE)</f>
        <v>#REF!</v>
      </c>
      <c r="D183" t="e">
        <f>CONCATENATE("Variances in earnings:  ",H180,"  &amp;  ",H179)</f>
        <v>#REF!</v>
      </c>
      <c r="E183"/>
      <c r="F183"/>
      <c r="G183"/>
      <c r="H183"/>
      <c r="I183"/>
      <c r="J183"/>
      <c r="K183"/>
      <c r="L183"/>
    </row>
    <row r="184" spans="1:13">
      <c r="A184"/>
      <c r="B184"/>
      <c r="C184" s="39" t="e">
        <f>IF(AND(C179&gt;0,C180&gt;0,C181=0),TRUE,FALSE)</f>
        <v>#REF!</v>
      </c>
      <c r="D184" t="e">
        <f>CONCATENATE("Variances in earnings:  ",H180)</f>
        <v>#REF!</v>
      </c>
      <c r="E184"/>
      <c r="F184"/>
      <c r="G184"/>
      <c r="H184"/>
      <c r="I184"/>
      <c r="J184"/>
      <c r="K184"/>
      <c r="L184"/>
    </row>
    <row r="185" spans="1:13">
      <c r="A185"/>
      <c r="B185"/>
      <c r="C185" s="39" t="e">
        <f>IF(AND(C179&gt;0,C180=0,C181&gt;0),TRUE,FALSE)</f>
        <v>#REF!</v>
      </c>
      <c r="D185" t="e">
        <f>CONCATENATE("Variances in earnings:  ",H181)</f>
        <v>#REF!</v>
      </c>
      <c r="E185"/>
      <c r="F185"/>
      <c r="G185"/>
      <c r="H185"/>
      <c r="I185"/>
      <c r="J185"/>
      <c r="K185"/>
      <c r="L185"/>
    </row>
    <row r="186" spans="1:13">
      <c r="A186"/>
      <c r="B186"/>
      <c r="C186" s="39" t="e">
        <f>IF(AND(C180=0,C181=0,C182=0),TRUE,FALSE)</f>
        <v>#REF!</v>
      </c>
      <c r="D186" t="s">
        <v>280</v>
      </c>
      <c r="E186"/>
      <c r="F186"/>
      <c r="G186"/>
      <c r="H186"/>
      <c r="I186"/>
      <c r="J186"/>
      <c r="K186"/>
      <c r="L186"/>
    </row>
    <row r="187" spans="1:13">
      <c r="A187"/>
      <c r="B187"/>
      <c r="C187"/>
      <c r="D187"/>
      <c r="E187"/>
      <c r="F187"/>
      <c r="G187"/>
      <c r="H187"/>
      <c r="I187"/>
      <c r="J187"/>
      <c r="K187"/>
      <c r="L187"/>
    </row>
    <row r="188" spans="1:13">
      <c r="A188" s="434" t="s">
        <v>281</v>
      </c>
      <c r="B188" s="435"/>
      <c r="C188" s="435"/>
      <c r="D188" s="435"/>
      <c r="E188" s="435"/>
      <c r="F188" s="435"/>
      <c r="G188" s="435"/>
      <c r="H188" s="435"/>
      <c r="I188" s="435"/>
      <c r="J188" s="435"/>
      <c r="K188" s="435"/>
      <c r="L188" s="435"/>
      <c r="M188" s="436"/>
    </row>
    <row r="189" spans="1:13">
      <c r="A189"/>
      <c r="B189"/>
      <c r="C189"/>
      <c r="D189"/>
      <c r="E189"/>
      <c r="F189"/>
      <c r="G189"/>
      <c r="H189"/>
      <c r="I189"/>
      <c r="J189"/>
      <c r="K189"/>
      <c r="L189"/>
      <c r="M189"/>
    </row>
    <row r="190" spans="1:13">
      <c r="A190" t="s">
        <v>282</v>
      </c>
      <c r="B190"/>
      <c r="C190"/>
      <c r="D190" s="41" t="e">
        <f>D143</f>
        <v>#REF!</v>
      </c>
      <c r="E190"/>
      <c r="F190"/>
      <c r="G190"/>
      <c r="H190"/>
      <c r="I190"/>
      <c r="J190"/>
      <c r="K190"/>
      <c r="L190"/>
      <c r="M190"/>
    </row>
    <row r="191" spans="1:13">
      <c r="A191" t="s">
        <v>283</v>
      </c>
      <c r="B191"/>
      <c r="C191"/>
      <c r="D191" s="41" t="e">
        <f>IF(D190="","",EOMONTH(DATE(YEAR(D190),1,1),2))</f>
        <v>#REF!</v>
      </c>
      <c r="E191"/>
      <c r="F191"/>
      <c r="G191"/>
      <c r="H191"/>
      <c r="I191"/>
      <c r="J191"/>
      <c r="K191"/>
      <c r="L191"/>
      <c r="M191"/>
    </row>
    <row r="192" spans="1:13">
      <c r="A192" t="s">
        <v>284</v>
      </c>
      <c r="B192"/>
      <c r="C192"/>
      <c r="D192" s="41" t="e">
        <f>IF(D190&lt;D191,TRUE,FALSE)</f>
        <v>#REF!</v>
      </c>
      <c r="E192"/>
      <c r="F192"/>
      <c r="G192"/>
      <c r="H192"/>
      <c r="I192"/>
      <c r="J192"/>
      <c r="K192"/>
      <c r="L192"/>
      <c r="M192"/>
    </row>
    <row r="193" spans="1:13">
      <c r="A193"/>
      <c r="B193"/>
      <c r="C193"/>
      <c r="D193"/>
      <c r="E193"/>
      <c r="F193"/>
      <c r="G193"/>
      <c r="H193"/>
      <c r="I193"/>
      <c r="J193"/>
      <c r="K193"/>
      <c r="L193"/>
      <c r="M193"/>
    </row>
    <row r="194" spans="1:13">
      <c r="A194" t="e">
        <f>CONCATENATE(" Total earnings (",B143," YTD)")</f>
        <v>#REF!</v>
      </c>
      <c r="B194"/>
      <c r="C194"/>
      <c r="D194" s="83" t="e">
        <f>E143</f>
        <v>#REF!</v>
      </c>
      <c r="E194"/>
      <c r="F194" s="40">
        <f ca="1">EOMONTH(DATE(YEAR(TODAY()),1,1),2)</f>
        <v>46112</v>
      </c>
      <c r="G194"/>
      <c r="H194"/>
      <c r="I194"/>
      <c r="J194"/>
      <c r="K194"/>
      <c r="L194"/>
      <c r="M194"/>
    </row>
    <row r="195" spans="1:13">
      <c r="A195" t="e">
        <f>CONCATENATE(" Total earnings (",B144,")")</f>
        <v>#REF!</v>
      </c>
      <c r="B195"/>
      <c r="C195"/>
      <c r="D195" s="83" t="e">
        <f>IF(D192=TRUE,E144,0)</f>
        <v>#REF!</v>
      </c>
      <c r="E195"/>
      <c r="F195">
        <f>EOMONTH("01/01/2016",2)</f>
        <v>42460</v>
      </c>
      <c r="G195" s="41">
        <f>F195</f>
        <v>42460</v>
      </c>
      <c r="H195"/>
      <c r="I195"/>
      <c r="J195"/>
      <c r="K195"/>
      <c r="L195"/>
      <c r="M195"/>
    </row>
    <row r="196" spans="1:13">
      <c r="A196" t="s">
        <v>285</v>
      </c>
      <c r="B196"/>
      <c r="C196"/>
      <c r="D196" s="83" t="e">
        <f>D194+D195</f>
        <v>#REF!</v>
      </c>
      <c r="E196"/>
      <c r="F196"/>
      <c r="G196"/>
      <c r="H196"/>
      <c r="I196"/>
      <c r="J196"/>
      <c r="K196"/>
      <c r="L196"/>
      <c r="M196"/>
    </row>
    <row r="197" spans="1:13">
      <c r="A197"/>
      <c r="B197"/>
      <c r="C197"/>
      <c r="D197"/>
      <c r="E197"/>
      <c r="F197"/>
      <c r="G197"/>
      <c r="H197"/>
      <c r="I197"/>
      <c r="J197"/>
      <c r="K197"/>
      <c r="L197"/>
      <c r="M197"/>
    </row>
    <row r="198" spans="1:13">
      <c r="A198" t="e">
        <f>CONCATENATE(" Months included (",B143," YTD)")</f>
        <v>#REF!</v>
      </c>
      <c r="B198"/>
      <c r="C198"/>
      <c r="D198" s="120" t="e">
        <f>IF(F143="",0,F143)</f>
        <v>#REF!</v>
      </c>
      <c r="E198"/>
      <c r="F198"/>
      <c r="G198"/>
      <c r="H198"/>
      <c r="I198"/>
      <c r="J198"/>
      <c r="K198"/>
      <c r="L198"/>
      <c r="M198"/>
    </row>
    <row r="199" spans="1:13">
      <c r="A199" t="e">
        <f>CONCATENATE(" Months included (",B144,")")</f>
        <v>#REF!</v>
      </c>
      <c r="B199"/>
      <c r="C199"/>
      <c r="D199" s="120" t="e">
        <f>IF(D192=TRUE,F144,0)</f>
        <v>#REF!</v>
      </c>
      <c r="E199"/>
      <c r="F199"/>
      <c r="G199"/>
      <c r="H199"/>
      <c r="I199"/>
      <c r="J199"/>
      <c r="K199"/>
      <c r="L199"/>
      <c r="M199"/>
    </row>
    <row r="200" spans="1:13">
      <c r="A200" t="s">
        <v>286</v>
      </c>
      <c r="B200"/>
      <c r="C200"/>
      <c r="D200" s="120" t="e">
        <f>D198+D199</f>
        <v>#REF!</v>
      </c>
      <c r="E200"/>
      <c r="F200"/>
      <c r="G200"/>
      <c r="H200"/>
      <c r="I200"/>
      <c r="J200"/>
      <c r="K200"/>
      <c r="L200"/>
      <c r="M200"/>
    </row>
    <row r="201" spans="1:13">
      <c r="A201"/>
      <c r="B201"/>
      <c r="C201"/>
      <c r="D201"/>
      <c r="E201"/>
      <c r="F201"/>
      <c r="G201"/>
      <c r="H201"/>
      <c r="I201"/>
      <c r="J201"/>
      <c r="K201"/>
      <c r="L201"/>
      <c r="M201"/>
    </row>
    <row r="202" spans="1:13">
      <c r="A202" t="s">
        <v>285</v>
      </c>
      <c r="B202"/>
      <c r="C202"/>
      <c r="D202" s="86" t="e">
        <f>IF(OR(A143=FALSE,E143=""),0,D196)</f>
        <v>#REF!</v>
      </c>
      <c r="E202"/>
      <c r="F202" s="86"/>
      <c r="G202" s="246" t="s">
        <v>287</v>
      </c>
      <c r="H202"/>
      <c r="I202"/>
      <c r="J202"/>
      <c r="K202"/>
      <c r="L202"/>
      <c r="M202"/>
    </row>
    <row r="203" spans="1:13">
      <c r="A203" t="s">
        <v>288</v>
      </c>
      <c r="B203"/>
      <c r="C203"/>
      <c r="D203" s="120" t="e">
        <f>IF(OR(A143=FALSE,E143="",E143=0,F143=0),0,D200)</f>
        <v>#REF!</v>
      </c>
      <c r="E203"/>
      <c r="F203" s="112"/>
      <c r="G203" s="246" t="s">
        <v>289</v>
      </c>
      <c r="H203"/>
      <c r="I203"/>
      <c r="J203"/>
      <c r="K203"/>
      <c r="L203"/>
      <c r="M203"/>
    </row>
    <row r="204" spans="1:13">
      <c r="A204" t="s">
        <v>230</v>
      </c>
      <c r="B204"/>
      <c r="C204"/>
      <c r="D204" s="121" t="e">
        <f>D133</f>
        <v>#REF!</v>
      </c>
      <c r="E204"/>
      <c r="F204" s="83"/>
      <c r="G204" s="246" t="s">
        <v>231</v>
      </c>
      <c r="H204" s="122"/>
      <c r="I204" s="122"/>
      <c r="J204" s="122"/>
      <c r="K204"/>
      <c r="L204"/>
      <c r="M204"/>
    </row>
    <row r="205" spans="1:13">
      <c r="A205" t="s">
        <v>290</v>
      </c>
      <c r="B205"/>
      <c r="C205"/>
      <c r="D205" s="83" t="e">
        <f>IF(OR(D202=0,D203=0,),0,D202/D203)</f>
        <v>#REF!</v>
      </c>
      <c r="E205"/>
      <c r="F205" s="83"/>
      <c r="G205" s="246" t="s">
        <v>291</v>
      </c>
      <c r="H205" s="122"/>
      <c r="I205" s="122"/>
      <c r="J205" s="122"/>
      <c r="K205"/>
      <c r="L205"/>
      <c r="M205"/>
    </row>
    <row r="206" spans="1:13">
      <c r="A206" t="s">
        <v>292</v>
      </c>
      <c r="B206"/>
      <c r="C206"/>
      <c r="D206" s="83" t="e">
        <f>H146</f>
        <v>#REF!</v>
      </c>
      <c r="E206"/>
      <c r="F206" s="83"/>
      <c r="G206" s="246" t="s">
        <v>293</v>
      </c>
      <c r="H206" s="122"/>
      <c r="I206" s="122"/>
      <c r="J206" s="122"/>
      <c r="K206"/>
      <c r="L206"/>
      <c r="M206"/>
    </row>
    <row r="207" spans="1:13">
      <c r="A207"/>
      <c r="B207"/>
      <c r="C207"/>
      <c r="D207" s="83"/>
      <c r="E207"/>
      <c r="F207" s="83"/>
      <c r="G207" s="122"/>
      <c r="H207" s="122"/>
      <c r="I207" s="122"/>
      <c r="J207" s="122"/>
      <c r="K207"/>
      <c r="L207"/>
      <c r="M207"/>
    </row>
    <row r="208" spans="1:13">
      <c r="A208" t="s">
        <v>294</v>
      </c>
      <c r="B208"/>
      <c r="C208"/>
      <c r="D208" s="83"/>
      <c r="E208"/>
      <c r="F208" s="83"/>
      <c r="G208" s="122"/>
      <c r="H208" s="122"/>
      <c r="I208" s="122"/>
      <c r="J208" s="122"/>
      <c r="K208"/>
      <c r="L208"/>
      <c r="M208"/>
    </row>
    <row r="209" spans="1:13">
      <c r="A209" s="123" t="s">
        <v>295</v>
      </c>
      <c r="B209"/>
      <c r="C209"/>
      <c r="D209" s="83" t="e">
        <f>D205</f>
        <v>#REF!</v>
      </c>
      <c r="E209"/>
      <c r="F209" s="83"/>
      <c r="G209" s="122"/>
      <c r="H209" s="122"/>
      <c r="I209" s="122"/>
      <c r="J209" s="122"/>
      <c r="K209"/>
      <c r="L209"/>
      <c r="M209"/>
    </row>
    <row r="210" spans="1:13">
      <c r="A210" s="123" t="s">
        <v>296</v>
      </c>
      <c r="B210"/>
      <c r="C210"/>
      <c r="D210" s="83" t="e">
        <f>D209*12</f>
        <v>#REF!</v>
      </c>
      <c r="E210"/>
      <c r="F210" s="83"/>
      <c r="G210" s="122"/>
      <c r="H210" s="122"/>
      <c r="I210" s="122"/>
      <c r="J210" s="122"/>
      <c r="K210"/>
      <c r="L210"/>
      <c r="M210"/>
    </row>
    <row r="211" spans="1:13">
      <c r="A211" s="123" t="s">
        <v>297</v>
      </c>
      <c r="B211"/>
      <c r="C211"/>
      <c r="D211" s="83" t="e">
        <f>D210/52</f>
        <v>#REF!</v>
      </c>
      <c r="E211"/>
      <c r="F211" s="83"/>
      <c r="G211" s="122"/>
      <c r="H211" s="122"/>
      <c r="I211" s="122"/>
      <c r="J211" s="122"/>
      <c r="K211"/>
      <c r="L211"/>
      <c r="M211"/>
    </row>
    <row r="212" spans="1:13">
      <c r="A212" s="123" t="s">
        <v>298</v>
      </c>
      <c r="B212"/>
      <c r="C212"/>
      <c r="D212" s="83" t="e">
        <f>D133</f>
        <v>#REF!</v>
      </c>
      <c r="E212"/>
      <c r="F212" s="83"/>
      <c r="G212" s="122"/>
      <c r="H212" s="122"/>
      <c r="I212" s="122"/>
      <c r="J212" s="122"/>
      <c r="K212"/>
      <c r="L212"/>
      <c r="M212"/>
    </row>
    <row r="213" spans="1:13">
      <c r="A213" s="123" t="s">
        <v>299</v>
      </c>
      <c r="B213"/>
      <c r="C213"/>
      <c r="D213" s="83" t="e">
        <f>IF(D212=0,0,IF(D139=TRUE,40,IF(AND(D139=FALSE,D212&gt;0,D135="Hourly (H)",E143=0),40,IF((D211/D212)&gt;40,40,D211/D212))))</f>
        <v>#REF!</v>
      </c>
      <c r="E213" t="e">
        <f>IF(AND(#REF!="Hourly (H)",#REF!=D213),TRUE,FALSE)</f>
        <v>#REF!</v>
      </c>
      <c r="F213" s="83"/>
      <c r="G213" s="122"/>
      <c r="H213" s="122"/>
      <c r="I213" s="122"/>
      <c r="J213" s="122"/>
      <c r="K213"/>
      <c r="L213"/>
      <c r="M213"/>
    </row>
    <row r="214" spans="1:13">
      <c r="A214" s="123" t="s">
        <v>300</v>
      </c>
      <c r="B214"/>
      <c r="C214"/>
      <c r="D214" s="84" t="e">
        <f>IF(D135="Hourly (H)",D213,"N/A")</f>
        <v>#REF!</v>
      </c>
      <c r="E214"/>
      <c r="F214" s="83"/>
      <c r="G214" s="122"/>
      <c r="H214" s="122"/>
      <c r="I214" s="122"/>
      <c r="J214" s="122"/>
      <c r="K214"/>
      <c r="L214"/>
      <c r="M214"/>
    </row>
    <row r="215" spans="1:13">
      <c r="A215" s="123" t="s">
        <v>301</v>
      </c>
      <c r="B215"/>
      <c r="C215"/>
      <c r="D215" s="83" t="e">
        <f>IF(D212=0,"Weekly",IF(OR(D135&lt;&gt;"Hourly (H)",(D211/D212)&gt;40),"Weekly","Average Weekly"))</f>
        <v>#REF!</v>
      </c>
      <c r="E215"/>
      <c r="F215" s="83"/>
      <c r="G215" s="122"/>
      <c r="H215" s="122"/>
      <c r="I215" s="122"/>
      <c r="J215" s="122"/>
      <c r="K215"/>
      <c r="L215"/>
      <c r="M215"/>
    </row>
    <row r="216" spans="1:13">
      <c r="A216"/>
      <c r="B216"/>
      <c r="C216"/>
      <c r="D216" s="83"/>
      <c r="E216"/>
      <c r="F216" s="83"/>
      <c r="G216" s="122"/>
      <c r="H216" s="122"/>
      <c r="I216" s="122"/>
      <c r="J216" s="122"/>
      <c r="K216"/>
      <c r="L216"/>
      <c r="M216"/>
    </row>
    <row r="217" spans="1:13">
      <c r="A217" t="e">
        <f>CONCATENATE(" Total days (",B143," YTD)")</f>
        <v>#REF!</v>
      </c>
      <c r="B217"/>
      <c r="C217"/>
      <c r="D217" s="83" t="e">
        <f>IF(D143="",0,(D143-C143)+1)</f>
        <v>#REF!</v>
      </c>
      <c r="E217"/>
      <c r="F217" s="83"/>
      <c r="G217" s="246" t="s">
        <v>302</v>
      </c>
      <c r="H217" s="122"/>
      <c r="I217" s="122"/>
      <c r="J217" s="122"/>
      <c r="K217"/>
      <c r="L217"/>
      <c r="M217"/>
    </row>
    <row r="218" spans="1:13">
      <c r="A218" t="e">
        <f>CONCATENATE(" Total days (",B144,")")</f>
        <v>#REF!</v>
      </c>
      <c r="B218"/>
      <c r="C218"/>
      <c r="D218" s="83" t="e">
        <f>IF(D192=TRUE,(D144-C144)+1,0)</f>
        <v>#REF!</v>
      </c>
      <c r="E218"/>
      <c r="F218" s="83"/>
      <c r="G218" s="246" t="s">
        <v>302</v>
      </c>
      <c r="H218" s="122"/>
      <c r="I218" s="122"/>
      <c r="J218" s="122"/>
      <c r="K218"/>
      <c r="L218"/>
      <c r="M218"/>
    </row>
    <row r="219" spans="1:13">
      <c r="A219" t="s">
        <v>303</v>
      </c>
      <c r="B219"/>
      <c r="C219"/>
      <c r="D219" s="83" t="e">
        <f>SUM(D217:D218)</f>
        <v>#REF!</v>
      </c>
      <c r="E219"/>
      <c r="F219" s="83"/>
      <c r="G219" s="246" t="s">
        <v>304</v>
      </c>
      <c r="H219" s="122"/>
      <c r="I219" s="122"/>
      <c r="J219" s="122"/>
      <c r="K219"/>
      <c r="L219"/>
      <c r="M219"/>
    </row>
    <row r="220" spans="1:13">
      <c r="A220"/>
      <c r="B220"/>
      <c r="C220"/>
      <c r="D220" s="83"/>
      <c r="E220"/>
      <c r="F220" s="83"/>
      <c r="G220" s="122"/>
      <c r="H220" s="122"/>
      <c r="I220" s="122"/>
      <c r="J220" s="122"/>
      <c r="K220"/>
      <c r="L220"/>
      <c r="M220"/>
    </row>
    <row r="221" spans="1:13">
      <c r="A221" t="e">
        <f>CONCATENATE(" Total weeks (",B143," YTD)")</f>
        <v>#REF!</v>
      </c>
      <c r="B221"/>
      <c r="C221"/>
      <c r="D221" s="83" t="e">
        <f>ROUND(D217/7,0)</f>
        <v>#REF!</v>
      </c>
      <c r="E221"/>
      <c r="F221" s="83"/>
      <c r="G221" s="246" t="s">
        <v>305</v>
      </c>
      <c r="H221" s="122"/>
      <c r="I221" s="122"/>
      <c r="J221" s="122"/>
      <c r="K221"/>
      <c r="L221"/>
      <c r="M221"/>
    </row>
    <row r="222" spans="1:13">
      <c r="A222" t="e">
        <f>CONCATENATE(" Total weeks (",B144,")")</f>
        <v>#REF!</v>
      </c>
      <c r="B222"/>
      <c r="C222"/>
      <c r="D222" s="83" t="e">
        <f>IF(D192=TRUE,ROUND(D218/7,0),0)</f>
        <v>#REF!</v>
      </c>
      <c r="E222"/>
      <c r="F222" s="83"/>
      <c r="G222" s="246" t="s">
        <v>305</v>
      </c>
      <c r="H222" s="122"/>
      <c r="I222" s="122"/>
      <c r="J222" s="122"/>
      <c r="K222"/>
      <c r="L222"/>
      <c r="M222"/>
    </row>
    <row r="223" spans="1:13">
      <c r="A223" t="s">
        <v>306</v>
      </c>
      <c r="B223"/>
      <c r="C223"/>
      <c r="D223" s="83" t="e">
        <f>SUM(D221:D222)</f>
        <v>#REF!</v>
      </c>
      <c r="E223"/>
      <c r="F223" s="83"/>
      <c r="G223" s="246" t="s">
        <v>307</v>
      </c>
      <c r="H223" s="122"/>
      <c r="I223" s="122"/>
      <c r="J223" s="122"/>
      <c r="K223"/>
      <c r="L223"/>
      <c r="M223"/>
    </row>
    <row r="224" spans="1:13">
      <c r="A224"/>
      <c r="B224"/>
      <c r="C224"/>
      <c r="D224" s="83"/>
      <c r="E224"/>
      <c r="F224" s="83"/>
      <c r="G224" s="122"/>
      <c r="H224" s="122"/>
      <c r="I224" s="122"/>
      <c r="J224" s="122"/>
      <c r="K224"/>
      <c r="L224"/>
      <c r="M224"/>
    </row>
    <row r="225" spans="1:13">
      <c r="A225" t="s">
        <v>308</v>
      </c>
      <c r="B225"/>
      <c r="C225"/>
      <c r="D225" s="83" t="e">
        <f>(D205*12)/52</f>
        <v>#REF!</v>
      </c>
      <c r="E225"/>
      <c r="F225" s="83"/>
      <c r="G225" s="246" t="s">
        <v>309</v>
      </c>
      <c r="H225" s="122"/>
      <c r="I225" s="122"/>
      <c r="J225" s="122"/>
      <c r="K225"/>
      <c r="L225"/>
      <c r="M225"/>
    </row>
    <row r="226" spans="1:13">
      <c r="A226" t="s">
        <v>310</v>
      </c>
      <c r="B226"/>
      <c r="C226"/>
      <c r="D226" s="83" t="e">
        <f>IF(OR(D135=0,D225=0),0,IF(OR(D135=A126,D135=A127,D135=A129),D133,D133/VLOOKUP(D135,A122:E130,3)))</f>
        <v>#REF!</v>
      </c>
      <c r="E226"/>
      <c r="F226" s="83"/>
      <c r="G226" s="246" t="s">
        <v>311</v>
      </c>
      <c r="H226" s="122"/>
      <c r="I226" s="122"/>
      <c r="J226" s="122"/>
      <c r="K226"/>
      <c r="L226"/>
      <c r="M226"/>
    </row>
    <row r="227" spans="1:13">
      <c r="A227" t="s">
        <v>312</v>
      </c>
      <c r="B227"/>
      <c r="C227"/>
      <c r="D227" s="120" t="e">
        <f>IF(D226=0,0,ROUND(D225/D226,1))</f>
        <v>#REF!</v>
      </c>
      <c r="E227" s="83"/>
      <c r="F227" s="83"/>
      <c r="G227" s="246" t="s">
        <v>313</v>
      </c>
      <c r="H227"/>
      <c r="I227"/>
      <c r="J227"/>
      <c r="K227" s="83"/>
      <c r="L227"/>
      <c r="M227"/>
    </row>
    <row r="228" spans="1:13">
      <c r="A228"/>
      <c r="B228"/>
      <c r="C228"/>
      <c r="D228"/>
      <c r="E228"/>
      <c r="F228"/>
      <c r="G228"/>
      <c r="H228"/>
      <c r="I228"/>
      <c r="J228"/>
      <c r="K228"/>
      <c r="L228"/>
      <c r="M228"/>
    </row>
    <row r="229" spans="1:13">
      <c r="A229" t="s">
        <v>314</v>
      </c>
      <c r="B229"/>
      <c r="C229"/>
      <c r="D229" s="121" t="e">
        <f>IF(OR(D135=A126,D135=A127,D135=A129),J146,D138)</f>
        <v>#REF!</v>
      </c>
      <c r="E229"/>
      <c r="F229"/>
      <c r="G229" s="246" t="s">
        <v>315</v>
      </c>
      <c r="H229"/>
      <c r="I229"/>
      <c r="J229"/>
      <c r="K229"/>
      <c r="L229"/>
      <c r="M229"/>
    </row>
    <row r="230" spans="1:13">
      <c r="A230" t="s">
        <v>288</v>
      </c>
      <c r="B230"/>
      <c r="C230"/>
      <c r="D230" s="121" t="e">
        <f>IF(OR(E143="",E143=0,A143=FALSE),"",ROUND((((D143-C143)+1)/365)*12,1))</f>
        <v>#REF!</v>
      </c>
      <c r="E230"/>
      <c r="F230" t="e">
        <f>VLOOKUP(D135,D49:G57,4)</f>
        <v>#REF!</v>
      </c>
      <c r="G230" s="246" t="s">
        <v>316</v>
      </c>
      <c r="H230"/>
      <c r="I230"/>
      <c r="J230"/>
      <c r="K230"/>
      <c r="L230"/>
      <c r="M230"/>
    </row>
    <row r="231" spans="1:13">
      <c r="A231" t="s">
        <v>317</v>
      </c>
      <c r="B231"/>
      <c r="C231"/>
      <c r="D231" s="83" t="e">
        <f>IF(OR(D229=0,D229="",D230=0,D230=""),0,ROUND(D229*D230,0))</f>
        <v>#REF!</v>
      </c>
      <c r="E231"/>
      <c r="F231"/>
      <c r="G231" s="246" t="s">
        <v>318</v>
      </c>
      <c r="H231"/>
      <c r="I231"/>
      <c r="J231"/>
      <c r="K231"/>
      <c r="L231"/>
      <c r="M231"/>
    </row>
    <row r="232" spans="1:13">
      <c r="A232"/>
      <c r="B232" s="83"/>
      <c r="C232" s="112"/>
      <c r="D232" s="113"/>
      <c r="E232"/>
      <c r="F232"/>
      <c r="G232"/>
      <c r="H232"/>
      <c r="I232"/>
      <c r="J232"/>
      <c r="K232"/>
      <c r="L232"/>
      <c r="M232"/>
    </row>
    <row r="233" spans="1:13">
      <c r="A233" s="441" t="s">
        <v>319</v>
      </c>
      <c r="B233" s="441"/>
      <c r="C233" s="441"/>
      <c r="D233" s="441"/>
      <c r="E233" s="441"/>
      <c r="F233" s="441"/>
      <c r="G233" s="441"/>
      <c r="H233" s="441"/>
      <c r="I233" s="441"/>
      <c r="J233" s="441"/>
      <c r="K233" s="441"/>
      <c r="L233"/>
      <c r="M233"/>
    </row>
    <row r="234" spans="1:13">
      <c r="A234"/>
      <c r="B234" s="83"/>
      <c r="C234" s="112"/>
      <c r="D234" s="113"/>
      <c r="E234"/>
      <c r="F234"/>
      <c r="G234"/>
      <c r="H234"/>
      <c r="I234"/>
      <c r="J234"/>
      <c r="K234"/>
      <c r="L234"/>
      <c r="M234"/>
    </row>
    <row r="235" spans="1:13">
      <c r="A235" t="s">
        <v>320</v>
      </c>
      <c r="B235" s="83"/>
      <c r="C235" s="112"/>
      <c r="D235" t="e">
        <f>VLOOKUP(TRUE,C183:D186,2,FALSE)</f>
        <v>#N/A</v>
      </c>
      <c r="E235"/>
      <c r="F235"/>
      <c r="G235"/>
      <c r="H235"/>
      <c r="I235"/>
      <c r="J235"/>
      <c r="K235"/>
      <c r="L235"/>
      <c r="M235"/>
    </row>
    <row r="236" spans="1:13">
      <c r="A236"/>
      <c r="B236" s="83"/>
      <c r="C236" s="112"/>
      <c r="D236"/>
      <c r="E236"/>
      <c r="F236"/>
      <c r="G236"/>
      <c r="H236"/>
      <c r="I236"/>
      <c r="J236"/>
      <c r="K236"/>
      <c r="L236"/>
      <c r="M236"/>
    </row>
    <row r="237" spans="1:13">
      <c r="A237" t="s">
        <v>321</v>
      </c>
      <c r="B237" s="83"/>
      <c r="C237" s="112"/>
      <c r="D237" t="e">
        <f>IF(AND(D238=FALSE,D239=FALSE,D240=FALSE,D241=FALSE,D242=FALSE,D243=FALSE),TRUE,FALSE)</f>
        <v>#REF!</v>
      </c>
      <c r="E237" t="s">
        <v>322</v>
      </c>
      <c r="F237"/>
      <c r="G237"/>
      <c r="H237"/>
      <c r="I237"/>
      <c r="J237"/>
      <c r="K237"/>
      <c r="L237"/>
      <c r="M237"/>
    </row>
    <row r="238" spans="1:13">
      <c r="A238" s="123" t="s">
        <v>323</v>
      </c>
      <c r="B238" s="83"/>
      <c r="C238" s="112"/>
      <c r="D238" t="b">
        <f>IF(D139=TRUE,TRUE,FALSE)</f>
        <v>0</v>
      </c>
      <c r="E238" t="s">
        <v>324</v>
      </c>
      <c r="F238"/>
      <c r="G238"/>
      <c r="H238"/>
      <c r="I238"/>
      <c r="J238"/>
      <c r="K238"/>
      <c r="L238"/>
      <c r="M238"/>
    </row>
    <row r="239" spans="1:13">
      <c r="A239" s="123" t="s">
        <v>0</v>
      </c>
      <c r="B239" s="83"/>
      <c r="C239" s="112"/>
      <c r="D239" t="e">
        <f>IF(AND(D139=FALSE,D138&gt;0,D171&gt;0,D171=D138),TRUE,FALSE)</f>
        <v>#REF!</v>
      </c>
      <c r="E239" t="s">
        <v>325</v>
      </c>
      <c r="F239"/>
      <c r="G239"/>
      <c r="H239"/>
      <c r="I239"/>
      <c r="J239"/>
      <c r="K239"/>
      <c r="L239"/>
      <c r="M239"/>
    </row>
    <row r="240" spans="1:13">
      <c r="A240" s="123" t="s">
        <v>326</v>
      </c>
      <c r="B240" s="83"/>
      <c r="C240" s="112"/>
      <c r="D240" t="e">
        <f>IF(AND(D139&lt;&gt;FALSE,D171&lt;D138),TRUE,FALSE)</f>
        <v>#REF!</v>
      </c>
      <c r="E240" t="s">
        <v>327</v>
      </c>
      <c r="F240"/>
      <c r="G240"/>
      <c r="H240"/>
      <c r="I240"/>
      <c r="J240"/>
      <c r="K240"/>
      <c r="L240"/>
      <c r="M240"/>
    </row>
    <row r="241" spans="1:13">
      <c r="A241" s="123" t="s">
        <v>328</v>
      </c>
      <c r="B241" s="83"/>
      <c r="C241" s="112"/>
      <c r="D241" t="e">
        <f>IF(AND(M143=TRUE,M144=TRUE,M145=TRUE,OR(D135="Part-Time",D135="Varies",D135="Varies / Averaged",D135="Seasonal")),TRUE,FALSE)</f>
        <v>#REF!</v>
      </c>
      <c r="E241" t="e">
        <f>CONCATENATE("Total qualifying income determined with earnings from YTD ",B143,", Year ",B144,", and Year ",B145,".")</f>
        <v>#REF!</v>
      </c>
      <c r="F241"/>
      <c r="G241"/>
      <c r="H241"/>
      <c r="I241"/>
      <c r="J241"/>
      <c r="K241"/>
      <c r="L241"/>
      <c r="M241"/>
    </row>
    <row r="242" spans="1:13">
      <c r="A242" s="123" t="s">
        <v>329</v>
      </c>
      <c r="B242" s="83"/>
      <c r="C242" s="112"/>
      <c r="D242" t="e">
        <f>IF(AND(M143=TRUE,M144=TRUE,M145=FALSE,OR(D135="Part-Time",D135="Varies",D135="Varies / Averaged",D135="Seasonal")),TRUE,FALSE)</f>
        <v>#REF!</v>
      </c>
      <c r="E242" t="e">
        <f>CONCATENATE("Total qualifying income determined with earnings from YTD ",B143,", and Year ",B144,".")</f>
        <v>#REF!</v>
      </c>
      <c r="F242"/>
      <c r="G242"/>
      <c r="H242"/>
      <c r="I242"/>
      <c r="J242"/>
      <c r="K242"/>
      <c r="L242"/>
      <c r="M242"/>
    </row>
    <row r="243" spans="1:13">
      <c r="A243" s="123" t="s">
        <v>330</v>
      </c>
      <c r="B243" s="83"/>
      <c r="C243" s="112"/>
      <c r="D243" t="e">
        <f>IF(AND(M143=TRUE,M144=FALSE,M145=FALSE,D205&gt;=J146,OR(D135="Part-Time",D135="Varies",D135="Varies / Averaged",D135="Seasonal")),TRUE,FALSE)</f>
        <v>#REF!</v>
      </c>
      <c r="E243" t="e">
        <f>CONCATENATE("Total qualifying income determined with earnings from YTD ",B143,".")</f>
        <v>#REF!</v>
      </c>
      <c r="F243"/>
      <c r="G243"/>
      <c r="H243"/>
      <c r="I243"/>
      <c r="J243"/>
      <c r="K243"/>
      <c r="L243"/>
      <c r="M243"/>
    </row>
    <row r="244" spans="1:13">
      <c r="A244"/>
      <c r="B244" s="83"/>
      <c r="C244" s="112"/>
      <c r="D244"/>
      <c r="E244"/>
      <c r="F244"/>
      <c r="G244"/>
      <c r="H244"/>
      <c r="I244"/>
      <c r="J244"/>
      <c r="K244"/>
      <c r="L244"/>
      <c r="M244"/>
    </row>
    <row r="245" spans="1:13">
      <c r="A245" t="s">
        <v>331</v>
      </c>
      <c r="B245"/>
      <c r="C245"/>
      <c r="D245" t="str">
        <f>IF(ISERROR(J146),"Total qualifying income to be determined.",VLOOKUP(TRUE,D237:E243,2,FALSE))</f>
        <v>Total qualifying income to be determined.</v>
      </c>
      <c r="E245"/>
      <c r="F245"/>
      <c r="G245"/>
      <c r="H245"/>
      <c r="I245"/>
      <c r="J245"/>
      <c r="K245"/>
      <c r="L245"/>
      <c r="M245"/>
    </row>
    <row r="246" spans="1:13">
      <c r="A246"/>
      <c r="B246"/>
      <c r="C246"/>
      <c r="D246"/>
      <c r="E246"/>
      <c r="F246"/>
      <c r="G246"/>
      <c r="H246"/>
      <c r="I246"/>
      <c r="J246"/>
      <c r="K246"/>
      <c r="L246"/>
      <c r="M246"/>
    </row>
    <row r="247" spans="1:13">
      <c r="A247" t="s">
        <v>332</v>
      </c>
      <c r="B247"/>
      <c r="C247"/>
      <c r="D247" t="str">
        <f>IF(ISERROR(J146),"Average weekly hours worked to be determined.",IF(AND(E143=0,E144=0,E145=0),"Average weekly hours worked to be determined.",IF(OR(D133=0,D133="",D135=A127,D135=A129),"Average weekly hours worked vary.",CONCATENATE("YTD earnings, at current rate of pay, reflect borrower is working an average of ",TEXT(D227,"##.0")," hours weekly."))))</f>
        <v>Average weekly hours worked to be determined.</v>
      </c>
      <c r="E247"/>
      <c r="F247"/>
      <c r="G247"/>
      <c r="H247"/>
      <c r="I247"/>
      <c r="J247"/>
      <c r="K247"/>
      <c r="L247"/>
      <c r="M247"/>
    </row>
    <row r="248" spans="1:13">
      <c r="A248"/>
      <c r="B248"/>
      <c r="C248"/>
      <c r="D248"/>
      <c r="E248"/>
      <c r="F248"/>
      <c r="G248"/>
      <c r="H248"/>
      <c r="I248"/>
      <c r="J248"/>
      <c r="K248"/>
      <c r="L248"/>
      <c r="M248"/>
    </row>
    <row r="249" spans="1:13">
      <c r="A249" t="s">
        <v>333</v>
      </c>
      <c r="B249"/>
      <c r="C249"/>
      <c r="D249" t="e">
        <f>IF(OR(ISERROR(J146),C143="",D231=0),"Expected amount of YTD earnings to be determined.",VLOOKUP(D135,A122:E130,5,FALSE))</f>
        <v>#REF!</v>
      </c>
      <c r="E249"/>
      <c r="F249"/>
      <c r="G249"/>
      <c r="H249"/>
      <c r="I249"/>
      <c r="J249"/>
      <c r="K249"/>
      <c r="L249"/>
      <c r="M249"/>
    </row>
    <row r="250" spans="1:13">
      <c r="A250"/>
      <c r="B250"/>
      <c r="C250"/>
      <c r="D250"/>
      <c r="E250"/>
      <c r="F250"/>
      <c r="G250"/>
      <c r="H250"/>
      <c r="I250"/>
      <c r="J250"/>
      <c r="K250"/>
      <c r="L250"/>
      <c r="M250"/>
    </row>
    <row r="251" spans="1:13">
      <c r="A251" t="s">
        <v>334</v>
      </c>
      <c r="B251" s="83"/>
      <c r="C251" s="112"/>
      <c r="D251" t="e">
        <f>IF(OR(ISERROR(J146),F146=0),"Total Average Base Earnings and period covered to be determined.",CONCATENATE("Total Average Base Earnings For The Past ",Data_Income!I146," Months = ",DOLLAR(ROUND(J146,0),2)))</f>
        <v>#REF!</v>
      </c>
      <c r="E251"/>
      <c r="F251"/>
      <c r="G251"/>
      <c r="H251"/>
      <c r="I251"/>
      <c r="J251"/>
      <c r="K251"/>
      <c r="L251"/>
      <c r="M251"/>
    </row>
    <row r="252" spans="1:13">
      <c r="A252"/>
      <c r="B252" s="83"/>
      <c r="C252" s="112"/>
      <c r="D252" s="113"/>
      <c r="E252"/>
      <c r="F252"/>
      <c r="G252"/>
      <c r="H252"/>
      <c r="I252"/>
      <c r="J252"/>
      <c r="K252"/>
      <c r="L252"/>
      <c r="M252"/>
    </row>
    <row r="253" spans="1:13" ht="18" customHeight="1">
      <c r="A253" s="419" t="s">
        <v>335</v>
      </c>
      <c r="B253" s="420"/>
      <c r="C253" s="420"/>
      <c r="D253" s="420"/>
      <c r="E253" s="420"/>
      <c r="F253" s="420"/>
      <c r="G253" s="420"/>
      <c r="H253" s="420"/>
      <c r="I253" s="420"/>
      <c r="J253" s="420"/>
      <c r="K253" s="420"/>
      <c r="L253" s="420"/>
      <c r="M253" s="421"/>
    </row>
    <row r="254" spans="1:13">
      <c r="A254"/>
      <c r="B254" s="83"/>
      <c r="C254" s="112"/>
      <c r="D254" s="113"/>
      <c r="E254"/>
      <c r="F254"/>
      <c r="G254"/>
      <c r="H254"/>
      <c r="I254"/>
      <c r="J254"/>
      <c r="K254"/>
      <c r="L254"/>
      <c r="M254"/>
    </row>
    <row r="255" spans="1:13">
      <c r="A255" s="441" t="s">
        <v>171</v>
      </c>
      <c r="B255" s="441"/>
      <c r="C255" s="441"/>
      <c r="D255" s="441"/>
      <c r="E255" s="441"/>
      <c r="F255" s="441"/>
      <c r="G255" s="441"/>
      <c r="H255" s="441"/>
      <c r="I255" s="441"/>
      <c r="J255" s="441"/>
      <c r="K255" s="441"/>
      <c r="L255"/>
      <c r="M255"/>
    </row>
    <row r="256" spans="1:13">
      <c r="A256" s="125">
        <v>1</v>
      </c>
      <c r="B256" s="125">
        <v>2</v>
      </c>
      <c r="C256" s="125">
        <v>3</v>
      </c>
      <c r="D256" s="124">
        <v>4</v>
      </c>
      <c r="E256" s="107">
        <v>5</v>
      </c>
      <c r="F256" s="126"/>
      <c r="G256" s="126"/>
      <c r="H256" s="126"/>
      <c r="I256" s="126"/>
      <c r="J256" s="126"/>
      <c r="K256" s="127"/>
      <c r="L256"/>
      <c r="M256"/>
    </row>
    <row r="257" spans="1:13">
      <c r="A257" s="53" t="s">
        <v>174</v>
      </c>
      <c r="B257" s="53" t="s">
        <v>175</v>
      </c>
      <c r="C257" s="53" t="s">
        <v>176</v>
      </c>
      <c r="D257" s="53" t="s">
        <v>177</v>
      </c>
      <c r="E257" s="75" t="s">
        <v>227</v>
      </c>
      <c r="F257" s="76"/>
      <c r="G257" s="76"/>
      <c r="H257" s="76"/>
      <c r="I257" s="76"/>
      <c r="J257" s="76"/>
      <c r="K257" s="79"/>
      <c r="L257"/>
      <c r="M257"/>
    </row>
    <row r="258" spans="1:13">
      <c r="A258" s="58" t="str">
        <f>$C$54</f>
        <v>Annually (1)</v>
      </c>
      <c r="B258" s="56">
        <f>$E$49</f>
        <v>1</v>
      </c>
      <c r="C258" s="59">
        <f>$F$49</f>
        <v>2080</v>
      </c>
      <c r="D258" s="58" t="str">
        <f>$G$49</f>
        <v>annually</v>
      </c>
      <c r="E258" s="77" t="e">
        <f>IF(D271=0,"N/A",CONCATENATE("Working full-time at current rate of pay (",DOLLAR(D333,0)," annually), borrower's YTD earnings would need to reflect ",DOLLAR(D360,0)," as the total amount of base earnings from ",MONTH(C279),"/",DAY(C279),"/",YEAR(C279)," to ",MONTH(D279),"/",DAY(D279),"/",YEAR(D279)," (excluding bonus, commissions, differential, incentive, overtime, etc.)."))</f>
        <v>#REF!</v>
      </c>
      <c r="F258" s="76"/>
      <c r="G258" s="76"/>
      <c r="H258" s="76"/>
      <c r="I258" s="76"/>
      <c r="J258" s="76"/>
      <c r="K258" s="80"/>
      <c r="L258"/>
      <c r="M258"/>
    </row>
    <row r="259" spans="1:13">
      <c r="A259" s="245" t="str">
        <f>$C$51</f>
        <v>Bi-Weekly (26)</v>
      </c>
      <c r="B259" s="56">
        <f>$E$50</f>
        <v>26</v>
      </c>
      <c r="C259" s="59">
        <f>$F$50</f>
        <v>80</v>
      </c>
      <c r="D259" s="58" t="str">
        <f>$G$50</f>
        <v>bi-weekly</v>
      </c>
      <c r="E259" s="77" t="e">
        <f>IF(D271=0,"N/A",CONCATENATE("Working full-time at current rate of pay (",DOLLAR(D333,0)," bi-weekly), borrower's YTD earnings would need to reflect ",DOLLAR(D360,0)," as the total amount of base earnings from ",MONTH(C279),"/",DAY(C279),"/",YEAR(C279)," to ",MONTH(D279),"/",DAY(D279),"/",YEAR(D279)," (excluding bonus, commissions, differential, incentive, overtime, etc.)."))</f>
        <v>#REF!</v>
      </c>
      <c r="F259" s="76"/>
      <c r="G259" s="76"/>
      <c r="H259" s="76"/>
      <c r="I259" s="76"/>
      <c r="J259" s="76"/>
      <c r="K259" s="80"/>
      <c r="L259"/>
      <c r="M259"/>
    </row>
    <row r="260" spans="1:13">
      <c r="A260" s="58" t="str">
        <f>$C$49</f>
        <v>Hourly (H)</v>
      </c>
      <c r="B260" s="56">
        <f>$E$51</f>
        <v>2080</v>
      </c>
      <c r="C260" s="59">
        <f>$F$51</f>
        <v>1</v>
      </c>
      <c r="D260" s="58" t="str">
        <f>$G$51</f>
        <v>hourly</v>
      </c>
      <c r="E260" s="77" t="e">
        <f>IF(D271=0,"N/A",CONCATENATE("Working full-time at current rate of pay (",DOLLAR(D333,2)," hourly), borrower's YTD earnings would need to reflect ",DOLLAR(D360,0)," as the total amount of base earnings from ",MONTH(C279),"/",DAY(C279),"/",YEAR(C279)," to ",MONTH(D279),"/",DAY(D279),"/",YEAR(D279)," (excluding bonus, commissions, differential, incentive, overtime, etc.)."))</f>
        <v>#REF!</v>
      </c>
      <c r="F260" s="76"/>
      <c r="G260" s="76"/>
      <c r="H260" s="76"/>
      <c r="I260" s="76"/>
      <c r="J260" s="76"/>
      <c r="K260" s="80"/>
      <c r="L260"/>
      <c r="M260"/>
    </row>
    <row r="261" spans="1:13">
      <c r="A261" s="58" t="str">
        <f>$C$53</f>
        <v>Monthly (12)</v>
      </c>
      <c r="B261" s="56">
        <f>$E$52</f>
        <v>12</v>
      </c>
      <c r="C261" s="59">
        <f>$F$52</f>
        <v>173.333333333333</v>
      </c>
      <c r="D261" s="243" t="str">
        <f>$G$52</f>
        <v>monthly</v>
      </c>
      <c r="E261" s="77" t="e">
        <f>IF(D271=0,"N/A",CONCATENATE("Working full-time at current rate of pay (",DOLLAR(D333,0)," monthly), borrower's YTD earnings would need to reflect ",DOLLAR(D360,0)," as the total amount of base earnings from ",MONTH(C279),"/",DAY(C279),"/",YEAR(C279)," to ",MONTH(D279),"/",DAY(D279),"/",YEAR(D279)," (excluding bonus, commissions, differential, incentive, overtime, etc.)."))</f>
        <v>#REF!</v>
      </c>
      <c r="F261" s="76"/>
      <c r="G261" s="76"/>
      <c r="H261" s="76"/>
      <c r="I261" s="76"/>
      <c r="J261" s="76"/>
      <c r="K261" s="80"/>
      <c r="L261"/>
      <c r="M261"/>
    </row>
    <row r="262" spans="1:13">
      <c r="A262" s="58" t="str">
        <f>$C$55</f>
        <v>Part-Time</v>
      </c>
      <c r="B262" s="56">
        <f>$E$53</f>
        <v>0</v>
      </c>
      <c r="C262" s="59">
        <f>$F$53</f>
        <v>0</v>
      </c>
      <c r="D262" s="58" t="str">
        <f>$G$53</f>
        <v>part-time</v>
      </c>
      <c r="E262" s="77" t="e">
        <f>IF(D271=0,"N/A",CONCATENATE("Working Part-Time at averaged monthly pay, borrower's YTD earnings would need to reflect approximately ",DOLLAR(D360,0)," as the total amount of base earnings from ",MONTH(C279),"/",DAY(C279),"/",YEAR(C279)," to ",MONTH(D279),"/",DAY(D279),"/",YEAR(D279)," (excluding bonus, commissions, differential, incentive, overtime, etc.)."))</f>
        <v>#REF!</v>
      </c>
      <c r="F262" s="76"/>
      <c r="G262" s="76"/>
      <c r="H262" s="76"/>
      <c r="I262" s="76"/>
      <c r="J262" s="76"/>
      <c r="K262" s="80"/>
      <c r="L262"/>
      <c r="M262"/>
    </row>
    <row r="263" spans="1:13">
      <c r="A263" s="58" t="str">
        <f>$C$56</f>
        <v>Seasonal</v>
      </c>
      <c r="B263" s="56">
        <f>$E$54</f>
        <v>0</v>
      </c>
      <c r="C263" s="59">
        <f>$F$54</f>
        <v>0</v>
      </c>
      <c r="D263" s="58" t="str">
        <f>$G$54</f>
        <v>seasonal</v>
      </c>
      <c r="E263" s="77" t="e">
        <f>IF(D271=0,"N/A",CONCATENATE("Working Seasonal at averaged monthly pay, borrower's YTD earnings would need to reflect approximately ",DOLLAR(D360,0)," as the total amount of base earnings from ",MONTH(C279),"/",DAY(C279),"/",YEAR(C279)," to ",MONTH(D279),"/",DAY(D279),"/",YEAR(D279)," (excluding bonus, commissions, differential, incentive, overtime, etc.)."))</f>
        <v>#REF!</v>
      </c>
      <c r="F263" s="76"/>
      <c r="G263" s="76"/>
      <c r="H263" s="76"/>
      <c r="I263" s="76"/>
      <c r="J263" s="76"/>
      <c r="K263" s="80"/>
      <c r="L263"/>
      <c r="M263"/>
    </row>
    <row r="264" spans="1:13">
      <c r="A264" s="58" t="str">
        <f>$C$52</f>
        <v>Semi-Monthly (24)</v>
      </c>
      <c r="B264" s="56">
        <f>$E$55</f>
        <v>24</v>
      </c>
      <c r="C264" s="59">
        <f>$F$55</f>
        <v>86.6666666666667</v>
      </c>
      <c r="D264" s="58" t="str">
        <f>$G$55</f>
        <v>semi-monthly</v>
      </c>
      <c r="E264" s="77" t="e">
        <f>IF(D271=0,"N/A",CONCATENATE("Working full-time at current rate of pay (",DOLLAR(D333,2)," semi-monthly), borrower's YTD earnings would need to reflect ",DOLLAR(D360,0)," as the total amount of base earnings from ",MONTH(C279),"/",DAY(C279),"/",YEAR(C279)," to ",MONTH(D279),"/",DAY(D279),"/",YEAR(D279)," (excluding bonus, commissions, differential, incentive, overtime, etc.)."))</f>
        <v>#REF!</v>
      </c>
      <c r="F264" s="76"/>
      <c r="G264" s="76"/>
      <c r="H264" s="76"/>
      <c r="I264" s="76"/>
      <c r="J264" s="76"/>
      <c r="K264" s="80"/>
      <c r="L264"/>
      <c r="M264"/>
    </row>
    <row r="265" spans="1:13">
      <c r="A265" s="58" t="str">
        <f>$C$57</f>
        <v>Varies / Averaged</v>
      </c>
      <c r="B265" s="56">
        <f>$E$56</f>
        <v>0</v>
      </c>
      <c r="C265" s="59">
        <f>$F$56</f>
        <v>0</v>
      </c>
      <c r="D265" s="58" t="str">
        <f>$G$56</f>
        <v>varies</v>
      </c>
      <c r="E265" s="77" t="e">
        <f>IF(D271=0,"N/A",CONCATENATE("Based on calculated averaged monthly earnings, borrower's YTD earnings should reflect approximately ",DOLLAR(D360,0)," as the total amount of base income earned from ",MONTH(C279),"/",DAY(C279),"/",YEAR(C279)," to ",MONTH(D279),"/",DAY(D279),"/",YEAR(D279)," (excluding bonus, commissions, differential, incentive, overtime, etc.)."))</f>
        <v>#REF!</v>
      </c>
      <c r="F265" s="76"/>
      <c r="G265" s="76"/>
      <c r="H265" s="76"/>
      <c r="I265" s="76"/>
      <c r="J265" s="76"/>
      <c r="K265" s="80"/>
      <c r="L265"/>
      <c r="M265"/>
    </row>
    <row r="266" spans="1:13">
      <c r="A266" s="58" t="str">
        <f>$C$50</f>
        <v>Weekly (52)</v>
      </c>
      <c r="B266" s="56">
        <f>$E$57</f>
        <v>52</v>
      </c>
      <c r="C266" s="59">
        <f>$F$57</f>
        <v>40</v>
      </c>
      <c r="D266" s="58" t="str">
        <f>$G$57</f>
        <v>weekly</v>
      </c>
      <c r="E266" s="77" t="e">
        <f>IF(D271=0,"N/A",CONCATENATE("Working full-time at current rate of pay (",DOLLAR(D333,2)," weekly), borrower's YTD earnings would need to reflect ",DOLLAR(D360,0)," as the total amount of base earnings from ",MONTH(C279),"/",DAY(C279),"/",YEAR(C279)," to ",MONTH(D279),"/",DAY(D279),"/",YEAR(D279)," (excluding bonus, commissions, differential, incentive, overtime, etc.)."))</f>
        <v>#REF!</v>
      </c>
      <c r="F266" s="76"/>
      <c r="G266" s="76"/>
      <c r="H266" s="76"/>
      <c r="I266" s="76"/>
      <c r="J266" s="76"/>
      <c r="K266" s="80"/>
      <c r="L266"/>
      <c r="M266"/>
    </row>
    <row r="267" spans="1:13">
      <c r="A267"/>
      <c r="B267"/>
      <c r="C267"/>
      <c r="D267"/>
      <c r="E267"/>
      <c r="F267"/>
      <c r="G267"/>
      <c r="H267"/>
      <c r="I267"/>
      <c r="J267"/>
      <c r="K267"/>
      <c r="L267"/>
      <c r="M267"/>
    </row>
    <row r="268" spans="1:13">
      <c r="A268" t="s">
        <v>228</v>
      </c>
      <c r="B268"/>
      <c r="C268"/>
      <c r="D268" s="81" t="e">
        <f>#REF!</f>
        <v>#REF!</v>
      </c>
      <c r="E268"/>
      <c r="F268" s="82"/>
      <c r="G268" s="246" t="s">
        <v>229</v>
      </c>
      <c r="H268" s="82"/>
      <c r="I268" s="82"/>
      <c r="J268" s="82"/>
      <c r="K268"/>
      <c r="L268"/>
      <c r="M268"/>
    </row>
    <row r="269" spans="1:13">
      <c r="A269" t="s">
        <v>230</v>
      </c>
      <c r="B269"/>
      <c r="C269"/>
      <c r="D269" s="83" t="e">
        <f>IF(OR(#REF!="",#REF!=0),0,#REF!)</f>
        <v>#REF!</v>
      </c>
      <c r="E269"/>
      <c r="F269" s="82"/>
      <c r="G269" s="246" t="s">
        <v>231</v>
      </c>
      <c r="H269" s="82"/>
      <c r="I269" s="82"/>
      <c r="J269" s="82"/>
      <c r="K269"/>
      <c r="L269"/>
      <c r="M269"/>
    </row>
    <row r="270" spans="1:13">
      <c r="A270" t="s">
        <v>232</v>
      </c>
      <c r="B270"/>
      <c r="C270"/>
      <c r="D270" s="83" t="e">
        <f>IF(D271=A262,"Hourly Rate of Pay (part-time)","Rate of Pay")</f>
        <v>#REF!</v>
      </c>
      <c r="E270"/>
      <c r="F270" s="82"/>
      <c r="G270" s="82"/>
      <c r="H270" s="82"/>
      <c r="I270" s="82"/>
      <c r="J270" s="82"/>
      <c r="K270"/>
      <c r="L270"/>
      <c r="M270"/>
    </row>
    <row r="271" spans="1:13">
      <c r="A271" t="s">
        <v>233</v>
      </c>
      <c r="B271"/>
      <c r="C271"/>
      <c r="D271" s="84" t="e">
        <f>#REF!</f>
        <v>#REF!</v>
      </c>
      <c r="E271"/>
      <c r="F271" s="82"/>
      <c r="G271" s="246" t="s">
        <v>234</v>
      </c>
      <c r="H271" s="82"/>
      <c r="I271" s="82"/>
      <c r="J271" s="82"/>
      <c r="K271"/>
      <c r="L271"/>
      <c r="M271"/>
    </row>
    <row r="272" spans="1:13">
      <c r="A272" t="s">
        <v>235</v>
      </c>
      <c r="B272"/>
      <c r="C272"/>
      <c r="D272" s="83" t="e">
        <f>#REF!</f>
        <v>#REF!</v>
      </c>
      <c r="E272"/>
      <c r="F272" s="82"/>
      <c r="G272" s="246" t="s">
        <v>236</v>
      </c>
      <c r="H272" s="82"/>
      <c r="I272" s="82"/>
      <c r="J272" s="82"/>
      <c r="K272"/>
      <c r="L272"/>
      <c r="M272"/>
    </row>
    <row r="273" spans="1:15">
      <c r="A273" t="s">
        <v>237</v>
      </c>
      <c r="B273"/>
      <c r="C273"/>
      <c r="D273" s="83" t="e">
        <f>IF(OR(D269=0,D271=0),"",IF(D271="Hourly (H)",(D269*D272)*52,D269*VLOOKUP(D271,A258:E266,2,FALSE)))</f>
        <v>#REF!</v>
      </c>
      <c r="E273"/>
      <c r="F273" s="82"/>
      <c r="G273" s="246" t="s">
        <v>238</v>
      </c>
      <c r="H273" s="82"/>
      <c r="I273" s="82"/>
      <c r="J273" s="82"/>
      <c r="K273"/>
      <c r="L273"/>
      <c r="M273"/>
    </row>
    <row r="274" spans="1:15">
      <c r="A274" t="s">
        <v>239</v>
      </c>
      <c r="B274"/>
      <c r="C274"/>
      <c r="D274" s="86" t="e">
        <f>IF(OR(D269=0,D271=0),0,IF(OR(D271=A262,D271=A263,D271=A265),J282,ROUND(D273/12,0)))</f>
        <v>#REF!</v>
      </c>
      <c r="E274"/>
      <c r="F274" s="82"/>
      <c r="G274" s="246" t="s">
        <v>240</v>
      </c>
      <c r="H274" s="82"/>
      <c r="I274" s="82"/>
      <c r="J274" s="82"/>
      <c r="K274"/>
      <c r="L274"/>
      <c r="M274"/>
    </row>
    <row r="275" spans="1:15">
      <c r="A275" t="s">
        <v>241</v>
      </c>
      <c r="B275"/>
      <c r="C275"/>
      <c r="D275" t="b">
        <v>1</v>
      </c>
      <c r="E275"/>
      <c r="F275" s="82"/>
      <c r="G275" s="246" t="s">
        <v>242</v>
      </c>
      <c r="H275" s="82"/>
      <c r="I275" s="82"/>
      <c r="J275" s="82"/>
      <c r="K275"/>
      <c r="L275"/>
      <c r="M275"/>
    </row>
    <row r="276" spans="1:15">
      <c r="A276"/>
      <c r="B276"/>
      <c r="C276"/>
      <c r="D276"/>
      <c r="E276"/>
      <c r="F276"/>
      <c r="G276"/>
      <c r="H276"/>
      <c r="I276"/>
      <c r="J276"/>
      <c r="K276"/>
      <c r="L276"/>
      <c r="M276"/>
    </row>
    <row r="277" spans="1:15">
      <c r="A277" s="423" t="s">
        <v>243</v>
      </c>
      <c r="B277" s="424"/>
      <c r="C277" s="424"/>
      <c r="D277" s="424"/>
      <c r="E277" s="424"/>
      <c r="F277" s="424"/>
      <c r="G277" s="425"/>
      <c r="H277" s="423" t="s">
        <v>244</v>
      </c>
      <c r="I277" s="424"/>
      <c r="J277" s="425"/>
      <c r="K277" s="423" t="s">
        <v>245</v>
      </c>
      <c r="L277" s="424"/>
      <c r="M277" s="425"/>
    </row>
    <row r="278" spans="1:15">
      <c r="A278" s="87" t="s">
        <v>246</v>
      </c>
      <c r="B278" s="87" t="s">
        <v>164</v>
      </c>
      <c r="C278" s="87" t="s">
        <v>247</v>
      </c>
      <c r="D278" s="87" t="s">
        <v>248</v>
      </c>
      <c r="E278" s="87" t="s">
        <v>5</v>
      </c>
      <c r="F278" s="87" t="s">
        <v>4</v>
      </c>
      <c r="G278" s="87" t="s">
        <v>1</v>
      </c>
      <c r="H278" s="87" t="s">
        <v>154</v>
      </c>
      <c r="I278" s="87" t="s">
        <v>4</v>
      </c>
      <c r="J278" s="87" t="s">
        <v>5</v>
      </c>
      <c r="K278" s="87" t="s">
        <v>249</v>
      </c>
      <c r="L278" s="87" t="s">
        <v>250</v>
      </c>
      <c r="M278" s="87" t="s">
        <v>251</v>
      </c>
    </row>
    <row r="279" spans="1:15">
      <c r="A279" s="88" t="b">
        <v>1</v>
      </c>
      <c r="B279" s="89" t="e">
        <f>#REF!</f>
        <v>#REF!</v>
      </c>
      <c r="C279" s="90" t="e">
        <f>#REF!</f>
        <v>#REF!</v>
      </c>
      <c r="D279" s="90" t="e">
        <f>#REF!</f>
        <v>#REF!</v>
      </c>
      <c r="E279" s="91" t="e">
        <f>#REF!</f>
        <v>#REF!</v>
      </c>
      <c r="F279" s="92" t="e">
        <f>IF(OR(E279="",E279=0),"",ROUND((((D279-C279)+1)/365)*12,1))</f>
        <v>#REF!</v>
      </c>
      <c r="G279" s="93" t="e">
        <f>IF(OR(E279="",E279="",E279=0),"",ROUND(E279/F279,0))</f>
        <v>#REF!</v>
      </c>
      <c r="H279" s="93" t="e">
        <f>IF(A279=TRUE,E279,0)</f>
        <v>#REF!</v>
      </c>
      <c r="I279" s="118" t="e">
        <f>IF(A279=TRUE,F279,0)</f>
        <v>#REF!</v>
      </c>
      <c r="J279" s="93" t="e">
        <f>IF(OR(A279=FALSE,H279=0,I279=0),0,ROUND(H279/I279,0))</f>
        <v>#REF!</v>
      </c>
      <c r="K279" s="92" t="e">
        <f>IF(OR(G279="",G279=0,G280="",G280=0),100,IF(G279&gt;G280,((G279-G280)/G280)*100,((G280-G279)/G280)*100))</f>
        <v>#REF!</v>
      </c>
      <c r="L279" s="54" t="e">
        <f>IF(G279&gt;G280,"Increase","Decrease")</f>
        <v>#REF!</v>
      </c>
      <c r="M279" s="54" t="e">
        <f>IF(AND(A279=TRUE,E279&gt;0),TRUE,FALSE)</f>
        <v>#REF!</v>
      </c>
    </row>
    <row r="280" spans="1:15">
      <c r="A280" s="57" t="b">
        <v>1</v>
      </c>
      <c r="B280" s="89" t="e">
        <f>#REF!</f>
        <v>#REF!</v>
      </c>
      <c r="C280" s="90" t="e">
        <f>#REF!</f>
        <v>#REF!</v>
      </c>
      <c r="D280" s="90" t="e">
        <f>#REF!</f>
        <v>#REF!</v>
      </c>
      <c r="E280" s="91" t="e">
        <f>#REF!</f>
        <v>#REF!</v>
      </c>
      <c r="F280" s="92" t="e">
        <f>IF(OR(E280="",E280=0),"",ROUND((((D280-C280)+1)/365)*12,1))</f>
        <v>#REF!</v>
      </c>
      <c r="G280" s="93" t="e">
        <f>IF(OR(E280="",E280="",E280=0),"",ROUND(E280/F280,0))</f>
        <v>#REF!</v>
      </c>
      <c r="H280" s="93" t="e">
        <f>IF(A280=TRUE,E280,0)</f>
        <v>#REF!</v>
      </c>
      <c r="I280" s="118" t="e">
        <f>IF(A280=TRUE,F280,0)</f>
        <v>#REF!</v>
      </c>
      <c r="J280" s="93" t="e">
        <f>IF(OR(A280=FALSE,H280=0,I280=0),0,ROUND(H280/I280,0))</f>
        <v>#REF!</v>
      </c>
      <c r="K280" s="92" t="e">
        <f>IF(OR(G280="",G280=0,G281="",G281=0),100,IF(G280&gt;G281,((G280-G281)/G281)*100,((G281-G280)/G281)*100))</f>
        <v>#REF!</v>
      </c>
      <c r="L280" s="54" t="e">
        <f>IF(G280&gt;G281,"Increase","Decrease")</f>
        <v>#REF!</v>
      </c>
      <c r="M280" s="54" t="e">
        <f>IF(AND(A280=TRUE,E280&gt;0),TRUE,FALSE)</f>
        <v>#REF!</v>
      </c>
    </row>
    <row r="281" spans="1:15">
      <c r="A281" s="57" t="b">
        <v>0</v>
      </c>
      <c r="B281" s="89" t="e">
        <f>#REF!</f>
        <v>#REF!</v>
      </c>
      <c r="C281" s="90" t="e">
        <f>#REF!</f>
        <v>#REF!</v>
      </c>
      <c r="D281" s="90" t="e">
        <f>#REF!</f>
        <v>#REF!</v>
      </c>
      <c r="E281" s="91" t="e">
        <f>#REF!</f>
        <v>#REF!</v>
      </c>
      <c r="F281" s="92" t="e">
        <f>IF(OR(E281="",E281=0),"",ROUND((((D281-C281)+1)/365)*12,1))</f>
        <v>#REF!</v>
      </c>
      <c r="G281" s="93" t="e">
        <f>IF(OR(E281="",E281="",E281=0),"",ROUND(E281/F281,0))</f>
        <v>#REF!</v>
      </c>
      <c r="H281" s="93">
        <f>IF(A281=TRUE,E281,0)</f>
        <v>0</v>
      </c>
      <c r="I281" s="118">
        <f>IF(A281=TRUE,F281,0)</f>
        <v>0</v>
      </c>
      <c r="J281" s="93">
        <f>IF(OR(A281=FALSE,H281=0,I281=0),0,ROUND(H281/I281,0))</f>
        <v>0</v>
      </c>
      <c r="K281" s="92" t="e">
        <f>IF(OR(G279="",G279=0,G281="",G281=0),100,IF(G279&gt;G281,((G279-G281)/G281)*100,((G281-G279)/G281)*100))</f>
        <v>#REF!</v>
      </c>
      <c r="L281" s="54" t="e">
        <f>IF(G279&gt;G281,"Increase","Decrease")</f>
        <v>#REF!</v>
      </c>
      <c r="M281" s="54" t="e">
        <f>IF(AND(A281=TRUE,E281&gt;0),TRUE,FALSE)</f>
        <v>#REF!</v>
      </c>
    </row>
    <row r="282" spans="1:15">
      <c r="A282" s="51" t="s">
        <v>252</v>
      </c>
      <c r="B282" s="98"/>
      <c r="C282" s="99"/>
      <c r="D282" s="99"/>
      <c r="E282" s="100" t="e">
        <f>SUM(E279:E281)</f>
        <v>#REF!</v>
      </c>
      <c r="F282" s="101" t="e">
        <f>SUM(F279:F281)</f>
        <v>#REF!</v>
      </c>
      <c r="G282" s="102" t="e">
        <f>IF(AND(D269=0,D271=0),0,IF(D275=TRUE,D274,IF(OR(D271=A262,D271=A263,D271=A265,F279=FALSE,F280=FALSE,F281=FALSE),J282,IF(D275=FALSE,MIN(D274,G279),J282))))</f>
        <v>#REF!</v>
      </c>
      <c r="H282" s="97" t="e">
        <f>IF(SUM(E279:E281)=0,0,ROUND(SUM(H279:H281),0))</f>
        <v>#REF!</v>
      </c>
      <c r="I282" s="119" t="e">
        <f>IF(SUM(F279:F281)=0,0,ROUND(SUM(I279:I281),1))</f>
        <v>#REF!</v>
      </c>
      <c r="J282" s="97" t="e">
        <f>IF(I282=0,0,ROUND(H282/I282,0))</f>
        <v>#REF!</v>
      </c>
      <c r="K282" s="99"/>
      <c r="L282" s="99"/>
      <c r="M282" s="99"/>
      <c r="O282" s="248" t="s">
        <v>336</v>
      </c>
    </row>
    <row r="283" spans="1:15">
      <c r="A283"/>
      <c r="B283"/>
      <c r="C283"/>
      <c r="D283"/>
      <c r="E283"/>
      <c r="F283"/>
      <c r="G283"/>
      <c r="H283"/>
      <c r="I283"/>
      <c r="J283"/>
      <c r="K283"/>
      <c r="L283"/>
      <c r="M283"/>
    </row>
    <row r="284" spans="1:15">
      <c r="A284" t="s">
        <v>253</v>
      </c>
      <c r="B284"/>
      <c r="C284"/>
      <c r="D284" t="e">
        <f>IF(OR(D356=0,D356&gt;=40),"",CONCATENATE("(actual = ",D356," hrs)"))</f>
        <v>#REF!</v>
      </c>
      <c r="E284"/>
      <c r="F284"/>
      <c r="G284"/>
      <c r="H284"/>
      <c r="I284"/>
      <c r="J284"/>
      <c r="K284"/>
      <c r="L284"/>
      <c r="M284"/>
    </row>
    <row r="285" spans="1:15">
      <c r="A285"/>
      <c r="B285"/>
      <c r="C285"/>
      <c r="D285"/>
      <c r="E285"/>
      <c r="F285"/>
      <c r="G285"/>
      <c r="H285"/>
      <c r="I285"/>
      <c r="J285"/>
      <c r="K285"/>
      <c r="L285"/>
      <c r="M285"/>
    </row>
    <row r="286" spans="1:15">
      <c r="A286" s="426" t="s">
        <v>254</v>
      </c>
      <c r="B286" s="426"/>
      <c r="C286" s="426"/>
      <c r="D286" s="426"/>
      <c r="E286" s="426"/>
      <c r="F286"/>
      <c r="G286"/>
      <c r="H286"/>
      <c r="I286"/>
      <c r="J286"/>
      <c r="K286"/>
      <c r="L286"/>
      <c r="M286"/>
    </row>
    <row r="287" spans="1:15">
      <c r="A287" s="427" t="s">
        <v>241</v>
      </c>
      <c r="B287" s="428"/>
      <c r="C287" s="429"/>
      <c r="D287" s="57" t="b">
        <f>IF(D275=TRUE,TRUE,FALSE)</f>
        <v>1</v>
      </c>
      <c r="E287" s="103" t="e">
        <f>IF(AND(D287=TRUE,D289=FALSE,D290=FALSE),D274,0)</f>
        <v>#REF!</v>
      </c>
      <c r="F287"/>
      <c r="G287" s="82"/>
      <c r="H287"/>
      <c r="I287"/>
      <c r="J287"/>
      <c r="K287"/>
      <c r="L287"/>
      <c r="M287"/>
    </row>
    <row r="288" spans="1:15">
      <c r="A288" s="427" t="s">
        <v>255</v>
      </c>
      <c r="B288" s="428"/>
      <c r="C288" s="429"/>
      <c r="D288" s="57" t="e">
        <f>IF(AND(D287=FALSE,E308&lt;10%,F308=" Decrease"),TRUE,FALSE)</f>
        <v>#REF!</v>
      </c>
      <c r="E288" s="103" t="e">
        <f>IF(D288=TRUE,G279,0)</f>
        <v>#REF!</v>
      </c>
      <c r="F288"/>
      <c r="G288" s="82"/>
      <c r="H288"/>
      <c r="I288"/>
      <c r="J288"/>
      <c r="K288"/>
      <c r="L288"/>
      <c r="M288"/>
    </row>
    <row r="289" spans="1:13">
      <c r="A289" s="427" t="s">
        <v>256</v>
      </c>
      <c r="B289" s="428"/>
      <c r="C289" s="429"/>
      <c r="D289" s="57" t="e">
        <f>IF(AND(D287=FALSE,E308&gt;10%,F308=" Decrease"),TRUE,FALSE)</f>
        <v>#REF!</v>
      </c>
      <c r="E289" s="103" t="e">
        <f>IF(AND(D287=FALSE,D289=TRUE,D290=FALSE),G279,0)</f>
        <v>#REF!</v>
      </c>
      <c r="F289"/>
      <c r="G289" s="82"/>
      <c r="H289"/>
      <c r="I289"/>
      <c r="J289"/>
      <c r="K289"/>
      <c r="L289"/>
      <c r="M289"/>
    </row>
    <row r="290" spans="1:13">
      <c r="A290" s="427" t="s">
        <v>257</v>
      </c>
      <c r="B290" s="428"/>
      <c r="C290" s="429"/>
      <c r="D290" s="57" t="e">
        <f>IF(OR(D287=TRUE,D288=TRUE,D289=TRUE),FALSE,IF(OR(D271=A262,D271=A263,D271=A265),TRUE,FALSE))</f>
        <v>#REF!</v>
      </c>
      <c r="E290" s="103" t="e">
        <f>IF(AND(D287=FALSE,D289=FALSE,D290=TRUE),J282,0)</f>
        <v>#REF!</v>
      </c>
      <c r="F290"/>
      <c r="G290"/>
      <c r="H290"/>
      <c r="I290"/>
      <c r="J290"/>
      <c r="K290"/>
      <c r="L290"/>
      <c r="M290"/>
    </row>
    <row r="291" spans="1:13">
      <c r="A291" s="104" t="s">
        <v>258</v>
      </c>
      <c r="B291" s="104"/>
      <c r="C291" s="104"/>
      <c r="D291" s="104" t="e">
        <f>IF(AND(D287=FALSE,D288=FALSE,D289=FALSE,D290=FALSE),TRUE,FALSE)</f>
        <v>#REF!</v>
      </c>
      <c r="E291" s="105" t="e">
        <f>IF(D291=TRUE,G282,0)</f>
        <v>#REF!</v>
      </c>
      <c r="F291"/>
      <c r="G291"/>
      <c r="H291"/>
      <c r="I291"/>
      <c r="J291"/>
      <c r="K291"/>
      <c r="L291"/>
      <c r="M291"/>
    </row>
    <row r="292" spans="1:13">
      <c r="A292" s="430" t="s">
        <v>259</v>
      </c>
      <c r="B292" s="430"/>
      <c r="C292" s="430"/>
      <c r="D292" s="430"/>
      <c r="E292" s="106" t="e">
        <f>VLOOKUP(TRUE,D287:E291,2,FALSE)</f>
        <v>#REF!</v>
      </c>
      <c r="F292"/>
      <c r="G292"/>
      <c r="H292"/>
      <c r="I292"/>
      <c r="J292"/>
      <c r="K292"/>
      <c r="L292"/>
      <c r="M292"/>
    </row>
    <row r="293" spans="1:13">
      <c r="A293"/>
      <c r="B293"/>
      <c r="C293"/>
      <c r="D293"/>
      <c r="E293"/>
      <c r="F293"/>
      <c r="G293"/>
      <c r="H293"/>
      <c r="I293"/>
      <c r="J293"/>
      <c r="K293"/>
      <c r="L293"/>
      <c r="M293"/>
    </row>
    <row r="294" spans="1:13">
      <c r="A294" t="s">
        <v>260</v>
      </c>
      <c r="B294"/>
      <c r="C294"/>
      <c r="D294" t="e">
        <f>IF(OR(D275=TRUE,E279=0),"",IF(D289=TRUE,"YTD average monthly earnings reflect greater than 10% reduction",IF(G279&lt;D274,CONCATENATE("NOTE: YTD earnings reflect borrower is averaging ",D356," hours weekly."),"")))</f>
        <v>#REF!</v>
      </c>
      <c r="E294"/>
      <c r="F294"/>
      <c r="G294" s="82"/>
      <c r="H294"/>
      <c r="I294" s="246" t="s">
        <v>261</v>
      </c>
      <c r="J294"/>
      <c r="K294"/>
      <c r="L294"/>
      <c r="M294"/>
    </row>
    <row r="295" spans="1:13">
      <c r="A295"/>
      <c r="B295"/>
      <c r="C295"/>
      <c r="D295"/>
      <c r="E295"/>
      <c r="F295"/>
      <c r="G295"/>
      <c r="H295"/>
      <c r="I295"/>
      <c r="J295"/>
      <c r="K295"/>
      <c r="L295"/>
      <c r="M295"/>
    </row>
    <row r="296" spans="1:13">
      <c r="A296" s="441" t="s">
        <v>262</v>
      </c>
      <c r="B296" s="441"/>
      <c r="C296" s="441"/>
      <c r="D296" s="441"/>
      <c r="E296" s="441"/>
      <c r="F296" s="441"/>
      <c r="G296" s="441"/>
      <c r="H296" s="441"/>
      <c r="I296" s="441"/>
      <c r="J296" s="441"/>
      <c r="K296" s="441"/>
      <c r="L296"/>
      <c r="M296"/>
    </row>
    <row r="297" spans="1:13">
      <c r="A297"/>
      <c r="B297"/>
      <c r="C297"/>
      <c r="D297"/>
      <c r="E297"/>
      <c r="F297"/>
      <c r="G297"/>
      <c r="H297"/>
      <c r="I297"/>
      <c r="J297"/>
      <c r="K297"/>
      <c r="L297"/>
      <c r="M297"/>
    </row>
    <row r="298" spans="1:13">
      <c r="A298" s="87" t="s">
        <v>263</v>
      </c>
      <c r="B298" s="87" t="s">
        <v>164</v>
      </c>
      <c r="C298" s="87" t="s">
        <v>264</v>
      </c>
      <c r="D298" s="87" t="s">
        <v>167</v>
      </c>
      <c r="E298" s="87" t="s">
        <v>265</v>
      </c>
      <c r="F298" s="87" t="s">
        <v>266</v>
      </c>
      <c r="G298" s="87" t="s">
        <v>5</v>
      </c>
      <c r="H298" s="87" t="s">
        <v>4</v>
      </c>
      <c r="I298" s="87"/>
      <c r="J298" s="87"/>
      <c r="K298" s="87" t="s">
        <v>267</v>
      </c>
      <c r="L298"/>
      <c r="M298"/>
    </row>
    <row r="299" spans="1:13">
      <c r="A299" s="108" t="b">
        <v>0</v>
      </c>
      <c r="B299" s="56" t="e">
        <f>#REF!</f>
        <v>#REF!</v>
      </c>
      <c r="C299" s="109" t="e">
        <f>#REF!</f>
        <v>#REF!</v>
      </c>
      <c r="D299" s="110" t="e">
        <f>#REF!</f>
        <v>#REF!</v>
      </c>
      <c r="E299" s="111" t="e">
        <f>#REF!</f>
        <v>#REF!</v>
      </c>
      <c r="F299" s="100" t="e">
        <f>IF(OR(A299=FALSE,C299=0,E299=0),0,E299*VLOOKUP(B299,$C$37:$D$42,2))</f>
        <v>#REF!</v>
      </c>
      <c r="G299" s="100" t="e">
        <f>IF(AND(C299&lt;&gt;0,D299&lt;&gt;0),0,IF(D299&lt;&gt;0,C299-D299,C299-F299))</f>
        <v>#REF!</v>
      </c>
      <c r="H299" s="101" t="e">
        <f>#REF!</f>
        <v>#REF!</v>
      </c>
      <c r="I299" s="101"/>
      <c r="J299" s="101"/>
      <c r="K299" s="100" t="str">
        <f>IF(A299=FALSE,"",IF(AND(D299&gt;0,E299&gt;0),"Error Dep &amp; Buss",IF(OR(H299=0,H299=""),0,ROUND(G299/H299,0))))</f>
        <v/>
      </c>
      <c r="L299"/>
      <c r="M299"/>
    </row>
    <row r="300" spans="1:13">
      <c r="A300" s="57" t="b">
        <v>0</v>
      </c>
      <c r="B300" s="56" t="e">
        <f>#REF!</f>
        <v>#REF!</v>
      </c>
      <c r="C300" s="109" t="e">
        <f>#REF!</f>
        <v>#REF!</v>
      </c>
      <c r="D300" s="110" t="e">
        <f>#REF!</f>
        <v>#REF!</v>
      </c>
      <c r="E300" s="111" t="e">
        <f>#REF!</f>
        <v>#REF!</v>
      </c>
      <c r="F300" s="100" t="e">
        <f>IF(OR(A300=FALSE,C300=0,E300=0),0,E300*VLOOKUP(B300,$C$37:$D$42,2))</f>
        <v>#REF!</v>
      </c>
      <c r="G300" s="100" t="e">
        <f>IF(AND(C300&lt;&gt;0,D300&lt;&gt;0),0,IF(D300&lt;&gt;0,C300-D300,C300-F300))</f>
        <v>#REF!</v>
      </c>
      <c r="H300" s="101" t="e">
        <f>#REF!</f>
        <v>#REF!</v>
      </c>
      <c r="I300" s="101"/>
      <c r="J300" s="101"/>
      <c r="K300" s="100" t="str">
        <f>IF(A300=FALSE,"",IF(AND(D300&gt;0,E300&gt;0),"Error Dep &amp; Buss",IF(OR(H300=0,H300=""),0,ROUND(G300/H300,0))))</f>
        <v/>
      </c>
      <c r="L300"/>
      <c r="M300"/>
    </row>
    <row r="301" spans="1:13">
      <c r="A301" s="51" t="s">
        <v>252</v>
      </c>
      <c r="B301" s="98"/>
      <c r="C301" s="99"/>
      <c r="D301" s="99"/>
      <c r="E301" s="111" t="e">
        <f>SUM(E299:E300)</f>
        <v>#REF!</v>
      </c>
      <c r="F301" s="100" t="e">
        <f>SUM(F299:F300)</f>
        <v>#REF!</v>
      </c>
      <c r="G301" s="100" t="e">
        <f>SUM(G299:G300)</f>
        <v>#REF!</v>
      </c>
      <c r="H301" s="101" t="e">
        <f>SUM(H299:H300)</f>
        <v>#REF!</v>
      </c>
      <c r="I301" s="101"/>
      <c r="J301" s="101"/>
      <c r="K301" s="100">
        <f>IF(ISERROR(G301/H301),0,IF(AND(A299=TRUE,A300=TRUE),ROUND(G301/H301,0),IF(AND(A299=TRUE,A300=FALSE),K299,IF(AND(A299=FALSE,A300=TRUE),K300,0))))</f>
        <v>0</v>
      </c>
      <c r="L301"/>
      <c r="M301"/>
    </row>
    <row r="302" spans="1:13">
      <c r="A302"/>
      <c r="B302" s="83"/>
      <c r="C302" s="112"/>
      <c r="D302" s="113"/>
      <c r="E302"/>
      <c r="F302"/>
      <c r="G302"/>
      <c r="H302"/>
      <c r="I302"/>
      <c r="J302"/>
      <c r="K302"/>
      <c r="L302"/>
      <c r="M302"/>
    </row>
    <row r="303" spans="1:13">
      <c r="A303" t="s">
        <v>268</v>
      </c>
      <c r="B303"/>
      <c r="C303"/>
      <c r="D303" t="b">
        <v>1</v>
      </c>
      <c r="E303"/>
      <c r="F303"/>
      <c r="G303" s="246" t="s">
        <v>269</v>
      </c>
      <c r="H303"/>
      <c r="I303"/>
      <c r="J303"/>
      <c r="K303"/>
      <c r="L303"/>
      <c r="M303"/>
    </row>
    <row r="304" spans="1:13">
      <c r="A304"/>
      <c r="B304"/>
      <c r="C304"/>
      <c r="D304"/>
      <c r="E304"/>
      <c r="F304"/>
      <c r="G304"/>
      <c r="H304"/>
      <c r="I304"/>
      <c r="J304"/>
      <c r="K304"/>
      <c r="L304"/>
      <c r="M304"/>
    </row>
    <row r="305" spans="1:13">
      <c r="A305" s="434" t="s">
        <v>275</v>
      </c>
      <c r="B305" s="435"/>
      <c r="C305" s="435"/>
      <c r="D305" s="435"/>
      <c r="E305" s="435"/>
      <c r="F305" s="435"/>
      <c r="G305" s="435"/>
      <c r="H305" s="435"/>
      <c r="I305" s="435"/>
      <c r="J305" s="435"/>
      <c r="K305" s="435"/>
      <c r="L305" s="435"/>
      <c r="M305" s="436"/>
    </row>
    <row r="306" spans="1:13">
      <c r="A306"/>
      <c r="B306" s="83"/>
      <c r="C306" s="112"/>
      <c r="D306" s="113"/>
      <c r="E306"/>
      <c r="F306"/>
      <c r="G306"/>
      <c r="H306"/>
      <c r="I306"/>
      <c r="J306"/>
      <c r="K306"/>
      <c r="L306"/>
      <c r="M306"/>
    </row>
    <row r="307" spans="1:13">
      <c r="A307" s="437"/>
      <c r="B307" s="437"/>
      <c r="C307" s="114" t="s">
        <v>276</v>
      </c>
      <c r="D307" s="115" t="s">
        <v>277</v>
      </c>
      <c r="E307" s="115" t="s">
        <v>278</v>
      </c>
      <c r="F307" s="247" t="s">
        <v>2</v>
      </c>
      <c r="G307" s="115" t="s">
        <v>279</v>
      </c>
      <c r="H307" s="438" t="s">
        <v>227</v>
      </c>
      <c r="I307" s="439"/>
      <c r="J307" s="439"/>
      <c r="K307" s="439"/>
      <c r="L307" s="440"/>
    </row>
    <row r="308" spans="1:13">
      <c r="A308" s="427" t="e">
        <f>CONCATENATE(" Total ",B279," YTD")</f>
        <v>#REF!</v>
      </c>
      <c r="B308" s="429"/>
      <c r="C308" s="102" t="e">
        <f>IF(OR(G279=0,G279=""),0,G279)</f>
        <v>#REF!</v>
      </c>
      <c r="D308" s="102" t="e">
        <f>ABS(C308-C309)</f>
        <v>#REF!</v>
      </c>
      <c r="E308" s="116" t="e">
        <f>IF(C309=0,100%,D308/C309)</f>
        <v>#REF!</v>
      </c>
      <c r="F308" s="35" t="e">
        <f>IF(C308&gt;C309," Increase"," Decrease")</f>
        <v>#REF!</v>
      </c>
      <c r="G308" s="117" t="e">
        <f>IF((C309+(C309*E308))=C308,"PASS","FAIL")</f>
        <v>#REF!</v>
      </c>
      <c r="H308" s="427" t="e">
        <f>IF(C308=""," ",CONCATENATE(B280," to ",B279," = ",TEXT(E308,"###.0%"),F308))</f>
        <v>#REF!</v>
      </c>
      <c r="I308" s="428"/>
      <c r="J308" s="428"/>
      <c r="K308" s="428"/>
      <c r="L308" s="429"/>
    </row>
    <row r="309" spans="1:13">
      <c r="A309" s="427" t="e">
        <f>CONCATENATE(" Total ",B280)</f>
        <v>#REF!</v>
      </c>
      <c r="B309" s="429"/>
      <c r="C309" s="102" t="e">
        <f>IF(OR(G280=0,G280=""),0,G280)</f>
        <v>#REF!</v>
      </c>
      <c r="D309" s="102" t="e">
        <f>ABS(C309-C310)</f>
        <v>#REF!</v>
      </c>
      <c r="E309" s="116" t="e">
        <f>IF(C310=0,100%,D309/C310)</f>
        <v>#REF!</v>
      </c>
      <c r="F309" s="35" t="e">
        <f>IF(C309&gt;C310," Increase"," Decrease")</f>
        <v>#REF!</v>
      </c>
      <c r="G309" s="117" t="e">
        <f>IF((C310+(C310*E309))=C309,"PASS","FAIL")</f>
        <v>#REF!</v>
      </c>
      <c r="H309" s="427" t="e">
        <f>IF(C309=""," ",CONCATENATE(B281," to ",B280," = ",TEXT(E309,"###.0%"),F309))</f>
        <v>#REF!</v>
      </c>
      <c r="I309" s="428"/>
      <c r="J309" s="428"/>
      <c r="K309" s="428"/>
      <c r="L309" s="429"/>
    </row>
    <row r="310" spans="1:13">
      <c r="A310" s="427" t="e">
        <f>CONCATENATE(" Total ",B281)</f>
        <v>#REF!</v>
      </c>
      <c r="B310" s="429"/>
      <c r="C310" s="102" t="e">
        <f>IF(OR(G281=0,G281=""),0,G281)</f>
        <v>#REF!</v>
      </c>
      <c r="D310" s="102" t="e">
        <f>ABS(C308-C310)</f>
        <v>#REF!</v>
      </c>
      <c r="E310" s="116" t="e">
        <f>IF(C310=0,100%,D310/C310)</f>
        <v>#REF!</v>
      </c>
      <c r="F310" s="35" t="e">
        <f>IF(C310&gt;C311," Increase"," Decrease")</f>
        <v>#REF!</v>
      </c>
      <c r="G310" s="117" t="e">
        <f>IF((C310+(C310*E310))=C308,"PASS","FAIL")</f>
        <v>#REF!</v>
      </c>
      <c r="H310" s="427" t="e">
        <f>IF(C310=""," ",CONCATENATE(B281," to ",B279," = ",TEXT(E310,"###.0%"),F310))</f>
        <v>#REF!</v>
      </c>
      <c r="I310" s="428"/>
      <c r="J310" s="428"/>
      <c r="K310" s="428"/>
      <c r="L310" s="429"/>
    </row>
    <row r="311" spans="1:13">
      <c r="A311"/>
      <c r="B311"/>
      <c r="C311" s="39"/>
      <c r="D311"/>
      <c r="E311"/>
      <c r="F311"/>
      <c r="G311"/>
      <c r="H311"/>
      <c r="I311"/>
      <c r="J311"/>
      <c r="K311"/>
      <c r="L311"/>
      <c r="M311"/>
    </row>
    <row r="312" spans="1:13">
      <c r="A312"/>
      <c r="B312"/>
      <c r="C312" s="39" t="e">
        <f>IF(AND(C308&gt;=0,C309&gt;0,C310&gt;0),TRUE,FALSE)</f>
        <v>#REF!</v>
      </c>
      <c r="D312" t="e">
        <f>CONCATENATE("Variances in earnings:  ",H309,"  &amp;  ",H308)</f>
        <v>#REF!</v>
      </c>
      <c r="E312"/>
      <c r="F312"/>
      <c r="G312"/>
      <c r="H312"/>
      <c r="I312"/>
      <c r="J312"/>
      <c r="K312"/>
      <c r="L312"/>
    </row>
    <row r="313" spans="1:13">
      <c r="A313"/>
      <c r="B313"/>
      <c r="C313" s="39" t="e">
        <f>IF(AND(C308&gt;0,C309&gt;0,C310&gt;=0),TRUE,FALSE)</f>
        <v>#REF!</v>
      </c>
      <c r="D313" t="e">
        <f>CONCATENATE("Variances in earnings:  ",H308)</f>
        <v>#REF!</v>
      </c>
      <c r="E313"/>
      <c r="F313"/>
      <c r="G313"/>
      <c r="H313"/>
      <c r="I313"/>
      <c r="J313"/>
      <c r="K313"/>
      <c r="L313"/>
    </row>
    <row r="314" spans="1:13">
      <c r="A314"/>
      <c r="B314"/>
      <c r="C314" s="39" t="e">
        <f>IF(AND(C308&gt;0,C309&gt;=0,C310&gt;0),TRUE,FALSE)</f>
        <v>#REF!</v>
      </c>
      <c r="D314" t="e">
        <f>CONCATENATE("Variances in earnings:  ",H309)</f>
        <v>#REF!</v>
      </c>
      <c r="E314"/>
      <c r="F314"/>
      <c r="G314"/>
      <c r="H314"/>
      <c r="I314"/>
      <c r="J314"/>
      <c r="K314"/>
      <c r="L314"/>
    </row>
    <row r="315" spans="1:13">
      <c r="A315"/>
      <c r="B315"/>
      <c r="C315" s="39" t="e">
        <f>IF(AND(C309=0,C310=0,C311=0),TRUE,FALSE)</f>
        <v>#REF!</v>
      </c>
      <c r="D315" t="s">
        <v>280</v>
      </c>
      <c r="E315"/>
      <c r="F315"/>
      <c r="G315"/>
      <c r="H315"/>
      <c r="I315"/>
      <c r="J315"/>
      <c r="K315"/>
      <c r="L315"/>
    </row>
    <row r="316" spans="1:13">
      <c r="A316"/>
      <c r="B316"/>
      <c r="C316"/>
      <c r="D316"/>
      <c r="E316"/>
      <c r="F316"/>
      <c r="G316"/>
      <c r="H316"/>
      <c r="I316"/>
      <c r="J316"/>
      <c r="K316"/>
      <c r="L316"/>
      <c r="M316"/>
    </row>
    <row r="317" spans="1:13">
      <c r="A317" s="434" t="s">
        <v>281</v>
      </c>
      <c r="B317" s="435"/>
      <c r="C317" s="435"/>
      <c r="D317" s="435"/>
      <c r="E317" s="435"/>
      <c r="F317" s="435"/>
      <c r="G317" s="435"/>
      <c r="H317" s="435"/>
      <c r="I317" s="435"/>
      <c r="J317" s="435"/>
      <c r="K317" s="435"/>
      <c r="L317" s="435"/>
      <c r="M317" s="436"/>
    </row>
    <row r="318" spans="1:13">
      <c r="A318"/>
      <c r="B318"/>
      <c r="C318"/>
      <c r="D318"/>
      <c r="E318"/>
      <c r="F318"/>
      <c r="G318"/>
      <c r="H318"/>
      <c r="I318"/>
      <c r="J318"/>
      <c r="K318"/>
      <c r="L318"/>
      <c r="M318"/>
    </row>
    <row r="319" spans="1:13">
      <c r="A319" t="s">
        <v>337</v>
      </c>
      <c r="B319"/>
      <c r="C319"/>
      <c r="D319" s="41" t="e">
        <f>D279</f>
        <v>#REF!</v>
      </c>
      <c r="E319"/>
      <c r="F319"/>
      <c r="G319"/>
      <c r="H319"/>
      <c r="I319"/>
      <c r="J319"/>
      <c r="K319"/>
      <c r="L319"/>
      <c r="M319"/>
    </row>
    <row r="320" spans="1:13">
      <c r="A320" t="s">
        <v>283</v>
      </c>
      <c r="B320"/>
      <c r="C320"/>
      <c r="D320" s="41" t="e">
        <f>IF(D319="","",EOMONTH(DATE(YEAR(D319),1,1),2))</f>
        <v>#REF!</v>
      </c>
      <c r="E320"/>
      <c r="F320"/>
      <c r="G320"/>
      <c r="H320"/>
      <c r="I320"/>
      <c r="J320"/>
      <c r="K320"/>
      <c r="L320"/>
      <c r="M320"/>
    </row>
    <row r="321" spans="1:13">
      <c r="A321" t="s">
        <v>284</v>
      </c>
      <c r="B321"/>
      <c r="C321"/>
      <c r="D321" s="41" t="e">
        <f>IF(D319&lt;D320,TRUE,FALSE)</f>
        <v>#REF!</v>
      </c>
      <c r="E321"/>
      <c r="F321"/>
      <c r="G321"/>
      <c r="H321"/>
      <c r="I321"/>
      <c r="J321"/>
      <c r="K321"/>
      <c r="L321"/>
      <c r="M321"/>
    </row>
    <row r="322" spans="1:13">
      <c r="A322"/>
      <c r="B322"/>
      <c r="C322"/>
      <c r="D322"/>
      <c r="E322"/>
      <c r="F322"/>
      <c r="G322"/>
      <c r="H322"/>
      <c r="I322"/>
      <c r="J322"/>
      <c r="K322"/>
      <c r="L322"/>
      <c r="M322"/>
    </row>
    <row r="323" spans="1:13">
      <c r="A323" t="e">
        <f>CONCATENATE(" Total earnings (",B279," YTD)")</f>
        <v>#REF!</v>
      </c>
      <c r="B323"/>
      <c r="C323"/>
      <c r="D323" s="83" t="e">
        <f>E279</f>
        <v>#REF!</v>
      </c>
      <c r="E323"/>
      <c r="F323" s="40">
        <f ca="1">EOMONTH(DATE(YEAR(TODAY()),1,1),2)</f>
        <v>46112</v>
      </c>
      <c r="G323"/>
      <c r="H323"/>
      <c r="I323"/>
      <c r="J323"/>
      <c r="K323"/>
      <c r="L323"/>
      <c r="M323"/>
    </row>
    <row r="324" spans="1:13">
      <c r="A324" t="e">
        <f>CONCATENATE(" Total earnings (",B280,")")</f>
        <v>#REF!</v>
      </c>
      <c r="B324"/>
      <c r="C324"/>
      <c r="D324" s="83" t="e">
        <f>IF(D321=TRUE,E280,0)</f>
        <v>#REF!</v>
      </c>
      <c r="E324"/>
      <c r="F324">
        <f>EOMONTH("01/01/2016",2)</f>
        <v>42460</v>
      </c>
      <c r="G324" s="41">
        <f>F324</f>
        <v>42460</v>
      </c>
      <c r="H324"/>
      <c r="I324"/>
      <c r="J324"/>
      <c r="K324"/>
      <c r="L324"/>
      <c r="M324"/>
    </row>
    <row r="325" spans="1:13">
      <c r="A325" t="s">
        <v>285</v>
      </c>
      <c r="B325"/>
      <c r="C325"/>
      <c r="D325" s="83" t="e">
        <f>D323+D324</f>
        <v>#REF!</v>
      </c>
      <c r="E325"/>
      <c r="F325"/>
      <c r="G325"/>
      <c r="H325"/>
      <c r="I325"/>
      <c r="J325"/>
      <c r="K325"/>
      <c r="L325"/>
      <c r="M325"/>
    </row>
    <row r="326" spans="1:13">
      <c r="A326"/>
      <c r="B326"/>
      <c r="C326"/>
      <c r="D326"/>
      <c r="E326"/>
      <c r="F326"/>
      <c r="G326"/>
      <c r="H326"/>
      <c r="I326"/>
      <c r="J326"/>
      <c r="K326"/>
      <c r="L326"/>
      <c r="M326"/>
    </row>
    <row r="327" spans="1:13">
      <c r="A327" t="e">
        <f>CONCATENATE(" Months included (",B279," YTD)")</f>
        <v>#REF!</v>
      </c>
      <c r="B327"/>
      <c r="C327"/>
      <c r="D327" s="120" t="e">
        <f>IF(F279="",0,F279)</f>
        <v>#REF!</v>
      </c>
      <c r="E327"/>
      <c r="F327"/>
      <c r="G327"/>
      <c r="H327"/>
      <c r="I327"/>
      <c r="J327"/>
      <c r="K327"/>
      <c r="L327"/>
      <c r="M327"/>
    </row>
    <row r="328" spans="1:13">
      <c r="A328" t="e">
        <f>CONCATENATE(" Months included (",B280,")")</f>
        <v>#REF!</v>
      </c>
      <c r="B328"/>
      <c r="C328"/>
      <c r="D328" s="120" t="e">
        <f>IF(D321=TRUE,F280,0)</f>
        <v>#REF!</v>
      </c>
      <c r="E328"/>
      <c r="F328"/>
      <c r="G328"/>
      <c r="H328"/>
      <c r="I328"/>
      <c r="J328"/>
      <c r="K328"/>
      <c r="L328"/>
      <c r="M328"/>
    </row>
    <row r="329" spans="1:13">
      <c r="A329" t="s">
        <v>286</v>
      </c>
      <c r="B329"/>
      <c r="C329"/>
      <c r="D329" s="120" t="e">
        <f>D327+D328</f>
        <v>#REF!</v>
      </c>
      <c r="E329"/>
      <c r="F329"/>
      <c r="G329"/>
      <c r="H329"/>
      <c r="I329"/>
      <c r="J329"/>
      <c r="K329"/>
      <c r="L329"/>
      <c r="M329"/>
    </row>
    <row r="330" spans="1:13">
      <c r="A330"/>
      <c r="B330"/>
      <c r="C330"/>
      <c r="D330"/>
      <c r="E330"/>
      <c r="F330"/>
      <c r="G330"/>
      <c r="H330"/>
      <c r="I330"/>
      <c r="J330"/>
      <c r="K330"/>
      <c r="L330"/>
      <c r="M330"/>
    </row>
    <row r="331" spans="1:13">
      <c r="A331" t="s">
        <v>285</v>
      </c>
      <c r="B331"/>
      <c r="C331"/>
      <c r="D331" s="86" t="e">
        <f>IF(OR(A279=FALSE,E279=""),0,D325)</f>
        <v>#REF!</v>
      </c>
      <c r="E331"/>
      <c r="F331" s="86"/>
      <c r="G331" s="246" t="s">
        <v>287</v>
      </c>
      <c r="H331"/>
      <c r="I331"/>
      <c r="J331"/>
      <c r="K331"/>
      <c r="L331"/>
      <c r="M331"/>
    </row>
    <row r="332" spans="1:13">
      <c r="A332" t="s">
        <v>288</v>
      </c>
      <c r="B332"/>
      <c r="C332"/>
      <c r="D332" s="120" t="e">
        <f>IF(OR(A279=FALSE,E279="",E279=0,F279=0),0,D329)</f>
        <v>#REF!</v>
      </c>
      <c r="E332"/>
      <c r="F332" s="112"/>
      <c r="G332" s="246" t="s">
        <v>289</v>
      </c>
      <c r="H332"/>
      <c r="I332"/>
      <c r="J332"/>
      <c r="K332"/>
      <c r="L332"/>
      <c r="M332"/>
    </row>
    <row r="333" spans="1:13">
      <c r="A333" t="s">
        <v>230</v>
      </c>
      <c r="B333"/>
      <c r="C333"/>
      <c r="D333" s="121" t="e">
        <f>D269</f>
        <v>#REF!</v>
      </c>
      <c r="E333"/>
      <c r="F333" s="83"/>
      <c r="G333" s="246" t="s">
        <v>231</v>
      </c>
      <c r="H333" s="122"/>
      <c r="I333" s="122"/>
      <c r="J333" s="122"/>
      <c r="K333"/>
      <c r="L333"/>
      <c r="M333"/>
    </row>
    <row r="334" spans="1:13">
      <c r="A334" t="s">
        <v>290</v>
      </c>
      <c r="B334"/>
      <c r="C334"/>
      <c r="D334" s="83" t="e">
        <f>IF(OR(D331=0,D332=0,),0,D331/D332)</f>
        <v>#REF!</v>
      </c>
      <c r="E334"/>
      <c r="F334" s="83"/>
      <c r="G334" s="246" t="s">
        <v>291</v>
      </c>
      <c r="H334" s="122"/>
      <c r="I334" s="122"/>
      <c r="J334" s="122"/>
      <c r="K334"/>
      <c r="L334"/>
      <c r="M334"/>
    </row>
    <row r="335" spans="1:13">
      <c r="A335" t="s">
        <v>292</v>
      </c>
      <c r="B335"/>
      <c r="C335"/>
      <c r="D335" s="83" t="e">
        <f>H282</f>
        <v>#REF!</v>
      </c>
      <c r="E335"/>
      <c r="F335" s="83"/>
      <c r="G335" s="246" t="s">
        <v>293</v>
      </c>
      <c r="H335" s="122"/>
      <c r="I335" s="122"/>
      <c r="J335" s="122"/>
      <c r="K335"/>
      <c r="L335"/>
      <c r="M335"/>
    </row>
    <row r="336" spans="1:13">
      <c r="A336"/>
      <c r="B336"/>
      <c r="C336"/>
      <c r="D336" s="83"/>
      <c r="E336"/>
      <c r="F336" s="83"/>
      <c r="G336" s="122"/>
      <c r="H336" s="122"/>
      <c r="I336" s="122"/>
      <c r="J336" s="122"/>
      <c r="K336"/>
      <c r="L336"/>
      <c r="M336"/>
    </row>
    <row r="337" spans="1:13">
      <c r="A337" t="s">
        <v>294</v>
      </c>
      <c r="B337"/>
      <c r="C337"/>
      <c r="D337" s="83"/>
      <c r="E337"/>
      <c r="F337" s="83"/>
      <c r="G337" s="122"/>
      <c r="H337" s="122"/>
      <c r="I337" s="122"/>
      <c r="J337" s="122"/>
      <c r="K337"/>
      <c r="L337"/>
      <c r="M337"/>
    </row>
    <row r="338" spans="1:13">
      <c r="A338" s="123" t="s">
        <v>295</v>
      </c>
      <c r="B338"/>
      <c r="C338"/>
      <c r="D338" s="83" t="e">
        <f>D334</f>
        <v>#REF!</v>
      </c>
      <c r="E338"/>
      <c r="F338" s="83"/>
      <c r="G338" s="122"/>
      <c r="H338" s="122"/>
      <c r="I338" s="122"/>
      <c r="J338" s="122"/>
      <c r="K338"/>
      <c r="L338"/>
      <c r="M338"/>
    </row>
    <row r="339" spans="1:13">
      <c r="A339" s="123" t="s">
        <v>296</v>
      </c>
      <c r="B339"/>
      <c r="C339"/>
      <c r="D339" s="83" t="e">
        <f>D338*12</f>
        <v>#REF!</v>
      </c>
      <c r="E339"/>
      <c r="F339" s="83"/>
      <c r="G339" s="122"/>
      <c r="H339" s="122"/>
      <c r="I339" s="122"/>
      <c r="J339" s="122"/>
      <c r="K339"/>
      <c r="L339"/>
      <c r="M339"/>
    </row>
    <row r="340" spans="1:13">
      <c r="A340" s="123" t="s">
        <v>297</v>
      </c>
      <c r="B340"/>
      <c r="C340"/>
      <c r="D340" s="83" t="e">
        <f>D339/52</f>
        <v>#REF!</v>
      </c>
      <c r="E340"/>
      <c r="F340" s="83"/>
      <c r="G340" s="122"/>
      <c r="H340" s="122"/>
      <c r="I340" s="122"/>
      <c r="J340" s="122"/>
      <c r="K340"/>
      <c r="L340"/>
      <c r="M340"/>
    </row>
    <row r="341" spans="1:13">
      <c r="A341" s="123" t="s">
        <v>298</v>
      </c>
      <c r="B341"/>
      <c r="C341"/>
      <c r="D341" s="83" t="e">
        <f>D269</f>
        <v>#REF!</v>
      </c>
      <c r="E341"/>
      <c r="F341" s="83"/>
      <c r="G341" s="122"/>
      <c r="H341" s="122"/>
      <c r="I341" s="122"/>
      <c r="J341" s="122"/>
      <c r="K341"/>
      <c r="L341"/>
      <c r="M341"/>
    </row>
    <row r="342" spans="1:13">
      <c r="A342" s="123" t="s">
        <v>299</v>
      </c>
      <c r="B342"/>
      <c r="C342"/>
      <c r="D342" s="83" t="e">
        <f>IF(D341=0,0,IF(D275=TRUE,40,IF(AND(D275=FALSE,D341&gt;0,D271="Hourly (H)",E279=0),40,IF((D340/D341)&gt;40,40,D340/D341))))</f>
        <v>#REF!</v>
      </c>
      <c r="E342"/>
      <c r="F342" s="83"/>
      <c r="G342" s="122"/>
      <c r="H342" s="122"/>
      <c r="I342" s="122"/>
      <c r="J342" s="122"/>
      <c r="K342"/>
      <c r="L342"/>
      <c r="M342"/>
    </row>
    <row r="343" spans="1:13">
      <c r="A343" s="123" t="s">
        <v>300</v>
      </c>
      <c r="B343"/>
      <c r="C343"/>
      <c r="D343" s="83" t="e">
        <f>IF(D271="Hourly (H)",D342,"N/A")</f>
        <v>#REF!</v>
      </c>
      <c r="E343"/>
      <c r="F343" s="83"/>
      <c r="G343" s="122"/>
      <c r="H343" s="122"/>
      <c r="I343" s="122"/>
      <c r="J343" s="122"/>
      <c r="K343"/>
      <c r="L343"/>
      <c r="M343"/>
    </row>
    <row r="344" spans="1:13">
      <c r="A344" s="123" t="s">
        <v>301</v>
      </c>
      <c r="B344"/>
      <c r="C344"/>
      <c r="D344" s="83" t="e">
        <f>IF(D341=0,"Weekly",IF(OR(D271&lt;&gt;"Hourly (H)",(D340/D341)&gt;40),"Weekly","Average Weekly"))</f>
        <v>#REF!</v>
      </c>
      <c r="E344"/>
      <c r="F344" s="83"/>
      <c r="G344" s="122"/>
      <c r="H344" s="122"/>
      <c r="I344" s="122"/>
      <c r="J344" s="122"/>
      <c r="K344"/>
      <c r="L344"/>
      <c r="M344"/>
    </row>
    <row r="345" spans="1:13">
      <c r="A345"/>
      <c r="B345"/>
      <c r="C345"/>
      <c r="D345" s="83"/>
      <c r="E345"/>
      <c r="F345" s="83"/>
      <c r="G345" s="122"/>
      <c r="H345" s="122"/>
      <c r="I345" s="122"/>
      <c r="J345" s="122"/>
      <c r="K345"/>
      <c r="L345"/>
      <c r="M345"/>
    </row>
    <row r="346" spans="1:13">
      <c r="A346" t="e">
        <f>CONCATENATE(" Total days (",B279," YTD)")</f>
        <v>#REF!</v>
      </c>
      <c r="B346"/>
      <c r="C346"/>
      <c r="D346" s="83" t="e">
        <f>IF(D279="",0,(D279-C279)+1)</f>
        <v>#REF!</v>
      </c>
      <c r="E346"/>
      <c r="F346" s="83"/>
      <c r="G346" s="246" t="s">
        <v>302</v>
      </c>
      <c r="H346" s="122"/>
      <c r="I346" s="122"/>
      <c r="J346" s="122"/>
      <c r="K346"/>
      <c r="L346"/>
      <c r="M346"/>
    </row>
    <row r="347" spans="1:13">
      <c r="A347" t="e">
        <f>CONCATENATE(" Total days (",B280,")")</f>
        <v>#REF!</v>
      </c>
      <c r="B347"/>
      <c r="C347"/>
      <c r="D347" s="83" t="e">
        <f>IF(D321=TRUE,(D280-C280)+1,0)</f>
        <v>#REF!</v>
      </c>
      <c r="E347"/>
      <c r="F347" s="83"/>
      <c r="G347" s="246" t="s">
        <v>302</v>
      </c>
      <c r="H347" s="122"/>
      <c r="I347" s="122"/>
      <c r="J347" s="122"/>
      <c r="K347"/>
      <c r="L347"/>
      <c r="M347"/>
    </row>
    <row r="348" spans="1:13">
      <c r="A348" t="s">
        <v>303</v>
      </c>
      <c r="B348"/>
      <c r="C348"/>
      <c r="D348" s="83" t="e">
        <f>SUM(D346:D347)</f>
        <v>#REF!</v>
      </c>
      <c r="E348"/>
      <c r="F348" s="83"/>
      <c r="G348" s="246" t="s">
        <v>304</v>
      </c>
      <c r="H348" s="122"/>
      <c r="I348" s="122"/>
      <c r="J348" s="122"/>
      <c r="K348"/>
      <c r="L348"/>
      <c r="M348"/>
    </row>
    <row r="349" spans="1:13">
      <c r="A349"/>
      <c r="B349"/>
      <c r="C349"/>
      <c r="D349" s="83"/>
      <c r="E349"/>
      <c r="F349" s="83"/>
      <c r="G349" s="122"/>
      <c r="H349" s="122"/>
      <c r="I349" s="122"/>
      <c r="J349" s="122"/>
      <c r="K349"/>
      <c r="L349"/>
      <c r="M349"/>
    </row>
    <row r="350" spans="1:13">
      <c r="A350" t="e">
        <f>CONCATENATE(" Total weeks (",B279," YTD)")</f>
        <v>#REF!</v>
      </c>
      <c r="B350"/>
      <c r="C350"/>
      <c r="D350" s="83" t="e">
        <f>ROUND(D346/7,0)</f>
        <v>#REF!</v>
      </c>
      <c r="E350"/>
      <c r="F350" s="83"/>
      <c r="G350" s="246" t="s">
        <v>305</v>
      </c>
      <c r="H350" s="122"/>
      <c r="I350" s="122"/>
      <c r="J350" s="122"/>
      <c r="K350"/>
      <c r="L350"/>
      <c r="M350"/>
    </row>
    <row r="351" spans="1:13">
      <c r="A351" t="e">
        <f>CONCATENATE(" Total weeks (",B280,")")</f>
        <v>#REF!</v>
      </c>
      <c r="B351"/>
      <c r="C351"/>
      <c r="D351" s="83" t="e">
        <f>IF(D321=TRUE,ROUND(D347/7,0),0)</f>
        <v>#REF!</v>
      </c>
      <c r="E351"/>
      <c r="F351" s="83"/>
      <c r="G351" s="246" t="s">
        <v>305</v>
      </c>
      <c r="H351" s="122"/>
      <c r="I351" s="122"/>
      <c r="J351" s="122"/>
      <c r="K351"/>
      <c r="L351"/>
      <c r="M351"/>
    </row>
    <row r="352" spans="1:13">
      <c r="A352" t="s">
        <v>306</v>
      </c>
      <c r="B352"/>
      <c r="C352"/>
      <c r="D352" s="83" t="e">
        <f>SUM(D350:D351)</f>
        <v>#REF!</v>
      </c>
      <c r="E352"/>
      <c r="F352" s="83"/>
      <c r="G352" s="246" t="s">
        <v>307</v>
      </c>
      <c r="H352" s="122"/>
      <c r="I352" s="122"/>
      <c r="J352" s="122"/>
      <c r="K352"/>
      <c r="L352"/>
      <c r="M352"/>
    </row>
    <row r="353" spans="1:13">
      <c r="A353"/>
      <c r="B353"/>
      <c r="C353"/>
      <c r="D353" s="83"/>
      <c r="E353"/>
      <c r="F353" s="83"/>
      <c r="G353" s="122"/>
      <c r="H353" s="122"/>
      <c r="I353" s="122"/>
      <c r="J353" s="122"/>
      <c r="K353"/>
      <c r="L353"/>
      <c r="M353"/>
    </row>
    <row r="354" spans="1:13">
      <c r="A354" t="s">
        <v>308</v>
      </c>
      <c r="B354"/>
      <c r="C354"/>
      <c r="D354" s="83" t="e">
        <f>(D334*12)/52</f>
        <v>#REF!</v>
      </c>
      <c r="E354"/>
      <c r="F354" s="83"/>
      <c r="G354" s="246" t="s">
        <v>309</v>
      </c>
      <c r="H354" s="122"/>
      <c r="I354" s="122"/>
      <c r="J354" s="122"/>
      <c r="K354"/>
      <c r="L354"/>
      <c r="M354"/>
    </row>
    <row r="355" spans="1:13">
      <c r="A355" t="s">
        <v>310</v>
      </c>
      <c r="B355"/>
      <c r="C355"/>
      <c r="D355" s="83" t="e">
        <f>IF(OR(D271=0,D354=0),0,IF(OR(D271=A262,D271=A263,D271=A265),D269,D269/VLOOKUP(D271,A258:E266,3)))</f>
        <v>#REF!</v>
      </c>
      <c r="E355"/>
      <c r="F355" s="83"/>
      <c r="G355" s="246" t="s">
        <v>311</v>
      </c>
      <c r="H355" s="122"/>
      <c r="I355" s="122"/>
      <c r="J355" s="122"/>
      <c r="K355"/>
      <c r="L355"/>
      <c r="M355"/>
    </row>
    <row r="356" spans="1:13">
      <c r="A356" t="s">
        <v>312</v>
      </c>
      <c r="B356"/>
      <c r="C356"/>
      <c r="D356" s="120" t="e">
        <f>IF(D355=0,0,ROUND(D354/D355,1))</f>
        <v>#REF!</v>
      </c>
      <c r="E356" s="83"/>
      <c r="F356" s="83"/>
      <c r="G356" s="246" t="s">
        <v>313</v>
      </c>
      <c r="H356"/>
      <c r="I356"/>
      <c r="J356"/>
      <c r="K356" s="83"/>
      <c r="L356"/>
      <c r="M356"/>
    </row>
    <row r="357" spans="1:13">
      <c r="A357"/>
      <c r="B357"/>
      <c r="C357"/>
      <c r="D357"/>
      <c r="E357"/>
      <c r="F357"/>
      <c r="G357"/>
      <c r="H357"/>
      <c r="I357"/>
      <c r="J357"/>
      <c r="K357"/>
      <c r="L357"/>
      <c r="M357"/>
    </row>
    <row r="358" spans="1:13">
      <c r="A358" t="s">
        <v>314</v>
      </c>
      <c r="B358"/>
      <c r="C358"/>
      <c r="D358" s="121" t="e">
        <f>IF(OR(D271=A262,D271=A263,D271=A265),J282,D274)</f>
        <v>#REF!</v>
      </c>
      <c r="E358"/>
      <c r="F358"/>
      <c r="G358" s="246" t="s">
        <v>315</v>
      </c>
      <c r="H358"/>
      <c r="I358"/>
      <c r="J358"/>
      <c r="K358"/>
      <c r="L358"/>
      <c r="M358"/>
    </row>
    <row r="359" spans="1:13">
      <c r="A359" t="s">
        <v>288</v>
      </c>
      <c r="B359"/>
      <c r="C359"/>
      <c r="D359" s="121" t="e">
        <f>IF(OR(E279="",E279=0,A279=FALSE),"",ROUND((((D279-C279)+1)/365)*12,1))</f>
        <v>#REF!</v>
      </c>
      <c r="E359"/>
      <c r="F359" t="e">
        <f>VLOOKUP(D255,D173:G181,4)</f>
        <v>#N/A</v>
      </c>
      <c r="G359" s="246" t="s">
        <v>316</v>
      </c>
      <c r="H359"/>
      <c r="I359"/>
      <c r="J359"/>
      <c r="K359"/>
      <c r="L359"/>
      <c r="M359"/>
    </row>
    <row r="360" spans="1:13">
      <c r="A360" t="s">
        <v>317</v>
      </c>
      <c r="B360"/>
      <c r="C360"/>
      <c r="D360" s="83" t="e">
        <f>IF(OR(D358=0,D358="",D359=0,D359=""),0,ROUND(D358*D359,0))</f>
        <v>#REF!</v>
      </c>
      <c r="E360"/>
      <c r="F360"/>
      <c r="G360" s="246" t="s">
        <v>318</v>
      </c>
      <c r="H360"/>
      <c r="I360"/>
      <c r="J360"/>
      <c r="K360"/>
      <c r="L360"/>
      <c r="M360"/>
    </row>
    <row r="361" spans="1:13">
      <c r="A361"/>
      <c r="B361"/>
      <c r="C361"/>
      <c r="D361"/>
      <c r="E361"/>
      <c r="F361"/>
      <c r="G361"/>
      <c r="H361"/>
      <c r="I361"/>
      <c r="J361"/>
      <c r="K361"/>
      <c r="L361"/>
      <c r="M361"/>
    </row>
    <row r="362" spans="1:13">
      <c r="A362" s="434" t="e">
        <f>CONCATENATE("STATISTICS  —  CALCULATIONS FOR ",#REF!," EARNINGS")</f>
        <v>#REF!</v>
      </c>
      <c r="B362" s="435"/>
      <c r="C362" s="435"/>
      <c r="D362" s="435"/>
      <c r="E362" s="435"/>
      <c r="F362" s="435"/>
      <c r="G362" s="435"/>
      <c r="H362" s="435"/>
      <c r="I362" s="435"/>
      <c r="J362" s="435"/>
      <c r="K362" s="435"/>
      <c r="L362" s="435"/>
      <c r="M362" s="436"/>
    </row>
    <row r="363" spans="1:13">
      <c r="A363"/>
      <c r="B363"/>
      <c r="C363"/>
      <c r="D363"/>
      <c r="E363"/>
      <c r="F363"/>
      <c r="G363"/>
      <c r="H363"/>
      <c r="I363"/>
      <c r="J363"/>
      <c r="K363"/>
      <c r="L363"/>
      <c r="M363"/>
    </row>
    <row r="364" spans="1:13">
      <c r="A364" s="423" t="e">
        <f>CONCATENATE("Pay Type #1 -- ",#REF!)</f>
        <v>#REF!</v>
      </c>
      <c r="B364" s="424"/>
      <c r="C364" s="424"/>
      <c r="D364" s="424"/>
      <c r="E364" s="424"/>
      <c r="F364" s="424"/>
      <c r="G364" s="425"/>
      <c r="H364" s="423" t="s">
        <v>244</v>
      </c>
      <c r="I364" s="424"/>
      <c r="J364" s="425"/>
      <c r="K364" s="423" t="s">
        <v>245</v>
      </c>
      <c r="L364" s="424"/>
      <c r="M364" s="425"/>
    </row>
    <row r="365" spans="1:13">
      <c r="A365" s="87" t="s">
        <v>246</v>
      </c>
      <c r="B365" s="87" t="s">
        <v>164</v>
      </c>
      <c r="C365" s="87" t="s">
        <v>247</v>
      </c>
      <c r="D365" s="87" t="s">
        <v>248</v>
      </c>
      <c r="E365" s="87" t="s">
        <v>5</v>
      </c>
      <c r="F365" s="87" t="s">
        <v>4</v>
      </c>
      <c r="G365" s="87" t="s">
        <v>1</v>
      </c>
      <c r="H365" s="87" t="s">
        <v>154</v>
      </c>
      <c r="I365" s="87" t="s">
        <v>4</v>
      </c>
      <c r="J365" s="87" t="s">
        <v>5</v>
      </c>
      <c r="K365" s="87" t="s">
        <v>249</v>
      </c>
      <c r="L365" s="87" t="s">
        <v>250</v>
      </c>
      <c r="M365" s="87" t="s">
        <v>251</v>
      </c>
    </row>
    <row r="366" spans="1:13">
      <c r="A366" s="88" t="b">
        <v>1</v>
      </c>
      <c r="B366" s="89" t="e">
        <f>#REF!</f>
        <v>#REF!</v>
      </c>
      <c r="C366" s="90" t="e">
        <f>#REF!</f>
        <v>#REF!</v>
      </c>
      <c r="D366" s="90" t="e">
        <f>#REF!</f>
        <v>#REF!</v>
      </c>
      <c r="E366" s="91" t="e">
        <f>#REF!</f>
        <v>#REF!</v>
      </c>
      <c r="F366" s="92" t="e">
        <f>IF(OR(E366="",E366=0),"",ROUND((((D366-C366)+1)/365)*12,1))</f>
        <v>#REF!</v>
      </c>
      <c r="G366" s="93" t="e">
        <f>IF(OR(E366="",E366=0),"",ROUND(E366/F366,0))</f>
        <v>#REF!</v>
      </c>
      <c r="H366" s="93" t="e">
        <f>IF(A366=TRUE,E366,0)</f>
        <v>#REF!</v>
      </c>
      <c r="I366" s="118" t="e">
        <f>IF(A366=TRUE,F366,0)</f>
        <v>#REF!</v>
      </c>
      <c r="J366" s="93" t="e">
        <f>IF(OR(A366=FALSE,H366=0,I366=0),0,ROUND(H366/I366,0))</f>
        <v>#REF!</v>
      </c>
      <c r="K366" s="92" t="e">
        <f>IF(OR(G366="",G366=0,G367="",G367=0),100,IF(G366&gt;G367,((G366-G367)/G367)*100,((G367-G366)/G367)*100))</f>
        <v>#REF!</v>
      </c>
      <c r="L366" s="54" t="e">
        <f>IF(G366&gt;G367,"Increase","Decrease")</f>
        <v>#REF!</v>
      </c>
      <c r="M366" s="54" t="e">
        <f>IF(AND(A366=TRUE,E366&gt;0),TRUE,FALSE)</f>
        <v>#REF!</v>
      </c>
    </row>
    <row r="367" spans="1:13">
      <c r="A367" s="57" t="b">
        <v>1</v>
      </c>
      <c r="B367" s="89" t="e">
        <f>#REF!</f>
        <v>#REF!</v>
      </c>
      <c r="C367" s="90" t="e">
        <f>#REF!</f>
        <v>#REF!</v>
      </c>
      <c r="D367" s="90" t="e">
        <f>#REF!</f>
        <v>#REF!</v>
      </c>
      <c r="E367" s="91" t="e">
        <f>#REF!</f>
        <v>#REF!</v>
      </c>
      <c r="F367" s="92" t="e">
        <f>IF(OR(E367="",E367=0),"",ROUND((((D367-C367)+1)/365)*12,1))</f>
        <v>#REF!</v>
      </c>
      <c r="G367" s="93" t="e">
        <f>IF(OR(E367="",E367=0),"",ROUND(E367/F367,0))</f>
        <v>#REF!</v>
      </c>
      <c r="H367" s="93" t="e">
        <f>IF(A367=TRUE,E367,0)</f>
        <v>#REF!</v>
      </c>
      <c r="I367" s="118" t="e">
        <f>IF(A367=TRUE,F367,0)</f>
        <v>#REF!</v>
      </c>
      <c r="J367" s="93" t="e">
        <f>IF(OR(A367=FALSE,H367=0,I367=0),0,ROUND(H367/I367,0))</f>
        <v>#REF!</v>
      </c>
      <c r="K367" s="92" t="e">
        <f>IF(OR(G367="",G367=0,G368="",G368=0),100,IF(G367&gt;G368,((G367-G368)/G368)*100,((G368-G367)/G368)*100))</f>
        <v>#REF!</v>
      </c>
      <c r="L367" s="54" t="e">
        <f>IF(G367&gt;G368,"Increase","Decrease")</f>
        <v>#REF!</v>
      </c>
      <c r="M367" s="54" t="e">
        <f>IF(AND(A367=TRUE,E367&gt;0),TRUE,FALSE)</f>
        <v>#REF!</v>
      </c>
    </row>
    <row r="368" spans="1:13">
      <c r="A368" s="57" t="b">
        <v>1</v>
      </c>
      <c r="B368" s="89" t="e">
        <f>#REF!</f>
        <v>#REF!</v>
      </c>
      <c r="C368" s="90" t="e">
        <f>#REF!</f>
        <v>#REF!</v>
      </c>
      <c r="D368" s="90" t="e">
        <f>#REF!</f>
        <v>#REF!</v>
      </c>
      <c r="E368" s="91" t="e">
        <f>#REF!</f>
        <v>#REF!</v>
      </c>
      <c r="F368" s="92" t="e">
        <f>IF(OR(E368="",E368=0),"",ROUND((((D368-C368)+1)/365)*12,1))</f>
        <v>#REF!</v>
      </c>
      <c r="G368" s="93" t="e">
        <f>IF(OR(E368="",E368=0),"",ROUND(E368/F368,0))</f>
        <v>#REF!</v>
      </c>
      <c r="H368" s="93" t="e">
        <f>IF(A368=TRUE,E368,0)</f>
        <v>#REF!</v>
      </c>
      <c r="I368" s="118" t="e">
        <f>IF(A368=TRUE,F368,0)</f>
        <v>#REF!</v>
      </c>
      <c r="J368" s="93" t="e">
        <f>IF(OR(A368=FALSE,H368=0,I368=0),0,ROUND(H368/I368,0))</f>
        <v>#REF!</v>
      </c>
      <c r="K368" s="92" t="e">
        <f>IF(OR(G366="",G366=0,G368="",G368=0),100,IF(G366&gt;G368,((G366-G368)/G368)*100,((G368-G366)/G368)*100))</f>
        <v>#REF!</v>
      </c>
      <c r="L368" s="54" t="e">
        <f>IF(G366&gt;G368,"Increase","Decrease")</f>
        <v>#REF!</v>
      </c>
      <c r="M368" s="54" t="e">
        <f>IF(AND(A368=TRUE,E368&gt;0),TRUE,FALSE)</f>
        <v>#REF!</v>
      </c>
    </row>
    <row r="369" spans="1:13">
      <c r="A369" s="51" t="s">
        <v>252</v>
      </c>
      <c r="B369" s="98"/>
      <c r="C369" s="99"/>
      <c r="D369" s="99"/>
      <c r="E369" s="100" t="e">
        <f>SUM(E366:E368)</f>
        <v>#REF!</v>
      </c>
      <c r="F369" s="101" t="e">
        <f>SUM(F366:F368)</f>
        <v>#REF!</v>
      </c>
      <c r="G369" s="97" t="e">
        <f>IF(F369=0,0,ROUND(E369/F369,0))</f>
        <v>#REF!</v>
      </c>
      <c r="H369" s="97" t="e">
        <f>IF(SUM(E366:E368)=0,0,ROUND(SUM(H366:H368),0))</f>
        <v>#REF!</v>
      </c>
      <c r="I369" s="119" t="e">
        <f>IF(SUM(F366:F368)=0,0,ROUND(SUM(I366:I368),1))</f>
        <v>#REF!</v>
      </c>
      <c r="J369" s="97" t="e">
        <f>IF(I369=0,0,ROUND(H369/I369,0))</f>
        <v>#REF!</v>
      </c>
      <c r="K369" s="99"/>
      <c r="L369" s="99"/>
      <c r="M369" s="99"/>
    </row>
    <row r="370" spans="1:13">
      <c r="A370"/>
      <c r="B370" s="83"/>
      <c r="C370" s="112"/>
      <c r="D370" s="113"/>
      <c r="E370"/>
      <c r="F370"/>
      <c r="G370"/>
      <c r="H370"/>
      <c r="I370"/>
      <c r="J370"/>
      <c r="K370"/>
      <c r="L370"/>
      <c r="M370"/>
    </row>
    <row r="371" spans="1:13">
      <c r="A371" s="434" t="e">
        <f>CONCATENATE("STATISTICS  —  VARIANCES IN ",#REF!," EARNINGS")</f>
        <v>#REF!</v>
      </c>
      <c r="B371" s="435"/>
      <c r="C371" s="435"/>
      <c r="D371" s="435"/>
      <c r="E371" s="435"/>
      <c r="F371" s="435"/>
      <c r="G371" s="435"/>
      <c r="H371" s="435"/>
      <c r="I371" s="435"/>
      <c r="J371" s="435"/>
      <c r="K371" s="435"/>
      <c r="L371" s="435"/>
      <c r="M371" s="436"/>
    </row>
    <row r="372" spans="1:13">
      <c r="A372"/>
      <c r="B372" s="83"/>
      <c r="C372" s="112"/>
      <c r="D372" s="113"/>
      <c r="E372"/>
      <c r="F372"/>
      <c r="G372"/>
      <c r="H372"/>
      <c r="I372"/>
      <c r="J372"/>
      <c r="K372"/>
      <c r="L372"/>
      <c r="M372"/>
    </row>
    <row r="373" spans="1:13">
      <c r="A373" s="437"/>
      <c r="B373" s="437"/>
      <c r="C373" s="114" t="s">
        <v>276</v>
      </c>
      <c r="D373" s="115" t="s">
        <v>277</v>
      </c>
      <c r="E373" s="115" t="s">
        <v>278</v>
      </c>
      <c r="F373" s="247" t="s">
        <v>2</v>
      </c>
      <c r="G373" s="115" t="s">
        <v>279</v>
      </c>
      <c r="H373" s="438" t="s">
        <v>227</v>
      </c>
      <c r="I373" s="439"/>
      <c r="J373" s="439"/>
      <c r="K373" s="439"/>
      <c r="L373" s="440"/>
    </row>
    <row r="374" spans="1:13">
      <c r="A374" s="427" t="e">
        <f>CONCATENATE(" Total ",B366," YTD")</f>
        <v>#REF!</v>
      </c>
      <c r="B374" s="429"/>
      <c r="C374" s="102" t="e">
        <f>IF(OR(G366=0,G366=""),0,G366)</f>
        <v>#REF!</v>
      </c>
      <c r="D374" s="102" t="e">
        <f>ABS(C374-C375)</f>
        <v>#REF!</v>
      </c>
      <c r="E374" s="116" t="e">
        <f>IF(C375=0,100%,D374/C375)</f>
        <v>#REF!</v>
      </c>
      <c r="F374" s="35" t="e">
        <f>IF(C374&gt;C375," Increase"," Decrease")</f>
        <v>#REF!</v>
      </c>
      <c r="G374" s="117" t="e">
        <f>IF((C375+(C375*E374))=C374,"PASS","FAIL")</f>
        <v>#REF!</v>
      </c>
      <c r="H374" s="427" t="e">
        <f>IF(C374=""," ",IF(AND(C375=0,C374=0),CONCATENATE(B367," to ",B366," = N/A"),IF(AND(C375=0,C374&gt;0),CONCATENATE(B367," to ",B366," = 100% Increase"),IF(AND(C375&gt;0,C374=0),CONCATENATE(B367," to ",B366," = 100% Decrease"),IF(AND(C375&gt;0,C374&gt;0),CONCATENATE(B367," to ",B366," = ",TEXT(E374,"###.0%"),F374))))))</f>
        <v>#REF!</v>
      </c>
      <c r="I374" s="428"/>
      <c r="J374" s="428"/>
      <c r="K374" s="428"/>
      <c r="L374" s="429"/>
    </row>
    <row r="375" spans="1:13">
      <c r="A375" s="427" t="e">
        <f>CONCATENATE(" Total ",B367)</f>
        <v>#REF!</v>
      </c>
      <c r="B375" s="429"/>
      <c r="C375" s="102" t="e">
        <f>IF(OR(G367=0,G367=""),0,G367)</f>
        <v>#REF!</v>
      </c>
      <c r="D375" s="102" t="e">
        <f>ABS(C375-C376)</f>
        <v>#REF!</v>
      </c>
      <c r="E375" s="116" t="e">
        <f>IF(C376=0,100%,D375/C376)</f>
        <v>#REF!</v>
      </c>
      <c r="F375" s="35" t="e">
        <f>IF(C375&gt;C376," Increase"," Decrease")</f>
        <v>#REF!</v>
      </c>
      <c r="G375" s="117" t="e">
        <f>IF((C376+(C376*E375))=C375,"PASS","FAIL")</f>
        <v>#REF!</v>
      </c>
      <c r="H375" s="427" t="e">
        <f>IF(C375=""," ",IF(AND(C376=0,C375=0),CONCATENATE(B368," to ",B367," = Undetermined"),IF(AND(C376=0,C375&gt;0),CONCATENATE(B368," to ",B367," = 100% Increase"),IF(AND(C376&gt;0,C375=0),CONCATENATE(B368," to ",B367," = 100% Decrease"),IF(AND(C376&gt;0,C375&gt;0),CONCATENATE(B368," to ",B367," = ",TEXT(E375,"###.0%"),F375))))))</f>
        <v>#REF!</v>
      </c>
      <c r="I375" s="428"/>
      <c r="J375" s="428"/>
      <c r="K375" s="428"/>
      <c r="L375" s="429"/>
    </row>
    <row r="376" spans="1:13">
      <c r="A376" s="427" t="str">
        <f>CONCATENATE(" Total ",B2461)</f>
        <v>Total</v>
      </c>
      <c r="B376" s="429"/>
      <c r="C376" s="102" t="e">
        <f>IF(OR(G368=0,G368=""),0,G368)</f>
        <v>#REF!</v>
      </c>
      <c r="D376" s="102" t="e">
        <f>ABS(C374-C376)</f>
        <v>#REF!</v>
      </c>
      <c r="E376" s="116" t="e">
        <f>IF(C376=0,100%,D376/C376)</f>
        <v>#REF!</v>
      </c>
      <c r="F376" s="35" t="e">
        <f>IF(C376&gt;C377," Increase"," Decrease")</f>
        <v>#REF!</v>
      </c>
      <c r="G376" s="117" t="e">
        <f>IF((C376+(C376*E376))=C374,"PASS","FAIL")</f>
        <v>#REF!</v>
      </c>
      <c r="H376" s="427"/>
      <c r="I376" s="428"/>
      <c r="J376" s="428"/>
      <c r="K376" s="428"/>
      <c r="L376" s="429"/>
    </row>
    <row r="377" spans="1:13">
      <c r="A377"/>
      <c r="B377"/>
      <c r="C377" s="39"/>
      <c r="D377"/>
      <c r="E377"/>
      <c r="F377"/>
      <c r="G377"/>
      <c r="H377"/>
      <c r="I377"/>
      <c r="J377"/>
      <c r="K377"/>
      <c r="L377"/>
      <c r="M377"/>
    </row>
    <row r="378" spans="1:13">
      <c r="A378" t="s">
        <v>338</v>
      </c>
      <c r="B378"/>
      <c r="C378" t="e">
        <f>CONCATENATE("Variance in Earnings:  ",H375,"  &amp;  ",H374)</f>
        <v>#REF!</v>
      </c>
      <c r="D378"/>
      <c r="E378"/>
      <c r="F378"/>
      <c r="G378"/>
      <c r="H378"/>
      <c r="I378"/>
      <c r="J378"/>
      <c r="K378"/>
      <c r="L378"/>
      <c r="M378"/>
    </row>
    <row r="379" spans="1:13">
      <c r="A379"/>
      <c r="B379"/>
      <c r="C379"/>
      <c r="D379"/>
      <c r="E379"/>
      <c r="F379"/>
      <c r="G379"/>
      <c r="H379"/>
      <c r="I379"/>
      <c r="J379"/>
      <c r="K379"/>
      <c r="L379"/>
      <c r="M379"/>
    </row>
    <row r="380" spans="1:13">
      <c r="A380" s="434" t="e">
        <f>CONCATENATE("STATISTICS  —  CALCULATIONS FOR ",#REF!," EARNINGS")</f>
        <v>#REF!</v>
      </c>
      <c r="B380" s="435"/>
      <c r="C380" s="435"/>
      <c r="D380" s="435"/>
      <c r="E380" s="435"/>
      <c r="F380" s="435"/>
      <c r="G380" s="435"/>
      <c r="H380" s="435"/>
      <c r="I380" s="435"/>
      <c r="J380" s="435"/>
      <c r="K380" s="435"/>
      <c r="L380" s="435"/>
      <c r="M380" s="436"/>
    </row>
    <row r="381" spans="1:13">
      <c r="A381"/>
      <c r="B381"/>
      <c r="C381"/>
      <c r="D381"/>
      <c r="E381"/>
      <c r="F381"/>
      <c r="G381"/>
      <c r="H381"/>
      <c r="I381"/>
      <c r="J381"/>
      <c r="K381"/>
      <c r="L381"/>
      <c r="M381"/>
    </row>
    <row r="382" spans="1:13">
      <c r="A382" s="423" t="e">
        <f>CONCATENATE("Pay Type #3 -- ",#REF!)</f>
        <v>#REF!</v>
      </c>
      <c r="B382" s="424"/>
      <c r="C382" s="424"/>
      <c r="D382" s="424"/>
      <c r="E382" s="424"/>
      <c r="F382" s="424"/>
      <c r="G382" s="425"/>
      <c r="H382" s="423" t="s">
        <v>244</v>
      </c>
      <c r="I382" s="424"/>
      <c r="J382" s="425"/>
      <c r="K382" s="423" t="s">
        <v>245</v>
      </c>
      <c r="L382" s="424"/>
      <c r="M382" s="425"/>
    </row>
    <row r="383" spans="1:13">
      <c r="A383" s="87" t="s">
        <v>246</v>
      </c>
      <c r="B383" s="87" t="s">
        <v>164</v>
      </c>
      <c r="C383" s="87" t="s">
        <v>247</v>
      </c>
      <c r="D383" s="87" t="s">
        <v>248</v>
      </c>
      <c r="E383" s="87" t="s">
        <v>5</v>
      </c>
      <c r="F383" s="87" t="s">
        <v>4</v>
      </c>
      <c r="G383" s="87" t="s">
        <v>1</v>
      </c>
      <c r="H383" s="87" t="s">
        <v>154</v>
      </c>
      <c r="I383" s="87" t="s">
        <v>4</v>
      </c>
      <c r="J383" s="87" t="s">
        <v>5</v>
      </c>
      <c r="K383" s="87" t="s">
        <v>249</v>
      </c>
      <c r="L383" s="87" t="s">
        <v>250</v>
      </c>
      <c r="M383" s="87" t="s">
        <v>251</v>
      </c>
    </row>
    <row r="384" spans="1:13">
      <c r="A384" s="88" t="b">
        <v>0</v>
      </c>
      <c r="B384" s="89" t="e">
        <f>#REF!</f>
        <v>#REF!</v>
      </c>
      <c r="C384" s="90" t="e">
        <f>#REF!</f>
        <v>#REF!</v>
      </c>
      <c r="D384" s="90" t="e">
        <f>#REF!</f>
        <v>#REF!</v>
      </c>
      <c r="E384" s="91" t="e">
        <f>#REF!</f>
        <v>#REF!</v>
      </c>
      <c r="F384" s="92" t="e">
        <f>IF(OR(E384="",E384=0),"",ROUND((((D384-C384)+1)/365)*12,1))</f>
        <v>#REF!</v>
      </c>
      <c r="G384" s="93" t="e">
        <f>IF(OR(E384="",E384=0),"",ROUND(E384/F384,0))</f>
        <v>#REF!</v>
      </c>
      <c r="H384" s="93">
        <f>IF(A384=TRUE,E384,0)</f>
        <v>0</v>
      </c>
      <c r="I384" s="118">
        <f>IF(A384=TRUE,F384,0)</f>
        <v>0</v>
      </c>
      <c r="J384" s="93">
        <f>IF(OR(A384=FALSE,H384=0,I384=0),0,ROUND(H384/I384,0))</f>
        <v>0</v>
      </c>
      <c r="K384" s="92" t="e">
        <f>IF(OR(G384="",G384=0,G385="",G385=0),100,IF(G384&gt;G385,((G384-G385)/G385)*100,((G385-G384)/G385)*100))</f>
        <v>#REF!</v>
      </c>
      <c r="L384" s="54" t="e">
        <f>IF(G384&gt;G385,"Increase","Decrease")</f>
        <v>#REF!</v>
      </c>
      <c r="M384" s="54" t="e">
        <f>IF(AND(A384=TRUE,E384&gt;0),TRUE,FALSE)</f>
        <v>#REF!</v>
      </c>
    </row>
    <row r="385" spans="1:13">
      <c r="A385" s="57" t="b">
        <v>0</v>
      </c>
      <c r="B385" s="89" t="e">
        <f>#REF!</f>
        <v>#REF!</v>
      </c>
      <c r="C385" s="90" t="e">
        <f>#REF!</f>
        <v>#REF!</v>
      </c>
      <c r="D385" s="90" t="e">
        <f>#REF!</f>
        <v>#REF!</v>
      </c>
      <c r="E385" s="91" t="e">
        <f>#REF!</f>
        <v>#REF!</v>
      </c>
      <c r="F385" s="92" t="e">
        <f>IF(OR(E385="",E385=0),"",ROUND((((D385-C385)+1)/365)*12,1))</f>
        <v>#REF!</v>
      </c>
      <c r="G385" s="93" t="e">
        <f>IF(OR(E385="",E385=0),"",ROUND(E385/F385,0))</f>
        <v>#REF!</v>
      </c>
      <c r="H385" s="93">
        <f>IF(A385=TRUE,E385,0)</f>
        <v>0</v>
      </c>
      <c r="I385" s="118">
        <f>IF(A385=TRUE,F385,0)</f>
        <v>0</v>
      </c>
      <c r="J385" s="93">
        <f>IF(OR(A385=FALSE,H385=0,I385=0),0,ROUND(H385/I385,0))</f>
        <v>0</v>
      </c>
      <c r="K385" s="92" t="e">
        <f>IF(OR(G385="",G385=0,G386="",G386=0),100,IF(G385&gt;G386,((G385-G386)/G386)*100,((G386-G385)/G386)*100))</f>
        <v>#REF!</v>
      </c>
      <c r="L385" s="54" t="e">
        <f>IF(G385&gt;G386,"Increase","Decrease")</f>
        <v>#REF!</v>
      </c>
      <c r="M385" s="54" t="e">
        <f>IF(AND(A385=TRUE,E385&gt;0),TRUE,FALSE)</f>
        <v>#REF!</v>
      </c>
    </row>
    <row r="386" spans="1:13">
      <c r="A386" s="57" t="b">
        <v>0</v>
      </c>
      <c r="B386" s="89" t="e">
        <f>#REF!</f>
        <v>#REF!</v>
      </c>
      <c r="C386" s="90" t="e">
        <f>#REF!</f>
        <v>#REF!</v>
      </c>
      <c r="D386" s="90" t="e">
        <f>#REF!</f>
        <v>#REF!</v>
      </c>
      <c r="E386" s="91" t="e">
        <f>#REF!</f>
        <v>#REF!</v>
      </c>
      <c r="F386" s="92" t="e">
        <f>IF(OR(E386="",E386=0),"",ROUND((((D386-C386)+1)/365)*12,1))</f>
        <v>#REF!</v>
      </c>
      <c r="G386" s="93" t="e">
        <f>IF(OR(E386="",E386=0),"",ROUND(E386/F386,0))</f>
        <v>#REF!</v>
      </c>
      <c r="H386" s="93">
        <f>IF(A386=TRUE,E386,0)</f>
        <v>0</v>
      </c>
      <c r="I386" s="118">
        <f>IF(A386=TRUE,F386,0)</f>
        <v>0</v>
      </c>
      <c r="J386" s="93">
        <f>IF(OR(A386=FALSE,H386=0,I386=0),0,ROUND(H386/I386,0))</f>
        <v>0</v>
      </c>
      <c r="K386" s="92" t="e">
        <f>IF(OR(G384="",G384=0,G386="",G386=0),100,IF(G384&gt;G386,((G384-G386)/G386)*100,((G386-G384)/G386)*100))</f>
        <v>#REF!</v>
      </c>
      <c r="L386" s="54" t="e">
        <f>IF(G384&gt;G386,"Increase","Decrease")</f>
        <v>#REF!</v>
      </c>
      <c r="M386" s="54" t="e">
        <f>IF(AND(A386=TRUE,E386&gt;0),TRUE,FALSE)</f>
        <v>#REF!</v>
      </c>
    </row>
    <row r="387" spans="1:13">
      <c r="A387" s="51" t="s">
        <v>252</v>
      </c>
      <c r="B387" s="98"/>
      <c r="C387" s="99"/>
      <c r="D387" s="99"/>
      <c r="E387" s="100" t="e">
        <f>SUM(E384:E386)</f>
        <v>#REF!</v>
      </c>
      <c r="F387" s="101" t="e">
        <f>SUM(F384:F386)</f>
        <v>#REF!</v>
      </c>
      <c r="G387" s="97" t="e">
        <f>IF(F387=0,0,ROUND(E387/F387,0))</f>
        <v>#REF!</v>
      </c>
      <c r="H387" s="97" t="e">
        <f>IF(SUM(E384:E386)=0,0,ROUND(SUM(H384:H386),0))</f>
        <v>#REF!</v>
      </c>
      <c r="I387" s="119" t="e">
        <f>IF(SUM(F384:F386)=0,0,ROUND(SUM(I384:I386),1))</f>
        <v>#REF!</v>
      </c>
      <c r="J387" s="97" t="e">
        <f>IF(I387=0,0,ROUND(H387/I387,0))</f>
        <v>#REF!</v>
      </c>
      <c r="K387" s="99"/>
      <c r="L387" s="99"/>
      <c r="M387" s="99"/>
    </row>
    <row r="388" spans="1:13">
      <c r="A388"/>
      <c r="B388" s="83"/>
      <c r="C388" s="112"/>
      <c r="D388" s="113"/>
      <c r="E388"/>
      <c r="F388"/>
      <c r="G388"/>
      <c r="H388"/>
      <c r="I388"/>
      <c r="J388"/>
      <c r="K388"/>
      <c r="L388"/>
      <c r="M388"/>
    </row>
    <row r="389" spans="1:13">
      <c r="A389" s="434" t="e">
        <f>CONCATENATE("STATISTICS  —  VARIANCES IN ",#REF!," EARNINGS")</f>
        <v>#REF!</v>
      </c>
      <c r="B389" s="435"/>
      <c r="C389" s="435"/>
      <c r="D389" s="435"/>
      <c r="E389" s="435"/>
      <c r="F389" s="435"/>
      <c r="G389" s="435"/>
      <c r="H389" s="435"/>
      <c r="I389" s="435"/>
      <c r="J389" s="435"/>
      <c r="K389" s="435"/>
      <c r="L389" s="435"/>
      <c r="M389" s="436"/>
    </row>
    <row r="390" spans="1:13">
      <c r="A390"/>
      <c r="B390" s="83"/>
      <c r="C390" s="112"/>
      <c r="D390" s="113"/>
      <c r="E390"/>
      <c r="F390"/>
      <c r="G390"/>
      <c r="H390"/>
      <c r="I390"/>
      <c r="J390"/>
      <c r="K390"/>
      <c r="L390"/>
      <c r="M390"/>
    </row>
    <row r="391" spans="1:13">
      <c r="A391" s="437"/>
      <c r="B391" s="437"/>
      <c r="C391" s="114" t="s">
        <v>276</v>
      </c>
      <c r="D391" s="115" t="s">
        <v>277</v>
      </c>
      <c r="E391" s="115" t="s">
        <v>278</v>
      </c>
      <c r="F391" s="247" t="s">
        <v>2</v>
      </c>
      <c r="G391" s="115" t="s">
        <v>279</v>
      </c>
      <c r="H391" s="438" t="s">
        <v>227</v>
      </c>
      <c r="I391" s="439"/>
      <c r="J391" s="439"/>
      <c r="K391" s="439"/>
      <c r="L391" s="440"/>
    </row>
    <row r="392" spans="1:13">
      <c r="A392" s="427" t="e">
        <f>CONCATENATE(" Total ",B384," YTD")</f>
        <v>#REF!</v>
      </c>
      <c r="B392" s="429"/>
      <c r="C392" s="102" t="e">
        <f>IF(OR(G384=0,G384=""),0,G384)</f>
        <v>#REF!</v>
      </c>
      <c r="D392" s="102" t="e">
        <f>ABS(C392-C393)</f>
        <v>#REF!</v>
      </c>
      <c r="E392" s="116" t="e">
        <f>IF(C393=0,100%,D392/C393)</f>
        <v>#REF!</v>
      </c>
      <c r="F392" s="35" t="e">
        <f>IF(C392&gt;C393," Increase"," Decrease")</f>
        <v>#REF!</v>
      </c>
      <c r="G392" s="117" t="e">
        <f>IF((C393+(C393*E392))=C392,"PASS","FAIL")</f>
        <v>#REF!</v>
      </c>
      <c r="H392" s="427" t="e">
        <f>IF(C392=""," ",IF(AND(C393=0,C392=0),CONCATENATE(B385," to ",B384," = N/A"),IF(AND(C393=0,C392&gt;0),CONCATENATE(B385," to ",B384," = 100% Increase"),IF(AND(C393&gt;0,C392=0),CONCATENATE(B385," to ",B384," = 100% Decrease"),IF(AND(C393&gt;0,C392&gt;0),CONCATENATE(B385," to ",B384," = ",TEXT(E392,"###.0%"),F392))))))</f>
        <v>#REF!</v>
      </c>
      <c r="I392" s="428"/>
      <c r="J392" s="428"/>
      <c r="K392" s="428"/>
      <c r="L392" s="429"/>
    </row>
    <row r="393" spans="1:13">
      <c r="A393" s="427" t="e">
        <f>CONCATENATE(" Total ",B385)</f>
        <v>#REF!</v>
      </c>
      <c r="B393" s="429"/>
      <c r="C393" s="102" t="e">
        <f>IF(OR(G385=0,G385=""),0,G385)</f>
        <v>#REF!</v>
      </c>
      <c r="D393" s="102" t="e">
        <f>ABS(C393-C394)</f>
        <v>#REF!</v>
      </c>
      <c r="E393" s="116" t="e">
        <f>IF(C394=0,100%,D393/C394)</f>
        <v>#REF!</v>
      </c>
      <c r="F393" s="35" t="e">
        <f>IF(C393&gt;C394," Increase"," Decrease")</f>
        <v>#REF!</v>
      </c>
      <c r="G393" s="117" t="e">
        <f>IF((C394+(C394*E393))=C393,"PASS","FAIL")</f>
        <v>#REF!</v>
      </c>
      <c r="H393" s="427" t="e">
        <f>IF(C393=""," ",IF(AND(C394=0,C393=0),CONCATENATE(B386," to ",B385," = Undetermined"),IF(AND(C394=0,C393&gt;0),CONCATENATE(B386," to ",B385," = 100% Increase"),IF(AND(C394&gt;0,C393=0),CONCATENATE(B386," to ",B385," = 100% Decrease"),IF(AND(C394&gt;0,C393&gt;0),CONCATENATE(B386," to ",B385," = ",TEXT(E393,"###.0%"),F393))))))</f>
        <v>#REF!</v>
      </c>
      <c r="I393" s="428"/>
      <c r="J393" s="428"/>
      <c r="K393" s="428"/>
      <c r="L393" s="429"/>
    </row>
    <row r="394" spans="1:13">
      <c r="A394" s="427" t="str">
        <f>CONCATENATE(" Total ",B2482)</f>
        <v>Total</v>
      </c>
      <c r="B394" s="429"/>
      <c r="C394" s="102" t="e">
        <f>IF(OR(G386=0,G386=""),0,G386)</f>
        <v>#REF!</v>
      </c>
      <c r="D394" s="102" t="e">
        <f>ABS(C392-C394)</f>
        <v>#REF!</v>
      </c>
      <c r="E394" s="116" t="e">
        <f>IF(C394=0,100%,D394/C394)</f>
        <v>#REF!</v>
      </c>
      <c r="F394" s="35" t="e">
        <f>IF(C394&gt;C395," Increase"," Decrease")</f>
        <v>#REF!</v>
      </c>
      <c r="G394" s="117" t="e">
        <f>IF((C394+(C394*E394))=C392,"PASS","FAIL")</f>
        <v>#REF!</v>
      </c>
      <c r="H394" s="427"/>
      <c r="I394" s="428"/>
      <c r="J394" s="428"/>
      <c r="K394" s="428"/>
      <c r="L394" s="429"/>
    </row>
    <row r="395" spans="1:13">
      <c r="A395"/>
      <c r="B395"/>
      <c r="C395" s="39"/>
      <c r="D395"/>
      <c r="E395"/>
      <c r="F395"/>
      <c r="G395"/>
      <c r="H395"/>
      <c r="I395"/>
      <c r="J395"/>
      <c r="K395"/>
      <c r="L395"/>
      <c r="M395"/>
    </row>
    <row r="396" spans="1:13">
      <c r="A396" t="s">
        <v>338</v>
      </c>
      <c r="B396"/>
      <c r="C396" t="e">
        <f>CONCATENATE("Variance in Earnings:  ",H393,"  &amp;  ",H392)</f>
        <v>#REF!</v>
      </c>
      <c r="D396"/>
      <c r="E396"/>
      <c r="F396"/>
      <c r="G396"/>
      <c r="H396"/>
      <c r="I396"/>
      <c r="J396"/>
      <c r="K396"/>
      <c r="L396"/>
      <c r="M396"/>
    </row>
    <row r="397" spans="1:13">
      <c r="A397"/>
      <c r="B397"/>
      <c r="C397" s="39"/>
      <c r="D397"/>
      <c r="E397"/>
      <c r="F397"/>
      <c r="G397"/>
      <c r="H397"/>
      <c r="I397"/>
      <c r="J397"/>
      <c r="K397"/>
      <c r="L397"/>
      <c r="M397"/>
    </row>
    <row r="398" spans="1:13">
      <c r="A398" s="434" t="e">
        <f>CONCATENATE("STATISTICS  —  CALCULATIONS FOR ",#REF!," EARNINGS")</f>
        <v>#REF!</v>
      </c>
      <c r="B398" s="435"/>
      <c r="C398" s="435"/>
      <c r="D398" s="435"/>
      <c r="E398" s="435"/>
      <c r="F398" s="435"/>
      <c r="G398" s="435"/>
      <c r="H398" s="435"/>
      <c r="I398" s="435"/>
      <c r="J398" s="435"/>
      <c r="K398" s="435"/>
      <c r="L398" s="435"/>
      <c r="M398" s="436"/>
    </row>
    <row r="399" spans="1:13">
      <c r="A399"/>
      <c r="B399"/>
      <c r="C399"/>
      <c r="D399"/>
      <c r="E399"/>
      <c r="F399"/>
      <c r="G399"/>
      <c r="H399"/>
      <c r="I399"/>
      <c r="J399"/>
      <c r="K399"/>
      <c r="L399"/>
      <c r="M399"/>
    </row>
    <row r="400" spans="1:13">
      <c r="A400" s="423" t="e">
        <f>CONCATENATE("Pay Type #3 -- ",#REF!)</f>
        <v>#REF!</v>
      </c>
      <c r="B400" s="424"/>
      <c r="C400" s="424"/>
      <c r="D400" s="424"/>
      <c r="E400" s="424"/>
      <c r="F400" s="424"/>
      <c r="G400" s="425"/>
      <c r="H400" s="423" t="s">
        <v>244</v>
      </c>
      <c r="I400" s="424"/>
      <c r="J400" s="425"/>
      <c r="K400" s="423" t="s">
        <v>245</v>
      </c>
      <c r="L400" s="424"/>
      <c r="M400" s="425"/>
    </row>
    <row r="401" spans="1:13">
      <c r="A401" s="87" t="s">
        <v>246</v>
      </c>
      <c r="B401" s="87" t="s">
        <v>164</v>
      </c>
      <c r="C401" s="87" t="s">
        <v>247</v>
      </c>
      <c r="D401" s="87" t="s">
        <v>248</v>
      </c>
      <c r="E401" s="87" t="s">
        <v>5</v>
      </c>
      <c r="F401" s="87" t="s">
        <v>4</v>
      </c>
      <c r="G401" s="87" t="s">
        <v>1</v>
      </c>
      <c r="H401" s="87" t="s">
        <v>154</v>
      </c>
      <c r="I401" s="87" t="s">
        <v>4</v>
      </c>
      <c r="J401" s="87" t="s">
        <v>5</v>
      </c>
      <c r="K401" s="87" t="s">
        <v>249</v>
      </c>
      <c r="L401" s="87" t="s">
        <v>250</v>
      </c>
      <c r="M401" s="87" t="s">
        <v>251</v>
      </c>
    </row>
    <row r="402" spans="1:13">
      <c r="A402" s="88" t="b">
        <v>0</v>
      </c>
      <c r="B402" s="89" t="e">
        <f>#REF!</f>
        <v>#REF!</v>
      </c>
      <c r="C402" s="90" t="e">
        <f>#REF!</f>
        <v>#REF!</v>
      </c>
      <c r="D402" s="90" t="e">
        <f>#REF!</f>
        <v>#REF!</v>
      </c>
      <c r="E402" s="91" t="e">
        <f>#REF!</f>
        <v>#REF!</v>
      </c>
      <c r="F402" s="92" t="e">
        <f>IF(OR(E402="",E402=0),"",ROUND((((D402-C402)+1)/365)*12,1))</f>
        <v>#REF!</v>
      </c>
      <c r="G402" s="93" t="e">
        <f>IF(OR(E402="",E402=0),"",ROUND(E402/F402,0))</f>
        <v>#REF!</v>
      </c>
      <c r="H402" s="93">
        <f>IF(A402=TRUE,E402,0)</f>
        <v>0</v>
      </c>
      <c r="I402" s="118">
        <f>IF(A402=TRUE,F402,0)</f>
        <v>0</v>
      </c>
      <c r="J402" s="93">
        <f>IF(OR(A402=FALSE,H402=0,I402=0),0,ROUND(H402/I402,0))</f>
        <v>0</v>
      </c>
      <c r="K402" s="92" t="e">
        <f>IF(OR(G402="",G402=0,G403="",G403=0),100,IF(G402&gt;G403,((G402-G403)/G403)*100,((G403-G402)/G403)*100))</f>
        <v>#REF!</v>
      </c>
      <c r="L402" s="54" t="e">
        <f>IF(G402&gt;G403,"Increase","Decrease")</f>
        <v>#REF!</v>
      </c>
      <c r="M402" s="54" t="e">
        <f>IF(AND(A402=TRUE,E402&gt;0),TRUE,FALSE)</f>
        <v>#REF!</v>
      </c>
    </row>
    <row r="403" spans="1:13">
      <c r="A403" s="57" t="b">
        <v>0</v>
      </c>
      <c r="B403" s="89" t="e">
        <f>#REF!</f>
        <v>#REF!</v>
      </c>
      <c r="C403" s="90" t="e">
        <f>#REF!</f>
        <v>#REF!</v>
      </c>
      <c r="D403" s="90" t="e">
        <f>#REF!</f>
        <v>#REF!</v>
      </c>
      <c r="E403" s="91" t="e">
        <f>#REF!</f>
        <v>#REF!</v>
      </c>
      <c r="F403" s="92" t="e">
        <f>IF(OR(E403="",E403=0),"",ROUND((((D403-C403)+1)/365)*12,1))</f>
        <v>#REF!</v>
      </c>
      <c r="G403" s="93" t="e">
        <f>IF(OR(E403="",E403=0),"",ROUND(E403/F403,0))</f>
        <v>#REF!</v>
      </c>
      <c r="H403" s="93">
        <f>IF(A403=TRUE,E403,0)</f>
        <v>0</v>
      </c>
      <c r="I403" s="118">
        <f>IF(A403=TRUE,F403,0)</f>
        <v>0</v>
      </c>
      <c r="J403" s="93">
        <f>IF(OR(A403=FALSE,H403=0,I403=0),0,ROUND(H403/I403,0))</f>
        <v>0</v>
      </c>
      <c r="K403" s="92" t="e">
        <f>IF(OR(G403="",G403=0,G404="",G404=0),100,IF(G403&gt;G404,((G403-G404)/G404)*100,((G404-G403)/G404)*100))</f>
        <v>#REF!</v>
      </c>
      <c r="L403" s="54" t="e">
        <f>IF(G403&gt;G404,"Increase","Decrease")</f>
        <v>#REF!</v>
      </c>
      <c r="M403" s="54" t="e">
        <f>IF(AND(A403=TRUE,E403&gt;0),TRUE,FALSE)</f>
        <v>#REF!</v>
      </c>
    </row>
    <row r="404" spans="1:13">
      <c r="A404" s="57" t="b">
        <v>0</v>
      </c>
      <c r="B404" s="89" t="e">
        <f>#REF!</f>
        <v>#REF!</v>
      </c>
      <c r="C404" s="90" t="e">
        <f>#REF!</f>
        <v>#REF!</v>
      </c>
      <c r="D404" s="90" t="e">
        <f>#REF!</f>
        <v>#REF!</v>
      </c>
      <c r="E404" s="91" t="e">
        <f>#REF!</f>
        <v>#REF!</v>
      </c>
      <c r="F404" s="92" t="e">
        <f>IF(OR(E404="",E404=0),"",ROUND((((D404-C404)+1)/365)*12,1))</f>
        <v>#REF!</v>
      </c>
      <c r="G404" s="93" t="e">
        <f>IF(OR(E404="",E404=0),"",ROUND(E404/F404,0))</f>
        <v>#REF!</v>
      </c>
      <c r="H404" s="93">
        <f>IF(A404=TRUE,E404,0)</f>
        <v>0</v>
      </c>
      <c r="I404" s="118">
        <f>IF(A404=TRUE,F404,0)</f>
        <v>0</v>
      </c>
      <c r="J404" s="93">
        <f>IF(OR(A404=FALSE,H404=0,I404=0),0,ROUND(H404/I404,0))</f>
        <v>0</v>
      </c>
      <c r="K404" s="92" t="e">
        <f>IF(OR(G402="",G402=0,G404="",G404=0),100,IF(G402&gt;G404,((G402-G404)/G404)*100,((G404-G402)/G404)*100))</f>
        <v>#REF!</v>
      </c>
      <c r="L404" s="54" t="e">
        <f>IF(G402&gt;G404,"Increase","Decrease")</f>
        <v>#REF!</v>
      </c>
      <c r="M404" s="54" t="e">
        <f>IF(AND(A404=TRUE,E404&gt;0),TRUE,FALSE)</f>
        <v>#REF!</v>
      </c>
    </row>
    <row r="405" spans="1:13">
      <c r="A405" s="51" t="s">
        <v>252</v>
      </c>
      <c r="B405" s="98"/>
      <c r="C405" s="99"/>
      <c r="D405" s="99"/>
      <c r="E405" s="100" t="e">
        <f>SUM(E402:E404)</f>
        <v>#REF!</v>
      </c>
      <c r="F405" s="101" t="e">
        <f>SUM(F402:F404)</f>
        <v>#REF!</v>
      </c>
      <c r="G405" s="97" t="e">
        <f>IF(F405=0,0,ROUND(E405/F405,0))</f>
        <v>#REF!</v>
      </c>
      <c r="H405" s="97" t="e">
        <f>IF(SUM(E402:E404)=0,0,ROUND(SUM(H402:H404),0))</f>
        <v>#REF!</v>
      </c>
      <c r="I405" s="119" t="e">
        <f>IF(SUM(F402:F404)=0,0,ROUND(SUM(I402:I404),1))</f>
        <v>#REF!</v>
      </c>
      <c r="J405" s="97" t="e">
        <f>IF(I405=0,0,ROUND(H405/I405,0))</f>
        <v>#REF!</v>
      </c>
      <c r="K405" s="99"/>
      <c r="L405" s="99"/>
      <c r="M405" s="99"/>
    </row>
    <row r="406" spans="1:13">
      <c r="A406"/>
      <c r="B406" s="83"/>
      <c r="C406" s="112"/>
      <c r="D406" s="113"/>
      <c r="E406"/>
      <c r="F406"/>
      <c r="G406"/>
      <c r="H406"/>
      <c r="I406"/>
      <c r="J406"/>
      <c r="K406"/>
      <c r="L406"/>
      <c r="M406"/>
    </row>
    <row r="407" spans="1:13">
      <c r="A407" s="434" t="e">
        <f>CONCATENATE("STATISTICS  —  VARIANCES IN ",#REF!," EARNINGS")</f>
        <v>#REF!</v>
      </c>
      <c r="B407" s="435"/>
      <c r="C407" s="435"/>
      <c r="D407" s="435"/>
      <c r="E407" s="435"/>
      <c r="F407" s="435"/>
      <c r="G407" s="435"/>
      <c r="H407" s="435"/>
      <c r="I407" s="435"/>
      <c r="J407" s="435"/>
      <c r="K407" s="435"/>
      <c r="L407" s="435"/>
      <c r="M407" s="436"/>
    </row>
    <row r="408" spans="1:13">
      <c r="A408"/>
      <c r="B408" s="83"/>
      <c r="C408" s="112"/>
      <c r="D408" s="113"/>
      <c r="E408"/>
      <c r="F408"/>
      <c r="G408"/>
      <c r="H408"/>
      <c r="I408"/>
      <c r="J408"/>
      <c r="K408"/>
      <c r="L408"/>
      <c r="M408"/>
    </row>
    <row r="409" spans="1:13">
      <c r="A409" s="437"/>
      <c r="B409" s="437"/>
      <c r="C409" s="114" t="s">
        <v>276</v>
      </c>
      <c r="D409" s="115" t="s">
        <v>277</v>
      </c>
      <c r="E409" s="115" t="s">
        <v>278</v>
      </c>
      <c r="F409" s="247" t="s">
        <v>2</v>
      </c>
      <c r="G409" s="115" t="s">
        <v>279</v>
      </c>
      <c r="H409" s="438" t="s">
        <v>227</v>
      </c>
      <c r="I409" s="439"/>
      <c r="J409" s="439"/>
      <c r="K409" s="439"/>
      <c r="L409" s="440"/>
    </row>
    <row r="410" spans="1:13">
      <c r="A410" s="427" t="e">
        <f>CONCATENATE(" Total ",B402," YTD")</f>
        <v>#REF!</v>
      </c>
      <c r="B410" s="429"/>
      <c r="C410" s="102" t="e">
        <f>IF(OR(G402=0,G402=""),0,G402)</f>
        <v>#REF!</v>
      </c>
      <c r="D410" s="102" t="e">
        <f>ABS(C410-C411)</f>
        <v>#REF!</v>
      </c>
      <c r="E410" s="116" t="e">
        <f>IF(C411=0,100%,D410/C411)</f>
        <v>#REF!</v>
      </c>
      <c r="F410" s="35" t="e">
        <f>IF(C410&gt;C411," Increase"," Decrease")</f>
        <v>#REF!</v>
      </c>
      <c r="G410" s="117" t="e">
        <f>IF((C411+(C411*E410))=C410,"PASS","FAIL")</f>
        <v>#REF!</v>
      </c>
      <c r="H410" s="427" t="e">
        <f>IF(C410=""," ",IF(AND(C411=0,C410=0),CONCATENATE(B403," to ",B402," = N/A"),IF(AND(C411=0,C410&gt;0),CONCATENATE(B403," to ",B402," = 100% Increase"),IF(AND(C411&gt;0,C410=0),CONCATENATE(B403," to ",B402," = 100% Decrease"),IF(AND(C411&gt;0,C410&gt;0),CONCATENATE(B403," to ",B402," = ",TEXT(E410,"###.0%"),F410))))))</f>
        <v>#REF!</v>
      </c>
      <c r="I410" s="428"/>
      <c r="J410" s="428"/>
      <c r="K410" s="428"/>
      <c r="L410" s="429"/>
    </row>
    <row r="411" spans="1:13">
      <c r="A411" s="427" t="e">
        <f>CONCATENATE(" Total ",B403)</f>
        <v>#REF!</v>
      </c>
      <c r="B411" s="429"/>
      <c r="C411" s="102" t="e">
        <f>IF(OR(G403=0,G403=""),0,G403)</f>
        <v>#REF!</v>
      </c>
      <c r="D411" s="102" t="e">
        <f>ABS(C411-C412)</f>
        <v>#REF!</v>
      </c>
      <c r="E411" s="116" t="e">
        <f>IF(C412=0,100%,D411/C412)</f>
        <v>#REF!</v>
      </c>
      <c r="F411" s="35" t="e">
        <f>IF(C411&gt;C412," Increase"," Decrease")</f>
        <v>#REF!</v>
      </c>
      <c r="G411" s="117" t="e">
        <f>IF((C412+(C412*E411))=C411,"PASS","FAIL")</f>
        <v>#REF!</v>
      </c>
      <c r="H411" s="427" t="e">
        <f>IF(C411=""," ",IF(AND(C412=0,C411=0),CONCATENATE(B404," to ",B403," = Undetermined"),IF(AND(C412=0,C411&gt;0),CONCATENATE(B404," to ",B403," = 100% Increase"),IF(AND(C412&gt;0,C411=0),CONCATENATE(B404," to ",B403," = 100% Decrease"),IF(AND(C412&gt;0,C411&gt;0),CONCATENATE(B404," to ",B403," = ",TEXT(E411,"###.0%"),F411))))))</f>
        <v>#REF!</v>
      </c>
      <c r="I411" s="428"/>
      <c r="J411" s="428"/>
      <c r="K411" s="428"/>
      <c r="L411" s="429"/>
    </row>
    <row r="412" spans="1:13">
      <c r="A412" s="427" t="str">
        <f>CONCATENATE(" Total ",B2503)</f>
        <v>Total</v>
      </c>
      <c r="B412" s="429"/>
      <c r="C412" s="102" t="e">
        <f>IF(OR(G404=0,G404=""),0,G404)</f>
        <v>#REF!</v>
      </c>
      <c r="D412" s="102" t="e">
        <f>ABS(C410-C412)</f>
        <v>#REF!</v>
      </c>
      <c r="E412" s="116" t="e">
        <f>IF(C412=0,100%,D412/C412)</f>
        <v>#REF!</v>
      </c>
      <c r="F412" s="35" t="e">
        <f>IF(C412&gt;C413," Increase"," Decrease")</f>
        <v>#REF!</v>
      </c>
      <c r="G412" s="117" t="e">
        <f>IF((C412+(C412*E412))=C410,"PASS","FAIL")</f>
        <v>#REF!</v>
      </c>
      <c r="H412" s="427"/>
      <c r="I412" s="428"/>
      <c r="J412" s="428"/>
      <c r="K412" s="428"/>
      <c r="L412" s="429"/>
    </row>
    <row r="413" spans="1:13">
      <c r="A413"/>
      <c r="B413"/>
      <c r="C413" s="39"/>
      <c r="D413"/>
      <c r="E413"/>
      <c r="F413"/>
      <c r="G413"/>
      <c r="H413"/>
      <c r="I413"/>
      <c r="J413"/>
      <c r="K413"/>
      <c r="L413"/>
      <c r="M413"/>
    </row>
    <row r="414" spans="1:13">
      <c r="A414" t="s">
        <v>338</v>
      </c>
      <c r="B414"/>
      <c r="C414" t="e">
        <f>CONCATENATE("Variance in Earnings:  ",H411,"  &amp;  ",H410)</f>
        <v>#REF!</v>
      </c>
      <c r="D414"/>
      <c r="E414"/>
      <c r="F414"/>
      <c r="G414"/>
      <c r="H414"/>
      <c r="I414"/>
      <c r="J414"/>
      <c r="K414"/>
      <c r="L414"/>
    </row>
    <row r="415" spans="1:13">
      <c r="A415"/>
      <c r="B415" s="83"/>
      <c r="C415" s="112"/>
      <c r="D415" s="113"/>
      <c r="E415"/>
      <c r="F415"/>
      <c r="G415"/>
      <c r="H415"/>
      <c r="I415"/>
      <c r="J415"/>
      <c r="K415"/>
      <c r="L415"/>
      <c r="M415"/>
    </row>
    <row r="416" spans="1:13">
      <c r="A416" s="434" t="s">
        <v>270</v>
      </c>
      <c r="B416" s="435"/>
      <c r="C416" s="435"/>
      <c r="D416" s="435"/>
      <c r="E416" s="435"/>
      <c r="F416" s="435"/>
      <c r="G416" s="435"/>
      <c r="H416" s="435"/>
      <c r="I416" s="435"/>
      <c r="J416" s="435"/>
      <c r="K416" s="435"/>
      <c r="L416" s="435"/>
      <c r="M416" s="436"/>
    </row>
    <row r="417" spans="1:13">
      <c r="A417"/>
      <c r="B417"/>
      <c r="C417"/>
      <c r="D417"/>
      <c r="E417"/>
      <c r="F417"/>
      <c r="G417"/>
      <c r="H417"/>
      <c r="I417"/>
      <c r="J417"/>
      <c r="K417"/>
      <c r="L417"/>
      <c r="M417"/>
    </row>
    <row r="418" spans="1:13">
      <c r="A418" t="s">
        <v>271</v>
      </c>
      <c r="B418"/>
      <c r="C418"/>
      <c r="D418" s="86" t="e">
        <f>G282</f>
        <v>#REF!</v>
      </c>
      <c r="E418"/>
      <c r="F418" t="e">
        <f>IF(OR(D271=A262,D271=A263,D271=A265),CONCATENATE("total average earnings for the past ",I282," months"),"(lower of Current Rate or YTD avg, or explanation provided)")</f>
        <v>#REF!</v>
      </c>
      <c r="G418"/>
      <c r="H418"/>
      <c r="I418"/>
      <c r="J418"/>
      <c r="K418"/>
      <c r="L418"/>
      <c r="M418"/>
    </row>
    <row r="419" spans="1:13">
      <c r="A419" t="s">
        <v>272</v>
      </c>
      <c r="B419"/>
      <c r="C419"/>
      <c r="D419" s="86">
        <f>IF(K301=0,0,IF(D303=TRUE,K301,0))</f>
        <v>0</v>
      </c>
      <c r="E419"/>
      <c r="F419"/>
      <c r="G419"/>
      <c r="H419"/>
      <c r="I419"/>
      <c r="J419"/>
      <c r="K419"/>
      <c r="L419"/>
      <c r="M419"/>
    </row>
    <row r="420" spans="1:13">
      <c r="A420" t="s">
        <v>274</v>
      </c>
      <c r="B420"/>
      <c r="C420"/>
      <c r="D420" s="86" t="e">
        <f>D418-D419</f>
        <v>#REF!</v>
      </c>
      <c r="E420"/>
      <c r="F420"/>
      <c r="G420"/>
      <c r="H420"/>
      <c r="I420"/>
      <c r="J420"/>
      <c r="K420"/>
      <c r="L420"/>
      <c r="M420"/>
    </row>
    <row r="421" spans="1:13">
      <c r="A421"/>
      <c r="B421"/>
      <c r="C421"/>
      <c r="D421" s="86"/>
      <c r="E421"/>
      <c r="F421"/>
      <c r="G421"/>
      <c r="H421"/>
      <c r="I421"/>
      <c r="J421"/>
      <c r="K421"/>
      <c r="L421"/>
      <c r="M421"/>
    </row>
    <row r="422" spans="1:13">
      <c r="A422" t="e">
        <f>CONCATENATE(" Total ",A364)</f>
        <v>#REF!</v>
      </c>
      <c r="B422"/>
      <c r="C422"/>
      <c r="D422" s="86" t="b">
        <v>0</v>
      </c>
      <c r="E422"/>
      <c r="F422"/>
      <c r="G422"/>
      <c r="H422"/>
      <c r="I422"/>
      <c r="J422"/>
      <c r="K422"/>
      <c r="L422"/>
      <c r="M422"/>
    </row>
    <row r="423" spans="1:13">
      <c r="A423" t="e">
        <f>CONCATENATE(" Total ",A364)</f>
        <v>#REF!</v>
      </c>
      <c r="B423"/>
      <c r="C423"/>
      <c r="D423" s="86">
        <f>IF(D422=TRUE,J369,0)</f>
        <v>0</v>
      </c>
      <c r="E423"/>
      <c r="F423" t="e">
        <f>IF(AND(#REF!&lt;&gt;"",I369&lt;&gt;0),CONCATENATE(" Additional ",#REF!," Earnings"),CONCATENATE(" Total ",I369," Months Average Monthly ",PROPER(#REF!)," Earnings"))</f>
        <v>#REF!</v>
      </c>
      <c r="G423"/>
      <c r="H423"/>
      <c r="I423"/>
      <c r="J423"/>
      <c r="K423"/>
      <c r="L423"/>
      <c r="M423"/>
    </row>
    <row r="424" spans="1:13">
      <c r="A424"/>
      <c r="B424"/>
      <c r="C424"/>
      <c r="D424" s="86"/>
      <c r="E424"/>
      <c r="F424"/>
      <c r="G424"/>
      <c r="H424"/>
      <c r="I424"/>
      <c r="J424"/>
      <c r="K424"/>
      <c r="L424"/>
      <c r="M424"/>
    </row>
    <row r="425" spans="1:13">
      <c r="A425" t="e">
        <f>CONCATENATE(" Total ",A382)</f>
        <v>#REF!</v>
      </c>
      <c r="B425"/>
      <c r="C425"/>
      <c r="D425" s="86" t="b">
        <v>0</v>
      </c>
      <c r="E425"/>
      <c r="F425"/>
      <c r="G425"/>
      <c r="H425"/>
      <c r="I425"/>
      <c r="J425"/>
      <c r="K425"/>
      <c r="L425"/>
      <c r="M425"/>
    </row>
    <row r="426" spans="1:13">
      <c r="A426" t="e">
        <f>CONCATENATE(" Total ",A382)</f>
        <v>#REF!</v>
      </c>
      <c r="B426"/>
      <c r="C426"/>
      <c r="D426" s="86">
        <f>IF(D425=TRUE,J387,0)</f>
        <v>0</v>
      </c>
      <c r="E426"/>
      <c r="F426" t="e">
        <f>IF(AND(#REF!&lt;&gt;"",I387&lt;&gt;0),CONCATENATE(" Additional ",#REF!," Earnings"),CONCATENATE(" Total ",I387," Months Average Monthly ",PROPER(#REF!)," Earnings"))</f>
        <v>#REF!</v>
      </c>
      <c r="G426"/>
      <c r="H426"/>
      <c r="I426"/>
      <c r="J426"/>
      <c r="K426"/>
      <c r="L426"/>
      <c r="M426"/>
    </row>
    <row r="427" spans="1:13">
      <c r="A427"/>
      <c r="B427"/>
      <c r="C427"/>
      <c r="D427" s="86"/>
      <c r="E427"/>
      <c r="F427"/>
      <c r="G427"/>
      <c r="H427"/>
      <c r="I427"/>
      <c r="J427"/>
      <c r="K427"/>
      <c r="L427"/>
      <c r="M427"/>
    </row>
    <row r="428" spans="1:13">
      <c r="A428" t="e">
        <f>CONCATENATE(" Total ",A400)</f>
        <v>#REF!</v>
      </c>
      <c r="B428"/>
      <c r="C428"/>
      <c r="D428" s="86" t="b">
        <v>0</v>
      </c>
      <c r="E428"/>
      <c r="F428"/>
      <c r="G428"/>
      <c r="H428"/>
      <c r="I428"/>
      <c r="J428"/>
      <c r="K428"/>
      <c r="L428"/>
      <c r="M428"/>
    </row>
    <row r="429" spans="1:13">
      <c r="A429" t="e">
        <f>CONCATENATE(" Total ",A400)</f>
        <v>#REF!</v>
      </c>
      <c r="B429"/>
      <c r="C429"/>
      <c r="D429" s="86">
        <f>IF(D428=TRUE,J405,0)</f>
        <v>0</v>
      </c>
      <c r="E429"/>
      <c r="F429" t="e">
        <f>IF(AND(#REF!&lt;&gt;"",I405&lt;&gt;0),CONCATENATE(" Additional ",#REF!," Earnings"),CONCATENATE(" Total ",I405," Months Average Monthly ",PROPER(#REF!)," Earnings"))</f>
        <v>#REF!</v>
      </c>
      <c r="G429"/>
      <c r="H429"/>
      <c r="I429"/>
      <c r="J429"/>
      <c r="K429"/>
      <c r="L429"/>
      <c r="M429"/>
    </row>
    <row r="430" spans="1:13">
      <c r="A430"/>
      <c r="B430"/>
      <c r="C430"/>
      <c r="D430" s="86"/>
      <c r="E430"/>
      <c r="F430"/>
      <c r="G430"/>
      <c r="H430"/>
      <c r="I430"/>
      <c r="J430"/>
      <c r="K430"/>
      <c r="L430"/>
      <c r="M430"/>
    </row>
    <row r="431" spans="1:13">
      <c r="A431" t="s">
        <v>273</v>
      </c>
      <c r="B431"/>
      <c r="C431"/>
      <c r="D431" s="86" t="e">
        <f>#REF!</f>
        <v>#REF!</v>
      </c>
      <c r="E431"/>
      <c r="F431"/>
      <c r="G431"/>
      <c r="H431"/>
      <c r="I431"/>
      <c r="J431"/>
      <c r="K431"/>
      <c r="L431"/>
      <c r="M431"/>
    </row>
    <row r="432" spans="1:13">
      <c r="A432"/>
      <c r="B432"/>
      <c r="C432"/>
      <c r="D432"/>
      <c r="E432"/>
      <c r="F432"/>
      <c r="G432"/>
      <c r="H432"/>
      <c r="I432"/>
      <c r="J432"/>
      <c r="K432"/>
      <c r="L432"/>
      <c r="M432"/>
    </row>
    <row r="433" spans="1:13">
      <c r="A433" t="s">
        <v>339</v>
      </c>
      <c r="B433" s="83"/>
      <c r="C433" s="112"/>
      <c r="D433" s="86" t="e">
        <f>D420+D423+D426+D429+D431</f>
        <v>#REF!</v>
      </c>
      <c r="E433"/>
      <c r="F433"/>
      <c r="G433"/>
      <c r="H433"/>
      <c r="I433"/>
      <c r="J433"/>
      <c r="K433"/>
      <c r="L433"/>
      <c r="M433"/>
    </row>
    <row r="434" spans="1:13">
      <c r="A434"/>
      <c r="B434" s="83"/>
      <c r="C434" s="112"/>
      <c r="D434" s="113"/>
      <c r="E434"/>
      <c r="F434"/>
      <c r="G434"/>
      <c r="H434"/>
      <c r="I434"/>
      <c r="J434"/>
      <c r="K434"/>
      <c r="L434"/>
      <c r="M434"/>
    </row>
    <row r="435" spans="1:13">
      <c r="A435" s="441" t="s">
        <v>319</v>
      </c>
      <c r="B435" s="441"/>
      <c r="C435" s="441"/>
      <c r="D435" s="441"/>
      <c r="E435" s="441"/>
      <c r="F435" s="441"/>
      <c r="G435" s="441"/>
      <c r="H435" s="441"/>
      <c r="I435" s="441"/>
      <c r="J435" s="441"/>
      <c r="K435" s="441"/>
      <c r="L435"/>
      <c r="M435"/>
    </row>
    <row r="436" spans="1:13">
      <c r="A436"/>
      <c r="B436" s="83"/>
      <c r="C436" s="112"/>
      <c r="D436" s="113"/>
      <c r="E436"/>
      <c r="F436"/>
      <c r="G436"/>
      <c r="H436"/>
      <c r="I436"/>
      <c r="J436"/>
      <c r="K436"/>
      <c r="L436"/>
      <c r="M436"/>
    </row>
    <row r="437" spans="1:13">
      <c r="A437" t="s">
        <v>320</v>
      </c>
      <c r="B437" s="83"/>
      <c r="C437" s="112"/>
      <c r="D437" t="e">
        <f>VLOOKUP(TRUE,C312:D315,2,FALSE)</f>
        <v>#N/A</v>
      </c>
      <c r="E437"/>
      <c r="F437"/>
      <c r="G437"/>
      <c r="H437"/>
      <c r="I437"/>
      <c r="J437"/>
      <c r="K437"/>
      <c r="L437"/>
      <c r="M437"/>
    </row>
    <row r="438" spans="1:13">
      <c r="A438"/>
      <c r="B438" s="83"/>
      <c r="C438" s="112"/>
      <c r="D438"/>
      <c r="E438"/>
      <c r="F438"/>
      <c r="G438"/>
      <c r="H438"/>
      <c r="I438"/>
      <c r="J438"/>
      <c r="K438"/>
      <c r="L438"/>
      <c r="M438"/>
    </row>
    <row r="439" spans="1:13">
      <c r="A439" t="s">
        <v>321</v>
      </c>
      <c r="B439" s="83"/>
      <c r="C439" s="112"/>
      <c r="D439" t="e">
        <f>IF(AND(D440=FALSE,D441=FALSE,D442=FALSE,D443=FALSE,D444=FALSE,D445=FALSE),TRUE,FALSE)</f>
        <v>#REF!</v>
      </c>
      <c r="E439" t="s">
        <v>322</v>
      </c>
      <c r="F439"/>
      <c r="G439"/>
      <c r="H439"/>
      <c r="I439"/>
      <c r="J439"/>
      <c r="K439"/>
      <c r="L439"/>
      <c r="M439"/>
    </row>
    <row r="440" spans="1:13">
      <c r="A440" s="123" t="s">
        <v>323</v>
      </c>
      <c r="B440" s="83"/>
      <c r="C440" s="112"/>
      <c r="D440" t="b">
        <f>IF(D275=TRUE,TRUE,FALSE)</f>
        <v>1</v>
      </c>
      <c r="E440" t="s">
        <v>324</v>
      </c>
      <c r="F440"/>
      <c r="G440"/>
      <c r="H440"/>
      <c r="I440"/>
      <c r="J440"/>
      <c r="K440"/>
      <c r="L440"/>
      <c r="M440"/>
    </row>
    <row r="441" spans="1:13">
      <c r="A441" s="123" t="s">
        <v>0</v>
      </c>
      <c r="B441" s="83"/>
      <c r="C441" s="112"/>
      <c r="D441" t="e">
        <f>IF(AND(D275=FALSE,D274&gt;0,D418&gt;0,D418=D274),TRUE,FALSE)</f>
        <v>#REF!</v>
      </c>
      <c r="E441" t="s">
        <v>325</v>
      </c>
      <c r="F441"/>
      <c r="G441"/>
      <c r="H441"/>
      <c r="I441"/>
      <c r="J441"/>
      <c r="K441"/>
      <c r="L441"/>
      <c r="M441"/>
    </row>
    <row r="442" spans="1:13">
      <c r="A442" s="123" t="s">
        <v>326</v>
      </c>
      <c r="B442" s="83"/>
      <c r="C442" s="112"/>
      <c r="D442" t="e">
        <f>IF(AND(D275&lt;&gt;FALSE,D418&lt;D274),TRUE,FALSE)</f>
        <v>#REF!</v>
      </c>
      <c r="E442" t="s">
        <v>327</v>
      </c>
      <c r="F442"/>
      <c r="G442"/>
      <c r="H442"/>
      <c r="I442"/>
      <c r="J442"/>
      <c r="K442"/>
      <c r="L442"/>
      <c r="M442"/>
    </row>
    <row r="443" spans="1:13">
      <c r="A443" s="123" t="s">
        <v>328</v>
      </c>
      <c r="B443" s="83"/>
      <c r="C443" s="112"/>
      <c r="D443" t="e">
        <f>IF(AND(M279=TRUE,M280=TRUE,M281=TRUE,OR(D271="Part-Time",D271="Varies",D271="Varies / Averaged",D271="Seasonal")),TRUE,FALSE)</f>
        <v>#REF!</v>
      </c>
      <c r="E443" t="e">
        <f>CONCATENATE("Total qualifying income determined with earnings averaged from YTD ",B279,", Year ",B280,", and Year ",B281,".")</f>
        <v>#REF!</v>
      </c>
      <c r="F443"/>
      <c r="G443"/>
      <c r="H443"/>
      <c r="I443"/>
      <c r="J443"/>
      <c r="K443"/>
      <c r="L443"/>
      <c r="M443"/>
    </row>
    <row r="444" spans="1:13">
      <c r="A444" s="123" t="s">
        <v>329</v>
      </c>
      <c r="B444" s="83"/>
      <c r="C444" s="112"/>
      <c r="D444" t="e">
        <f>IF(AND(M279=TRUE,M280=TRUE,M281=FALSE,OR(D271="Part-Time",D271="Varies",D271="Varies / Averaged",D271="Seasonal")),TRUE,FALSE)</f>
        <v>#REF!</v>
      </c>
      <c r="E444" t="e">
        <f>CONCATENATE("Total qualifying income determined with earnings averaged from YTD ",B279,", and Year ",B280,".")</f>
        <v>#REF!</v>
      </c>
      <c r="F444"/>
      <c r="G444"/>
      <c r="H444"/>
      <c r="I444"/>
      <c r="J444"/>
      <c r="K444"/>
      <c r="L444"/>
      <c r="M444"/>
    </row>
    <row r="445" spans="1:13">
      <c r="A445" s="123" t="s">
        <v>330</v>
      </c>
      <c r="B445" s="83"/>
      <c r="C445" s="112"/>
      <c r="D445" t="e">
        <f>IF(AND(M279=TRUE,M280=FALSE,M281=FALSE,OR(D271="Part-Time",D271="Varies",D271="Varies / Averaged",D271="Seasonal")),TRUE,FALSE)</f>
        <v>#REF!</v>
      </c>
      <c r="E445" t="e">
        <f>CONCATENATE("Total qualifying income determined with earnings averaged from YTD ",B279,".")</f>
        <v>#REF!</v>
      </c>
      <c r="F445"/>
      <c r="G445"/>
      <c r="H445"/>
      <c r="I445"/>
      <c r="J445"/>
      <c r="K445"/>
      <c r="L445"/>
      <c r="M445"/>
    </row>
    <row r="446" spans="1:13">
      <c r="A446"/>
      <c r="B446" s="83"/>
      <c r="C446" s="112"/>
      <c r="D446"/>
      <c r="E446"/>
      <c r="F446"/>
      <c r="G446"/>
      <c r="H446"/>
      <c r="I446"/>
      <c r="J446"/>
      <c r="K446"/>
      <c r="L446"/>
      <c r="M446"/>
    </row>
    <row r="447" spans="1:13">
      <c r="A447" t="s">
        <v>331</v>
      </c>
      <c r="B447"/>
      <c r="C447"/>
      <c r="D447" t="str">
        <f>IF(ISERROR(G418),"Total qualifying income to be determined.",VLOOKUP(TRUE,D439:E445,2,FALSE))</f>
        <v>Total qualifying income determined on current pay rate even if not supported with YTD earnings (may be due to pay increase earlier this year, or time off taken without pay, etc.). LOE required.</v>
      </c>
      <c r="E447"/>
      <c r="F447"/>
      <c r="G447"/>
      <c r="H447"/>
      <c r="I447"/>
      <c r="J447"/>
      <c r="K447"/>
      <c r="L447"/>
      <c r="M447"/>
    </row>
    <row r="448" spans="1:13">
      <c r="A448"/>
      <c r="B448"/>
      <c r="C448"/>
      <c r="D448"/>
      <c r="E448"/>
      <c r="F448"/>
      <c r="G448"/>
      <c r="H448"/>
      <c r="I448"/>
      <c r="J448"/>
      <c r="K448"/>
      <c r="L448"/>
      <c r="M448"/>
    </row>
    <row r="449" spans="1:13">
      <c r="A449" t="s">
        <v>332</v>
      </c>
      <c r="B449"/>
      <c r="C449"/>
      <c r="D449" t="e">
        <f>IF(ISERROR(G418),"Total qualifying income to be determined.",IF(AND(E279=0,E280=0,E281=0),"Average weekly hours worked to be determined.",IF(OR(D269=0,D269="",D271=A263,D271=A265),"Average weekly hours worked vary.",CONCATENATE("YTD earnings, at current rate of pay, reflect borrower is working an average of ",TEXT(D356,"##.0")," hours weekly."))))</f>
        <v>#REF!</v>
      </c>
      <c r="E449"/>
      <c r="F449"/>
      <c r="G449"/>
      <c r="H449"/>
      <c r="I449"/>
      <c r="J449"/>
      <c r="K449"/>
      <c r="L449"/>
      <c r="M449"/>
    </row>
    <row r="450" spans="1:13">
      <c r="A450"/>
      <c r="B450"/>
      <c r="C450"/>
      <c r="D450"/>
      <c r="E450"/>
      <c r="F450"/>
      <c r="G450"/>
      <c r="H450"/>
      <c r="I450"/>
      <c r="J450"/>
      <c r="K450"/>
      <c r="L450"/>
      <c r="M450"/>
    </row>
    <row r="451" spans="1:13">
      <c r="A451" t="s">
        <v>333</v>
      </c>
      <c r="B451"/>
      <c r="C451"/>
      <c r="D451" t="e">
        <f>IF(ISERROR(G418),"Total qualifying income to be determined.",IF(OR(C279="",D360=0),"Expected amount of YTD earnings to be determined.",VLOOKUP(D271,A258:E266,5,FALSE)))</f>
        <v>#REF!</v>
      </c>
      <c r="E451"/>
      <c r="F451"/>
      <c r="G451"/>
      <c r="H451"/>
      <c r="I451"/>
      <c r="J451"/>
      <c r="K451"/>
      <c r="L451"/>
      <c r="M451"/>
    </row>
    <row r="452" spans="1:13">
      <c r="A452"/>
      <c r="B452"/>
      <c r="C452"/>
      <c r="D452"/>
      <c r="E452"/>
      <c r="F452"/>
      <c r="G452"/>
      <c r="H452"/>
      <c r="I452"/>
      <c r="J452"/>
      <c r="K452"/>
      <c r="L452"/>
      <c r="M452"/>
    </row>
    <row r="453" spans="1:13">
      <c r="A453" t="s">
        <v>334</v>
      </c>
      <c r="B453" s="83"/>
      <c r="C453" s="112"/>
      <c r="D453" t="e">
        <f>IF(ISERROR(G418),"Total qualifying income to be determined.",IF(F282=0,"Total Average Base Earnings and period covered to be determined.",CONCATENATE("Total Average Base Earnings For The Past ",Data_Income!F282," Months = ",DOLLAR(ROUND(E282/F282,0),2))))</f>
        <v>#REF!</v>
      </c>
      <c r="E453"/>
      <c r="F453"/>
      <c r="G453"/>
      <c r="H453"/>
      <c r="I453"/>
      <c r="J453"/>
      <c r="K453"/>
      <c r="L453"/>
      <c r="M453"/>
    </row>
    <row r="454" spans="1:13">
      <c r="A454"/>
      <c r="B454" s="83"/>
      <c r="C454" s="112"/>
      <c r="D454" s="113"/>
      <c r="E454"/>
      <c r="F454"/>
      <c r="G454"/>
      <c r="H454"/>
      <c r="I454"/>
      <c r="J454"/>
      <c r="K454"/>
      <c r="L454"/>
      <c r="M454"/>
    </row>
    <row r="455" spans="1:13">
      <c r="A455" t="e">
        <f>IF(#REF!="~  ENTER DESCRIPTION OF ADDITIONAL EARNINGS  ~","Additional Earnings Type 1",CONCATENATE(#REF!," Earnings"))</f>
        <v>#REF!</v>
      </c>
      <c r="B455" s="83"/>
      <c r="C455" s="112"/>
      <c r="D455" s="113"/>
      <c r="E455"/>
      <c r="F455"/>
      <c r="G455"/>
      <c r="H455"/>
      <c r="I455"/>
      <c r="J455"/>
      <c r="K455"/>
      <c r="L455"/>
      <c r="M455"/>
    </row>
    <row r="456" spans="1:13">
      <c r="A456" t="s">
        <v>320</v>
      </c>
      <c r="B456" s="83"/>
      <c r="C456" s="112"/>
      <c r="D456" s="50" t="e">
        <f>IF(AND(E366=0,E367=0,E368=0),"Variances in earnings not determined.",C378)</f>
        <v>#REF!</v>
      </c>
      <c r="E456"/>
      <c r="F456"/>
      <c r="G456"/>
      <c r="H456"/>
      <c r="I456"/>
      <c r="J456"/>
      <c r="K456"/>
      <c r="L456"/>
      <c r="M456"/>
    </row>
    <row r="457" spans="1:13">
      <c r="A457"/>
      <c r="B457" s="83"/>
      <c r="C457" s="112"/>
      <c r="D457"/>
      <c r="E457"/>
      <c r="F457"/>
      <c r="G457"/>
      <c r="H457"/>
      <c r="I457"/>
      <c r="J457"/>
      <c r="K457"/>
      <c r="L457"/>
      <c r="M457"/>
    </row>
    <row r="458" spans="1:13">
      <c r="A458" t="e">
        <f>IF(#REF!="~  ENTER DESCRIPTION OF ADDITIONAL EARNINGS  ~","Additional Earnings Type 2",CONCATENATE(#REF!," Earnings"))</f>
        <v>#REF!</v>
      </c>
      <c r="B458" s="83"/>
      <c r="C458" s="112"/>
      <c r="D458"/>
      <c r="E458"/>
      <c r="F458"/>
      <c r="G458"/>
      <c r="H458"/>
      <c r="I458"/>
      <c r="J458"/>
      <c r="K458"/>
      <c r="L458"/>
      <c r="M458"/>
    </row>
    <row r="459" spans="1:13">
      <c r="A459" t="s">
        <v>320</v>
      </c>
      <c r="B459" s="83"/>
      <c r="C459" s="112"/>
      <c r="D459" t="e">
        <f>IF(AND(E384=0,E385=0,E386=0),"Variances in earnings not determined.",C396)</f>
        <v>#REF!</v>
      </c>
      <c r="E459"/>
      <c r="F459"/>
      <c r="G459"/>
      <c r="H459"/>
      <c r="I459"/>
      <c r="J459"/>
      <c r="K459"/>
      <c r="L459"/>
      <c r="M459"/>
    </row>
    <row r="460" spans="1:13">
      <c r="A460"/>
      <c r="B460" s="83"/>
      <c r="C460" s="112"/>
      <c r="D460"/>
      <c r="E460"/>
      <c r="F460"/>
      <c r="G460"/>
      <c r="H460"/>
      <c r="I460"/>
      <c r="J460"/>
      <c r="K460"/>
      <c r="L460"/>
      <c r="M460"/>
    </row>
    <row r="461" spans="1:13">
      <c r="A461" t="e">
        <f>IF(#REF!="~  ENTER DESCRIPTION OF ADDITIONAL EARNINGS  ~","Additional Earnings Type 3",CONCATENATE(#REF!," Earnings"))</f>
        <v>#REF!</v>
      </c>
      <c r="B461" s="83"/>
      <c r="C461" s="112"/>
      <c r="D461"/>
      <c r="E461"/>
      <c r="F461"/>
      <c r="G461"/>
      <c r="H461"/>
      <c r="I461"/>
      <c r="J461"/>
      <c r="K461"/>
      <c r="L461"/>
      <c r="M461"/>
    </row>
    <row r="462" spans="1:13">
      <c r="A462" t="s">
        <v>320</v>
      </c>
      <c r="B462" s="83"/>
      <c r="C462" s="112"/>
      <c r="D462" t="e">
        <f>IF(AND(E402=0,E403=0,E404=0),"Variances in earnings not determined.",C414)</f>
        <v>#REF!</v>
      </c>
      <c r="E462"/>
      <c r="F462"/>
      <c r="G462"/>
      <c r="H462"/>
      <c r="I462"/>
      <c r="J462"/>
      <c r="K462"/>
      <c r="L462"/>
      <c r="M462"/>
    </row>
    <row r="463" spans="1:13">
      <c r="A463"/>
      <c r="B463" s="83"/>
      <c r="C463" s="112"/>
      <c r="D463" s="113"/>
      <c r="E463"/>
      <c r="F463"/>
      <c r="G463"/>
      <c r="H463"/>
      <c r="I463"/>
      <c r="J463"/>
      <c r="K463"/>
      <c r="L463"/>
      <c r="M463"/>
    </row>
    <row r="464" spans="1:13" ht="18" customHeight="1">
      <c r="A464" s="419" t="s">
        <v>340</v>
      </c>
      <c r="B464" s="420"/>
      <c r="C464" s="420"/>
      <c r="D464" s="420"/>
      <c r="E464" s="420"/>
      <c r="F464" s="420"/>
      <c r="G464" s="420"/>
      <c r="H464" s="420"/>
      <c r="I464" s="420"/>
      <c r="J464" s="420"/>
      <c r="K464" s="420"/>
      <c r="L464" s="420"/>
      <c r="M464" s="421"/>
    </row>
    <row r="465" spans="1:13">
      <c r="A465"/>
      <c r="B465"/>
      <c r="C465"/>
      <c r="D465"/>
      <c r="E465"/>
      <c r="F465"/>
      <c r="G465"/>
      <c r="H465"/>
      <c r="I465"/>
      <c r="J465"/>
      <c r="K465"/>
      <c r="L465"/>
      <c r="M465"/>
    </row>
    <row r="466" spans="1:13">
      <c r="A466" s="422" t="s">
        <v>171</v>
      </c>
      <c r="B466" s="422"/>
      <c r="C466" s="422"/>
      <c r="D466" s="422"/>
      <c r="E466" s="422"/>
      <c r="F466" s="422"/>
      <c r="G466" s="422"/>
      <c r="H466" s="422"/>
      <c r="I466" s="422"/>
      <c r="J466" s="422"/>
      <c r="K466" s="422"/>
      <c r="L466"/>
      <c r="M466"/>
    </row>
    <row r="467" spans="1:13">
      <c r="A467" s="72">
        <v>1</v>
      </c>
      <c r="B467" s="72">
        <v>2</v>
      </c>
      <c r="C467" s="72">
        <v>3</v>
      </c>
      <c r="D467" s="71">
        <v>4</v>
      </c>
      <c r="E467" s="73">
        <v>5</v>
      </c>
      <c r="F467" s="74"/>
      <c r="G467" s="74"/>
      <c r="H467" s="74"/>
      <c r="I467" s="74"/>
      <c r="J467" s="74"/>
      <c r="K467" s="78"/>
      <c r="L467"/>
      <c r="M467"/>
    </row>
    <row r="468" spans="1:13">
      <c r="A468" s="53" t="s">
        <v>174</v>
      </c>
      <c r="B468" s="53" t="s">
        <v>175</v>
      </c>
      <c r="C468" s="53" t="s">
        <v>176</v>
      </c>
      <c r="D468" s="53" t="s">
        <v>177</v>
      </c>
      <c r="E468" s="75" t="s">
        <v>227</v>
      </c>
      <c r="F468" s="76"/>
      <c r="G468" s="76"/>
      <c r="H468" s="76"/>
      <c r="I468" s="76"/>
      <c r="J468" s="76"/>
      <c r="K468" s="79"/>
      <c r="L468"/>
      <c r="M468"/>
    </row>
    <row r="469" spans="1:13">
      <c r="A469" s="58" t="str">
        <f>$C$54</f>
        <v>Annually (1)</v>
      </c>
      <c r="B469" s="56">
        <f>$E$49</f>
        <v>1</v>
      </c>
      <c r="C469" s="59">
        <f>$F$49</f>
        <v>2080</v>
      </c>
      <c r="D469" s="58" t="str">
        <f>$G$49</f>
        <v>annually</v>
      </c>
      <c r="E469" s="77" t="e">
        <f>IF(D482=0,"N/A",CONCATENATE("Working full-time at current rate of pay (",DOLLAR(D551,0)," annually), borrower's YTD earnings would need to reflect ",DOLLAR(D578,0)," as the total amount of base earnings from ",MONTH(C490),"/",DAY(C490),"/",YEAR(C490)," to ",MONTH(D490),"/",DAY(D490),"/",YEAR(D490)," (excluding bonus, commissions, differential, incentive, overtime, etc.)."))</f>
        <v>#REF!</v>
      </c>
      <c r="F469" s="76"/>
      <c r="G469" s="76"/>
      <c r="H469" s="76"/>
      <c r="I469" s="76"/>
      <c r="J469" s="76"/>
      <c r="K469" s="80"/>
      <c r="L469"/>
      <c r="M469"/>
    </row>
    <row r="470" spans="1:13">
      <c r="A470" s="245" t="str">
        <f>$C$51</f>
        <v>Bi-Weekly (26)</v>
      </c>
      <c r="B470" s="56">
        <f>$E$50</f>
        <v>26</v>
      </c>
      <c r="C470" s="59">
        <f>$F$50</f>
        <v>80</v>
      </c>
      <c r="D470" s="58" t="str">
        <f>$G$50</f>
        <v>bi-weekly</v>
      </c>
      <c r="E470" s="77" t="e">
        <f>IF(D482=0,"N/A",CONCATENATE("Working full-time at current rate of pay (",DOLLAR(D551,0)," bi-weekly), borrower's YTD earnings would need to reflect ",DOLLAR(D578,0)," as the total amount of base earnings from ",MONTH(C490),"/",DAY(C490),"/",YEAR(C490)," to ",MONTH(D490),"/",DAY(D490),"/",YEAR(D490)," (excluding bonus, commissions, differential, incentive, overtime, etc.)."))</f>
        <v>#REF!</v>
      </c>
      <c r="F470" s="76"/>
      <c r="G470" s="76"/>
      <c r="H470" s="76"/>
      <c r="I470" s="76"/>
      <c r="J470" s="76"/>
      <c r="K470" s="80"/>
      <c r="L470"/>
      <c r="M470"/>
    </row>
    <row r="471" spans="1:13">
      <c r="A471" s="58" t="str">
        <f>$C$49</f>
        <v>Hourly (H)</v>
      </c>
      <c r="B471" s="56">
        <f>$E$51</f>
        <v>2080</v>
      </c>
      <c r="C471" s="59">
        <f>$F$51</f>
        <v>1</v>
      </c>
      <c r="D471" s="58" t="str">
        <f>$G$51</f>
        <v>hourly</v>
      </c>
      <c r="E471" s="77" t="e">
        <f>IF(D482=0,"N/A",CONCATENATE("Working full-time at current rate of pay (",DOLLAR(D551,2)," hourly), borrower's YTD earnings would need to reflect ",DOLLAR(D578,0)," as the total amount of base earnings from ",MONTH(C490),"/",DAY(C490),"/",YEAR(C490)," to ",MONTH(D490),"/",DAY(D490),"/",YEAR(D490)," (excluding bonus, commissions, differential, incentive, overtime, etc.)."))</f>
        <v>#REF!</v>
      </c>
      <c r="F471" s="76"/>
      <c r="G471" s="76"/>
      <c r="H471" s="76"/>
      <c r="I471" s="76"/>
      <c r="J471" s="76"/>
      <c r="K471" s="80"/>
      <c r="L471"/>
      <c r="M471"/>
    </row>
    <row r="472" spans="1:13">
      <c r="A472" s="58" t="str">
        <f>$C$53</f>
        <v>Monthly (12)</v>
      </c>
      <c r="B472" s="56">
        <f>$E$52</f>
        <v>12</v>
      </c>
      <c r="C472" s="59">
        <f>$F$52</f>
        <v>173.333333333333</v>
      </c>
      <c r="D472" s="243" t="str">
        <f>$G$52</f>
        <v>monthly</v>
      </c>
      <c r="E472" s="77" t="e">
        <f>IF(D482=0,"N/A",CONCATENATE("Working full-time at current rate of pay (",DOLLAR(D551,0)," monthly), borrower's YTD earnings would need to reflect ",DOLLAR(D578,0)," as the total amount of base earnings from ",MONTH(C490),"/",DAY(C490),"/",YEAR(C490)," to ",MONTH(D490),"/",DAY(D490),"/",YEAR(D490)," (excluding bonus, commissions, differential, incentive, overtime, etc.)."))</f>
        <v>#REF!</v>
      </c>
      <c r="F472" s="76"/>
      <c r="G472" s="76"/>
      <c r="H472" s="76"/>
      <c r="I472" s="76"/>
      <c r="J472" s="76"/>
      <c r="K472" s="80"/>
      <c r="L472"/>
      <c r="M472"/>
    </row>
    <row r="473" spans="1:13">
      <c r="A473" s="58" t="str">
        <f>$C$55</f>
        <v>Part-Time</v>
      </c>
      <c r="B473" s="56">
        <f>$E$53</f>
        <v>0</v>
      </c>
      <c r="C473" s="59">
        <f>$F$53</f>
        <v>0</v>
      </c>
      <c r="D473" s="58" t="str">
        <f>$G$53</f>
        <v>part-time</v>
      </c>
      <c r="E473" s="77" t="e">
        <f>IF(D482=0,"N/A",CONCATENATE("Working Part-Time at averaged monthly pay, borrower's YTD earnings would need to reflect approximately ",DOLLAR(D551,0)," as the total amount of base earnings from ",MONTH(C490),"/",DAY(C490),"/",YEAR(C490)," to ",MONTH(D490),"/",DAY(D490),"/",YEAR(D490)," (excluding bonus, commissions, differential, incentive, overtime, etc.)."))</f>
        <v>#REF!</v>
      </c>
      <c r="F473" s="76"/>
      <c r="G473" s="76"/>
      <c r="H473" s="76"/>
      <c r="I473" s="76"/>
      <c r="J473" s="76"/>
      <c r="K473" s="80"/>
      <c r="L473"/>
      <c r="M473"/>
    </row>
    <row r="474" spans="1:13">
      <c r="A474" s="58" t="str">
        <f>$C$56</f>
        <v>Seasonal</v>
      </c>
      <c r="B474" s="56">
        <f>$E$54</f>
        <v>0</v>
      </c>
      <c r="C474" s="59">
        <f>$F$54</f>
        <v>0</v>
      </c>
      <c r="D474" s="58" t="str">
        <f>$G$54</f>
        <v>seasonal</v>
      </c>
      <c r="E474" s="77" t="e">
        <f>IF(D482=0,"N/A",CONCATENATE("Working Seasonal at averaged monthly pay, borrower's YTD earnings would need to reflect approximately ",DOLLAR(D551,0)," as the total amount of base earnings from ",MONTH(C490),"/",DAY(C490),"/",YEAR(C490)," to ",MONTH(D490),"/",DAY(D490),"/",YEAR(D490)," (excluding bonus, commissions, differential, incentive, overtime, etc.)."))</f>
        <v>#REF!</v>
      </c>
      <c r="F474" s="76"/>
      <c r="G474" s="76"/>
      <c r="H474" s="76"/>
      <c r="I474" s="76"/>
      <c r="J474" s="76"/>
      <c r="K474" s="80"/>
      <c r="L474"/>
      <c r="M474"/>
    </row>
    <row r="475" spans="1:13">
      <c r="A475" s="58" t="str">
        <f>$C$52</f>
        <v>Semi-Monthly (24)</v>
      </c>
      <c r="B475" s="56">
        <f>$E$55</f>
        <v>24</v>
      </c>
      <c r="C475" s="59">
        <f>$F$55</f>
        <v>86.6666666666667</v>
      </c>
      <c r="D475" s="58" t="str">
        <f>$G$55</f>
        <v>semi-monthly</v>
      </c>
      <c r="E475" s="77" t="e">
        <f>IF(D482=0,"N/A",CONCATENATE("Working full-time at current rate of pay (",DOLLAR(D551,2)," semi-monthly), borrower's YTD earnings would need to reflect ",DOLLAR(D578,0)," as the total amount of base earnings from ",MONTH(C490),"/",DAY(C490),"/",YEAR(C490)," to ",MONTH(D490),"/",DAY(D490),"/",YEAR(D490)," (excluding bonus, commissions, differential, incentive, overtime, etc.)."))</f>
        <v>#REF!</v>
      </c>
      <c r="F475" s="76"/>
      <c r="G475" s="76"/>
      <c r="H475" s="76"/>
      <c r="I475" s="76"/>
      <c r="J475" s="76"/>
      <c r="K475" s="80"/>
      <c r="L475"/>
      <c r="M475"/>
    </row>
    <row r="476" spans="1:13">
      <c r="A476" s="58" t="str">
        <f>$C$57</f>
        <v>Varies / Averaged</v>
      </c>
      <c r="B476" s="56">
        <f>$E$56</f>
        <v>0</v>
      </c>
      <c r="C476" s="59">
        <f>$F$56</f>
        <v>0</v>
      </c>
      <c r="D476" s="58" t="str">
        <f>$G$56</f>
        <v>varies</v>
      </c>
      <c r="E476" s="77" t="e">
        <f>IF(D482=0,"N/A",CONCATENATE("Based on calculated averaged monthly earnings, borrower's YTD earnings should reflect approximately ",DOLLAR(D551,0)," as the total amount of base income earned from ",MONTH(C490),"/",DAY(C490),"/",YEAR(C490)," to ",MONTH(D490),"/",DAY(D490),"/",YEAR(D490)," (excluding bonus, commissions, differential, incentive, overtime, etc.)."))</f>
        <v>#REF!</v>
      </c>
      <c r="F476" s="76"/>
      <c r="G476" s="76"/>
      <c r="H476" s="76"/>
      <c r="I476" s="76"/>
      <c r="J476" s="76"/>
      <c r="K476" s="80"/>
      <c r="L476"/>
      <c r="M476"/>
    </row>
    <row r="477" spans="1:13">
      <c r="A477" s="58" t="str">
        <f>$C$50</f>
        <v>Weekly (52)</v>
      </c>
      <c r="B477" s="56">
        <f>$E$57</f>
        <v>52</v>
      </c>
      <c r="C477" s="59">
        <f>$F$57</f>
        <v>40</v>
      </c>
      <c r="D477" s="58" t="str">
        <f>$G$57</f>
        <v>weekly</v>
      </c>
      <c r="E477" s="77" t="e">
        <f>IF(D482=0,"N/A",CONCATENATE("Working full-time at current rate of pay (",DOLLAR(#REF!,2)," weekly), borrower's YTD earnings would need to reflect ",DOLLAR(D551,0)," as the total amount of base earnings from ",MONTH(C490),"/",DAY(C490),"/",YEAR(C490)," to ",MONTH(D490),"/",DAY(D490),"/",YEAR(D490)," (excluding bonus, commissions, differential, incentive, overtime, etc.)."))</f>
        <v>#REF!</v>
      </c>
      <c r="F477" s="76"/>
      <c r="G477" s="76"/>
      <c r="H477" s="76"/>
      <c r="I477" s="76"/>
      <c r="J477" s="76"/>
      <c r="K477" s="80"/>
      <c r="L477"/>
      <c r="M477"/>
    </row>
    <row r="478" spans="1:13">
      <c r="A478"/>
      <c r="B478"/>
      <c r="C478"/>
      <c r="D478"/>
      <c r="E478"/>
      <c r="F478"/>
      <c r="G478"/>
      <c r="H478"/>
      <c r="I478"/>
      <c r="J478"/>
      <c r="K478"/>
      <c r="L478"/>
      <c r="M478"/>
    </row>
    <row r="479" spans="1:13">
      <c r="A479" t="s">
        <v>228</v>
      </c>
      <c r="B479"/>
      <c r="C479"/>
      <c r="D479" s="81" t="e">
        <f>IF(#REF!="","",#REF!)</f>
        <v>#REF!</v>
      </c>
      <c r="E479"/>
      <c r="F479" s="82"/>
      <c r="G479" s="246" t="s">
        <v>229</v>
      </c>
      <c r="H479" s="82"/>
      <c r="I479" s="82"/>
      <c r="J479" s="82"/>
      <c r="K479"/>
      <c r="L479"/>
      <c r="M479"/>
    </row>
    <row r="480" spans="1:13">
      <c r="A480" t="s">
        <v>230</v>
      </c>
      <c r="B480"/>
      <c r="C480"/>
      <c r="D480" s="83" t="e">
        <f>IF(OR(#REF!=0,#REF!=""),0,#REF!)</f>
        <v>#REF!</v>
      </c>
      <c r="E480"/>
      <c r="F480" s="82"/>
      <c r="G480" s="246" t="s">
        <v>231</v>
      </c>
      <c r="H480" s="82"/>
      <c r="I480" s="82"/>
      <c r="J480" s="82"/>
      <c r="K480"/>
      <c r="L480"/>
      <c r="M480"/>
    </row>
    <row r="481" spans="1:13">
      <c r="A481" t="s">
        <v>232</v>
      </c>
      <c r="B481"/>
      <c r="C481"/>
      <c r="D481" s="83" t="e">
        <f>IF(D482=A473,"Hourly Rate of Pay (part-time)","Rate of Pay")</f>
        <v>#REF!</v>
      </c>
      <c r="E481"/>
      <c r="F481" s="82"/>
      <c r="G481" s="82"/>
      <c r="H481" s="82"/>
      <c r="I481" s="82"/>
      <c r="J481" s="82"/>
      <c r="K481"/>
      <c r="L481"/>
      <c r="M481"/>
    </row>
    <row r="482" spans="1:13">
      <c r="A482" t="s">
        <v>233</v>
      </c>
      <c r="B482"/>
      <c r="C482"/>
      <c r="D482" s="84" t="e">
        <f>#REF!</f>
        <v>#REF!</v>
      </c>
      <c r="E482"/>
      <c r="F482" s="82"/>
      <c r="G482" s="246" t="s">
        <v>234</v>
      </c>
      <c r="H482" s="82"/>
      <c r="I482" s="82"/>
      <c r="J482" s="82"/>
      <c r="K482"/>
      <c r="L482"/>
      <c r="M482"/>
    </row>
    <row r="483" spans="1:13">
      <c r="A483" t="s">
        <v>235</v>
      </c>
      <c r="B483"/>
      <c r="C483"/>
      <c r="D483" s="83" t="e">
        <f>#REF!</f>
        <v>#REF!</v>
      </c>
      <c r="E483"/>
      <c r="F483" s="82"/>
      <c r="G483" s="246" t="s">
        <v>236</v>
      </c>
      <c r="H483" s="82"/>
      <c r="I483" s="82"/>
      <c r="J483" s="82"/>
      <c r="K483"/>
      <c r="L483"/>
      <c r="M483"/>
    </row>
    <row r="484" spans="1:13">
      <c r="A484" t="s">
        <v>237</v>
      </c>
      <c r="B484"/>
      <c r="C484"/>
      <c r="D484" s="83" t="e">
        <f>IF(OR(D480=0,D482=0),"",IF(D482="Hourly (H)",(D480*D483)*52,D480*VLOOKUP(D482,A469:E477,2)))</f>
        <v>#REF!</v>
      </c>
      <c r="E484"/>
      <c r="F484" s="82"/>
      <c r="G484" s="246" t="s">
        <v>238</v>
      </c>
      <c r="H484" s="82"/>
      <c r="I484" s="82"/>
      <c r="J484" s="82"/>
      <c r="K484"/>
      <c r="L484"/>
      <c r="M484"/>
    </row>
    <row r="485" spans="1:13">
      <c r="A485" t="s">
        <v>239</v>
      </c>
      <c r="B485"/>
      <c r="C485"/>
      <c r="D485" s="86" t="e">
        <f>IF(OR(D480=0,D482=0),0,IF(OR(D482=A473,D482=A474,D482=A476),J493,ROUND(D484/12,0)))</f>
        <v>#REF!</v>
      </c>
      <c r="E485"/>
      <c r="F485" s="82"/>
      <c r="G485" s="246" t="s">
        <v>240</v>
      </c>
      <c r="H485" s="82"/>
      <c r="I485" s="82"/>
      <c r="J485" s="82"/>
      <c r="K485"/>
      <c r="L485"/>
      <c r="M485"/>
    </row>
    <row r="486" spans="1:13">
      <c r="A486" t="s">
        <v>241</v>
      </c>
      <c r="B486"/>
      <c r="C486"/>
      <c r="D486" t="b">
        <v>0</v>
      </c>
      <c r="E486"/>
      <c r="F486" s="82"/>
      <c r="G486" s="246" t="s">
        <v>242</v>
      </c>
      <c r="H486" s="82"/>
      <c r="I486" s="82"/>
      <c r="J486" s="82"/>
      <c r="K486"/>
      <c r="L486"/>
      <c r="M486"/>
    </row>
    <row r="487" spans="1:13">
      <c r="A487"/>
      <c r="B487"/>
      <c r="C487"/>
      <c r="D487"/>
      <c r="E487"/>
      <c r="F487"/>
      <c r="G487"/>
      <c r="H487"/>
      <c r="I487"/>
      <c r="J487"/>
      <c r="K487"/>
      <c r="L487"/>
      <c r="M487"/>
    </row>
    <row r="488" spans="1:13">
      <c r="A488" s="423" t="s">
        <v>243</v>
      </c>
      <c r="B488" s="424"/>
      <c r="C488" s="424"/>
      <c r="D488" s="424"/>
      <c r="E488" s="424"/>
      <c r="F488" s="424"/>
      <c r="G488" s="425"/>
      <c r="H488" s="423" t="s">
        <v>244</v>
      </c>
      <c r="I488" s="424"/>
      <c r="J488" s="425"/>
      <c r="K488" s="423" t="s">
        <v>245</v>
      </c>
      <c r="L488" s="424"/>
      <c r="M488" s="425"/>
    </row>
    <row r="489" spans="1:13">
      <c r="A489" s="87" t="s">
        <v>246</v>
      </c>
      <c r="B489" s="87" t="s">
        <v>164</v>
      </c>
      <c r="C489" s="87" t="s">
        <v>247</v>
      </c>
      <c r="D489" s="87" t="s">
        <v>248</v>
      </c>
      <c r="E489" s="87" t="s">
        <v>5</v>
      </c>
      <c r="F489" s="87" t="s">
        <v>4</v>
      </c>
      <c r="G489" s="87" t="s">
        <v>1</v>
      </c>
      <c r="H489" s="87" t="s">
        <v>154</v>
      </c>
      <c r="I489" s="87" t="s">
        <v>4</v>
      </c>
      <c r="J489" s="87" t="s">
        <v>5</v>
      </c>
      <c r="K489" s="87" t="s">
        <v>249</v>
      </c>
      <c r="L489" s="87" t="s">
        <v>250</v>
      </c>
      <c r="M489" s="87" t="s">
        <v>251</v>
      </c>
    </row>
    <row r="490" spans="1:13">
      <c r="A490" s="88" t="b">
        <v>1</v>
      </c>
      <c r="B490" s="89" t="e">
        <f>#REF!</f>
        <v>#REF!</v>
      </c>
      <c r="C490" s="90" t="e">
        <f>#REF!</f>
        <v>#REF!</v>
      </c>
      <c r="D490" s="90" t="e">
        <f>#REF!</f>
        <v>#REF!</v>
      </c>
      <c r="E490" s="91" t="e">
        <f>IF(#REF!="",0,#REF!)</f>
        <v>#REF!</v>
      </c>
      <c r="F490" s="92" t="e">
        <f>IF(OR(E490="",E490=0),"",ROUND((((D490-C490)+1)/365)*12,1))</f>
        <v>#REF!</v>
      </c>
      <c r="G490" s="93" t="e">
        <f>IF(OR(E490="",E490=0),"",ROUND(E490/F490,0))</f>
        <v>#REF!</v>
      </c>
      <c r="H490" s="93" t="e">
        <f>IF(A490=TRUE,E490,0)</f>
        <v>#REF!</v>
      </c>
      <c r="I490" s="118" t="e">
        <f>IF(A490=TRUE,F490,0)</f>
        <v>#REF!</v>
      </c>
      <c r="J490" s="93" t="e">
        <f>IF(OR(A490=FALSE,H490=0,I490=0),0,ROUND(H490/I490,0))</f>
        <v>#REF!</v>
      </c>
      <c r="K490" s="92" t="e">
        <f>IF(OR(G490="",G490=0,G491="",G491=0),100,IF(G490&gt;G491,((G490-G491)/G491)*100,((G491-G490)/G491)*100))</f>
        <v>#REF!</v>
      </c>
      <c r="L490" s="54" t="e">
        <f>IF(G490&gt;G491,"Increase","Decrease")</f>
        <v>#REF!</v>
      </c>
      <c r="M490" s="54" t="e">
        <f>IF(AND(A490=TRUE,E490&gt;0),TRUE,FALSE)</f>
        <v>#REF!</v>
      </c>
    </row>
    <row r="491" spans="1:13">
      <c r="A491" s="57" t="b">
        <v>1</v>
      </c>
      <c r="B491" s="94" t="e">
        <f>#REF!</f>
        <v>#REF!</v>
      </c>
      <c r="C491" s="95" t="e">
        <f>#REF!</f>
        <v>#REF!</v>
      </c>
      <c r="D491" s="95" t="e">
        <f>#REF!</f>
        <v>#REF!</v>
      </c>
      <c r="E491" s="91" t="e">
        <f>IF(#REF!="",0,#REF!)</f>
        <v>#REF!</v>
      </c>
      <c r="F491" s="92" t="e">
        <f>IF(OR(E491="",E491=0),"",ROUND((((D491-C491)+1)/365)*12,1))</f>
        <v>#REF!</v>
      </c>
      <c r="G491" s="93" t="e">
        <f>IF(OR(E491="",E491=0),"",ROUND(E491/F491,0))</f>
        <v>#REF!</v>
      </c>
      <c r="H491" s="93" t="e">
        <f>IF(A491=TRUE,E491,0)</f>
        <v>#REF!</v>
      </c>
      <c r="I491" s="118" t="e">
        <f>IF(A491=TRUE,F491,0)</f>
        <v>#REF!</v>
      </c>
      <c r="J491" s="93" t="e">
        <f>IF(OR(A491=FALSE,H491=0,I491=0),0,ROUND(H491/I491,0))</f>
        <v>#REF!</v>
      </c>
      <c r="K491" s="92" t="e">
        <f>IF(OR(G491="",G491=0,G492="",G492=0),100,IF(G491&gt;G492,((G491-G492)/G492)*100,((G492-G491)/G492)*100))</f>
        <v>#REF!</v>
      </c>
      <c r="L491" s="54" t="e">
        <f>IF(G491&gt;G492,"Increase","Decrease")</f>
        <v>#REF!</v>
      </c>
      <c r="M491" s="54" t="e">
        <f>IF(AND(A491=TRUE,E491&gt;0),TRUE,FALSE)</f>
        <v>#REF!</v>
      </c>
    </row>
    <row r="492" spans="1:13">
      <c r="A492" s="57" t="b">
        <v>0</v>
      </c>
      <c r="B492" s="94" t="e">
        <f>#REF!</f>
        <v>#REF!</v>
      </c>
      <c r="C492" s="95" t="e">
        <f>#REF!</f>
        <v>#REF!</v>
      </c>
      <c r="D492" s="95" t="e">
        <f>#REF!</f>
        <v>#REF!</v>
      </c>
      <c r="E492" s="91" t="e">
        <f>IF(#REF!="",0,#REF!)</f>
        <v>#REF!</v>
      </c>
      <c r="F492" s="92" t="e">
        <f>IF(OR(E492="",E492=0),"",ROUND((((D492-C492)+1)/365)*12,1))</f>
        <v>#REF!</v>
      </c>
      <c r="G492" s="93" t="e">
        <f>IF(OR(E492="",E492=0),"",ROUND(E492/F492,0))</f>
        <v>#REF!</v>
      </c>
      <c r="H492" s="93">
        <f>IF(A492=TRUE,E492,0)</f>
        <v>0</v>
      </c>
      <c r="I492" s="118">
        <f>IF(A492=TRUE,F492,0)</f>
        <v>0</v>
      </c>
      <c r="J492" s="93">
        <f>IF(OR(A492=FALSE,H492=0,I492=0),0,ROUND(H492/I492,0))</f>
        <v>0</v>
      </c>
      <c r="K492" s="92" t="e">
        <f>IF(OR(G490="",G490=0,G492="",G492=0),100,IF(G490&gt;G492,((G490-G492)/G492)*100,((G492-G490)/G492)*100))</f>
        <v>#REF!</v>
      </c>
      <c r="L492" s="54" t="e">
        <f>IF(G490&gt;G492,"Increase","Decrease")</f>
        <v>#REF!</v>
      </c>
      <c r="M492" s="54" t="e">
        <f>IF(AND(A492=TRUE,E492&gt;0),TRUE,FALSE)</f>
        <v>#REF!</v>
      </c>
    </row>
    <row r="493" spans="1:13">
      <c r="A493" s="51" t="s">
        <v>252</v>
      </c>
      <c r="B493" s="98" t="s">
        <v>341</v>
      </c>
      <c r="C493" s="99"/>
      <c r="D493" s="99"/>
      <c r="E493" s="100" t="e">
        <f>SUM(E490:E492)</f>
        <v>#REF!</v>
      </c>
      <c r="F493" s="101" t="e">
        <f>SUM(F490:F492)</f>
        <v>#REF!</v>
      </c>
      <c r="G493" s="102" t="e">
        <f>IF(AND(D480=0,D482=0),0,IF(D486=TRUE,D485,IF(OR(D482=A473,D482=A474,D482=A476,F490=FALSE,F491=FALSE,F492=FALSE),J493,IF(D486=FALSE,MIN(D485,G490),J493))))</f>
        <v>#REF!</v>
      </c>
      <c r="H493" s="97" t="e">
        <f>IF(SUM(E490:E492)=0,0,ROUND(SUM(H490:H492),0))</f>
        <v>#REF!</v>
      </c>
      <c r="I493" s="119" t="e">
        <f>IF(SUM(F490:F492)=0,0,ROUND(SUM(I490:I492),1))</f>
        <v>#REF!</v>
      </c>
      <c r="J493" s="97" t="e">
        <f>IF(I493=0,0,ROUND(H493/I493,0))</f>
        <v>#REF!</v>
      </c>
      <c r="K493" s="99"/>
      <c r="L493" s="99"/>
      <c r="M493" s="99"/>
    </row>
    <row r="494" spans="1:13">
      <c r="A494"/>
      <c r="B494"/>
      <c r="C494"/>
      <c r="D494"/>
      <c r="E494"/>
      <c r="F494"/>
      <c r="G494"/>
      <c r="H494"/>
      <c r="I494"/>
      <c r="J494"/>
      <c r="K494"/>
      <c r="L494"/>
      <c r="M494"/>
    </row>
    <row r="495" spans="1:13">
      <c r="A495" t="s">
        <v>253</v>
      </c>
      <c r="B495"/>
      <c r="C495"/>
      <c r="D495" t="e">
        <f>IF(OR(D574=0,D574&gt;=40),"",CONCATENATE("(actual = ",D574," hrs)"))</f>
        <v>#REF!</v>
      </c>
      <c r="E495"/>
      <c r="F495"/>
      <c r="G495"/>
      <c r="H495"/>
      <c r="I495"/>
      <c r="J495"/>
      <c r="K495"/>
      <c r="L495"/>
      <c r="M495"/>
    </row>
    <row r="496" spans="1:13">
      <c r="A496"/>
      <c r="B496"/>
      <c r="C496"/>
      <c r="D496"/>
      <c r="E496"/>
      <c r="F496"/>
      <c r="G496"/>
      <c r="H496"/>
      <c r="I496"/>
      <c r="J496"/>
      <c r="K496"/>
      <c r="L496"/>
      <c r="M496"/>
    </row>
    <row r="497" spans="1:13">
      <c r="A497" s="426" t="s">
        <v>254</v>
      </c>
      <c r="B497" s="426"/>
      <c r="C497" s="426"/>
      <c r="D497" s="426"/>
      <c r="E497" s="426"/>
      <c r="F497"/>
      <c r="G497"/>
      <c r="H497"/>
      <c r="I497"/>
      <c r="J497"/>
      <c r="K497"/>
      <c r="L497"/>
      <c r="M497"/>
    </row>
    <row r="498" spans="1:13">
      <c r="A498" s="427" t="s">
        <v>241</v>
      </c>
      <c r="B498" s="428"/>
      <c r="C498" s="429"/>
      <c r="D498" s="57" t="b">
        <f>IF(D486=TRUE,TRUE,FALSE)</f>
        <v>0</v>
      </c>
      <c r="E498" s="103" t="e">
        <f>IF(AND(D498=TRUE,D500=FALSE,D501=FALSE),D485,0)</f>
        <v>#REF!</v>
      </c>
      <c r="F498"/>
      <c r="G498" s="82"/>
      <c r="H498"/>
      <c r="I498"/>
      <c r="J498"/>
      <c r="K498"/>
      <c r="L498"/>
      <c r="M498"/>
    </row>
    <row r="499" spans="1:13">
      <c r="A499" s="427" t="s">
        <v>255</v>
      </c>
      <c r="B499" s="428"/>
      <c r="C499" s="429"/>
      <c r="D499" s="57" t="e">
        <f>IF(AND(D498=FALSE,E526&lt;10%,F526=" Decrease"),TRUE,FALSE)</f>
        <v>#REF!</v>
      </c>
      <c r="E499" s="103" t="e">
        <f>IF(D499=TRUE,G490,0)</f>
        <v>#REF!</v>
      </c>
      <c r="F499"/>
      <c r="G499" s="82"/>
      <c r="H499"/>
      <c r="I499"/>
      <c r="J499"/>
      <c r="K499"/>
      <c r="L499"/>
      <c r="M499"/>
    </row>
    <row r="500" spans="1:13">
      <c r="A500" s="427" t="s">
        <v>256</v>
      </c>
      <c r="B500" s="428"/>
      <c r="C500" s="429"/>
      <c r="D500" s="57" t="e">
        <f>IF(AND(D498=FALSE,E526&gt;10%,F526=" Decrease"),TRUE,FALSE)</f>
        <v>#REF!</v>
      </c>
      <c r="E500" s="103" t="e">
        <f>IF(AND(D498=FALSE,D500=TRUE,D501=FALSE),G490,0)</f>
        <v>#REF!</v>
      </c>
      <c r="F500"/>
      <c r="G500" s="82"/>
      <c r="H500"/>
      <c r="I500"/>
      <c r="J500"/>
      <c r="K500"/>
      <c r="L500"/>
      <c r="M500"/>
    </row>
    <row r="501" spans="1:13">
      <c r="A501" s="427" t="s">
        <v>257</v>
      </c>
      <c r="B501" s="428"/>
      <c r="C501" s="429"/>
      <c r="D501" s="57" t="e">
        <f>IF(OR(D498=TRUE,D499=TRUE,D500=TRUE),FALSE,IF(OR(D482=A473,D482=A474,D482=A476),TRUE,FALSE))</f>
        <v>#REF!</v>
      </c>
      <c r="E501" s="103" t="e">
        <f>IF(AND(D498=FALSE,D500=FALSE,D501=TRUE),J493,0)</f>
        <v>#REF!</v>
      </c>
      <c r="F501"/>
      <c r="G501"/>
      <c r="H501"/>
      <c r="I501"/>
      <c r="J501"/>
      <c r="K501"/>
      <c r="L501"/>
      <c r="M501"/>
    </row>
    <row r="502" spans="1:13">
      <c r="A502" s="104" t="s">
        <v>258</v>
      </c>
      <c r="B502" s="104"/>
      <c r="C502" s="104"/>
      <c r="D502" s="104" t="e">
        <f>IF(AND(D498=FALSE,D499=FALSE,D500=FALSE,D501=FALSE),TRUE,FALSE)</f>
        <v>#REF!</v>
      </c>
      <c r="E502" s="105" t="e">
        <f>IF(D502=TRUE,G493,0)</f>
        <v>#REF!</v>
      </c>
      <c r="F502"/>
      <c r="G502"/>
      <c r="H502"/>
      <c r="I502"/>
      <c r="J502"/>
      <c r="K502"/>
      <c r="L502"/>
      <c r="M502"/>
    </row>
    <row r="503" spans="1:13">
      <c r="A503" s="430" t="s">
        <v>259</v>
      </c>
      <c r="B503" s="430"/>
      <c r="C503" s="430"/>
      <c r="D503" s="430"/>
      <c r="E503" s="106" t="e">
        <f>VLOOKUP(TRUE,D498:E502,2,FALSE)</f>
        <v>#N/A</v>
      </c>
      <c r="F503"/>
      <c r="G503"/>
      <c r="H503"/>
      <c r="I503"/>
      <c r="J503"/>
      <c r="K503"/>
      <c r="L503"/>
      <c r="M503"/>
    </row>
    <row r="504" spans="1:13">
      <c r="A504"/>
      <c r="B504"/>
      <c r="C504"/>
      <c r="D504"/>
      <c r="E504"/>
      <c r="F504"/>
      <c r="G504"/>
      <c r="H504"/>
      <c r="I504"/>
      <c r="J504"/>
      <c r="K504"/>
      <c r="L504"/>
      <c r="M504"/>
    </row>
    <row r="505" spans="1:13">
      <c r="A505" t="s">
        <v>260</v>
      </c>
      <c r="B505"/>
      <c r="C505"/>
      <c r="D505" t="e">
        <f>IF(OR(D486=TRUE,E490=0),"",IF(D500=TRUE,"YTD average monthly earnings reflect greater than 10% reduction",IF(G490&lt;D485,CONCATENATE("NOTE: YTD earnings reflect borrower is averaging ",D574," hours weekly."),"")))</f>
        <v>#REF!</v>
      </c>
      <c r="E505"/>
      <c r="F505"/>
      <c r="G505" s="82"/>
      <c r="H505"/>
      <c r="I505" s="246" t="s">
        <v>261</v>
      </c>
      <c r="J505"/>
      <c r="K505"/>
      <c r="L505"/>
      <c r="M505"/>
    </row>
    <row r="506" spans="1:13">
      <c r="A506"/>
      <c r="B506"/>
      <c r="C506"/>
      <c r="D506"/>
      <c r="E506"/>
      <c r="F506"/>
      <c r="G506"/>
      <c r="H506"/>
      <c r="I506"/>
      <c r="J506"/>
      <c r="K506"/>
      <c r="L506"/>
      <c r="M506"/>
    </row>
    <row r="507" spans="1:13">
      <c r="A507" s="431" t="s">
        <v>262</v>
      </c>
      <c r="B507" s="432"/>
      <c r="C507" s="432"/>
      <c r="D507" s="432"/>
      <c r="E507" s="432"/>
      <c r="F507" s="432"/>
      <c r="G507" s="432"/>
      <c r="H507" s="432"/>
      <c r="I507" s="432"/>
      <c r="J507" s="432"/>
      <c r="K507" s="432"/>
      <c r="L507" s="432"/>
      <c r="M507" s="433"/>
    </row>
    <row r="508" spans="1:13">
      <c r="A508"/>
      <c r="B508"/>
      <c r="C508"/>
      <c r="D508"/>
      <c r="E508"/>
      <c r="F508"/>
      <c r="G508"/>
      <c r="H508"/>
      <c r="I508"/>
      <c r="J508"/>
      <c r="K508"/>
      <c r="L508"/>
      <c r="M508"/>
    </row>
    <row r="509" spans="1:13">
      <c r="A509" s="87" t="s">
        <v>263</v>
      </c>
      <c r="B509" s="87" t="s">
        <v>164</v>
      </c>
      <c r="C509" s="87" t="s">
        <v>264</v>
      </c>
      <c r="D509" s="87" t="s">
        <v>167</v>
      </c>
      <c r="E509" s="87" t="s">
        <v>265</v>
      </c>
      <c r="F509" s="87" t="s">
        <v>266</v>
      </c>
      <c r="G509" s="87" t="s">
        <v>5</v>
      </c>
      <c r="H509" s="87" t="s">
        <v>4</v>
      </c>
      <c r="I509" s="87"/>
      <c r="J509" s="87"/>
      <c r="K509" s="87" t="s">
        <v>267</v>
      </c>
      <c r="L509"/>
      <c r="M509"/>
    </row>
    <row r="510" spans="1:13">
      <c r="A510" s="108" t="b">
        <v>0</v>
      </c>
      <c r="B510" s="56" t="e">
        <f>#REF!</f>
        <v>#REF!</v>
      </c>
      <c r="C510" s="109" t="e">
        <f>#REF!</f>
        <v>#REF!</v>
      </c>
      <c r="D510" s="110" t="e">
        <f>#REF!</f>
        <v>#REF!</v>
      </c>
      <c r="E510" s="111" t="e">
        <f>#REF!</f>
        <v>#REF!</v>
      </c>
      <c r="F510" s="100" t="e">
        <f>IF(OR(A510=FALSE,C510=0,E510=0),0,E510*VLOOKUP(B510,$C$37:$D$42,2))</f>
        <v>#REF!</v>
      </c>
      <c r="G510" s="100" t="e">
        <f>IF(AND(C510&lt;&gt;0,D510&lt;&gt;0),0,IF(D510&lt;&gt;0,C510-D510,C510-F510))</f>
        <v>#REF!</v>
      </c>
      <c r="H510" s="101" t="e">
        <f>#REF!</f>
        <v>#REF!</v>
      </c>
      <c r="I510" s="101"/>
      <c r="J510" s="101"/>
      <c r="K510" s="100" t="str">
        <f>IF(A510=FALSE,"",IF(AND(D510&gt;0,E510&gt;0),"Error Dep &amp; Buss",IF(OR(H510=0,H510=""),0,ROUND(G510/H510,0))))</f>
        <v/>
      </c>
      <c r="L510"/>
      <c r="M510"/>
    </row>
    <row r="511" spans="1:13">
      <c r="A511" s="57" t="b">
        <v>0</v>
      </c>
      <c r="B511" s="56" t="e">
        <f>#REF!</f>
        <v>#REF!</v>
      </c>
      <c r="C511" s="109" t="e">
        <f>#REF!</f>
        <v>#REF!</v>
      </c>
      <c r="D511" s="110" t="e">
        <f>#REF!</f>
        <v>#REF!</v>
      </c>
      <c r="E511" s="111" t="e">
        <f>#REF!</f>
        <v>#REF!</v>
      </c>
      <c r="F511" s="100" t="e">
        <f>IF(OR(A511=FALSE,C511=0,E511=0),0,E511*VLOOKUP(B511,$C$37:$D$42,2))</f>
        <v>#REF!</v>
      </c>
      <c r="G511" s="100" t="e">
        <f>IF(AND(C511&lt;&gt;0,D511&lt;&gt;0),0,IF(D511&lt;&gt;0,C511-D511,C511-F511))</f>
        <v>#REF!</v>
      </c>
      <c r="H511" s="101" t="e">
        <f>#REF!</f>
        <v>#REF!</v>
      </c>
      <c r="I511" s="101"/>
      <c r="J511" s="101"/>
      <c r="K511" s="100" t="str">
        <f>IF(A511=FALSE,"",IF(AND(D511&gt;0,E511&gt;0),"Error Dep &amp; Buss",IF(OR(H511=0,H511=""),0,ROUND(G511/H511,0))))</f>
        <v/>
      </c>
      <c r="L511"/>
      <c r="M511"/>
    </row>
    <row r="512" spans="1:13">
      <c r="A512" s="51" t="s">
        <v>252</v>
      </c>
      <c r="B512" s="98"/>
      <c r="C512" s="99"/>
      <c r="D512" s="99"/>
      <c r="E512" s="111" t="e">
        <f>SUM(E510:E511)</f>
        <v>#REF!</v>
      </c>
      <c r="F512" s="100" t="e">
        <f>SUM(F510:F511)</f>
        <v>#REF!</v>
      </c>
      <c r="G512" s="100" t="e">
        <f>SUM(G510:G511)</f>
        <v>#REF!</v>
      </c>
      <c r="H512" s="101" t="e">
        <f>SUM(H510:H511)</f>
        <v>#REF!</v>
      </c>
      <c r="I512" s="101"/>
      <c r="J512" s="101"/>
      <c r="K512" s="100">
        <f>IF(ISERROR(G512/H512),0,IF(AND(A510=TRUE,A511=TRUE),ROUND(G512/H512,0),IF(AND(A510=TRUE,A511=FALSE),K510,IF(AND(A510=FALSE,A511=TRUE),K511,0))))</f>
        <v>0</v>
      </c>
      <c r="L512"/>
      <c r="M512"/>
    </row>
    <row r="513" spans="1:13">
      <c r="A513"/>
      <c r="B513"/>
      <c r="C513"/>
      <c r="D513"/>
      <c r="E513"/>
      <c r="F513"/>
      <c r="G513"/>
      <c r="H513"/>
      <c r="I513"/>
      <c r="J513"/>
      <c r="K513"/>
      <c r="L513"/>
      <c r="M513"/>
    </row>
    <row r="514" spans="1:13">
      <c r="A514" t="s">
        <v>268</v>
      </c>
      <c r="B514"/>
      <c r="C514"/>
      <c r="D514" t="b">
        <v>0</v>
      </c>
      <c r="E514"/>
      <c r="F514"/>
      <c r="G514" s="246" t="s">
        <v>269</v>
      </c>
      <c r="H514"/>
      <c r="I514"/>
      <c r="J514"/>
      <c r="K514"/>
      <c r="L514"/>
      <c r="M514"/>
    </row>
    <row r="515" spans="1:13">
      <c r="A515"/>
      <c r="B515"/>
      <c r="C515"/>
      <c r="D515"/>
      <c r="E515"/>
      <c r="F515"/>
      <c r="G515"/>
      <c r="H515"/>
      <c r="I515"/>
      <c r="J515"/>
      <c r="K515"/>
      <c r="L515"/>
      <c r="M515"/>
    </row>
    <row r="516" spans="1:13">
      <c r="A516" s="431" t="s">
        <v>270</v>
      </c>
      <c r="B516" s="432"/>
      <c r="C516" s="432"/>
      <c r="D516" s="432"/>
      <c r="E516" s="432"/>
      <c r="F516" s="432"/>
      <c r="G516" s="432"/>
      <c r="H516" s="432"/>
      <c r="I516" s="432"/>
      <c r="J516" s="432"/>
      <c r="K516" s="432"/>
      <c r="L516" s="432"/>
      <c r="M516" s="433"/>
    </row>
    <row r="517" spans="1:13">
      <c r="A517"/>
      <c r="B517"/>
      <c r="C517"/>
      <c r="D517"/>
      <c r="E517"/>
      <c r="F517"/>
      <c r="G517"/>
      <c r="H517"/>
      <c r="I517"/>
      <c r="J517"/>
      <c r="K517"/>
      <c r="L517"/>
      <c r="M517"/>
    </row>
    <row r="518" spans="1:13">
      <c r="A518" t="s">
        <v>271</v>
      </c>
      <c r="B518"/>
      <c r="C518"/>
      <c r="D518" s="86" t="e">
        <f>G493</f>
        <v>#REF!</v>
      </c>
      <c r="E518"/>
      <c r="F518" t="e">
        <f>IF(OR(D482=A473,D482=A474,D482=A476),CONCATENATE("total average earnings for the past ",I493," months"),"(lower of Current Rate or YTD avg, or explanation provided)")</f>
        <v>#REF!</v>
      </c>
      <c r="G518"/>
      <c r="H518"/>
      <c r="I518"/>
      <c r="J518"/>
      <c r="K518"/>
      <c r="L518"/>
      <c r="M518"/>
    </row>
    <row r="519" spans="1:13">
      <c r="A519" t="s">
        <v>272</v>
      </c>
      <c r="B519"/>
      <c r="C519"/>
      <c r="D519" s="86">
        <f>IF(K512=0,0,IF(D514=TRUE,K512,0))</f>
        <v>0</v>
      </c>
      <c r="E519"/>
      <c r="F519"/>
      <c r="G519"/>
      <c r="H519"/>
      <c r="I519"/>
      <c r="J519"/>
      <c r="K519"/>
      <c r="L519"/>
      <c r="M519"/>
    </row>
    <row r="520" spans="1:13">
      <c r="A520" t="s">
        <v>273</v>
      </c>
      <c r="B520"/>
      <c r="C520"/>
      <c r="D520" s="86" t="e">
        <f>#REF!</f>
        <v>#REF!</v>
      </c>
      <c r="E520"/>
      <c r="F520"/>
      <c r="G520"/>
      <c r="H520"/>
      <c r="I520"/>
      <c r="J520"/>
      <c r="K520"/>
      <c r="L520"/>
      <c r="M520"/>
    </row>
    <row r="521" spans="1:13">
      <c r="A521" t="s">
        <v>274</v>
      </c>
      <c r="B521"/>
      <c r="C521"/>
      <c r="D521" s="86" t="e">
        <f>(D518+D520)-D519</f>
        <v>#REF!</v>
      </c>
      <c r="E521"/>
      <c r="F521"/>
      <c r="G521"/>
      <c r="H521"/>
      <c r="I521"/>
      <c r="J521"/>
      <c r="K521"/>
      <c r="L521"/>
      <c r="M521"/>
    </row>
    <row r="522" spans="1:13">
      <c r="A522"/>
      <c r="B522"/>
      <c r="C522"/>
      <c r="D522"/>
      <c r="E522"/>
      <c r="F522"/>
      <c r="G522"/>
      <c r="H522"/>
      <c r="I522"/>
      <c r="J522"/>
      <c r="K522"/>
      <c r="L522"/>
      <c r="M522"/>
    </row>
    <row r="523" spans="1:13">
      <c r="A523" s="434" t="s">
        <v>275</v>
      </c>
      <c r="B523" s="435"/>
      <c r="C523" s="435"/>
      <c r="D523" s="435"/>
      <c r="E523" s="435"/>
      <c r="F523" s="435"/>
      <c r="G523" s="435"/>
      <c r="H523" s="435"/>
      <c r="I523" s="435"/>
      <c r="J523" s="435"/>
      <c r="K523" s="435"/>
      <c r="L523" s="435"/>
      <c r="M523" s="436"/>
    </row>
    <row r="524" spans="1:13">
      <c r="A524"/>
      <c r="B524"/>
      <c r="C524"/>
      <c r="D524"/>
      <c r="E524"/>
      <c r="F524"/>
      <c r="G524"/>
      <c r="H524"/>
      <c r="I524"/>
      <c r="J524"/>
      <c r="K524"/>
      <c r="L524"/>
      <c r="M524"/>
    </row>
    <row r="525" spans="1:13">
      <c r="A525" s="437"/>
      <c r="B525" s="437"/>
      <c r="C525" s="114" t="s">
        <v>276</v>
      </c>
      <c r="D525" s="115" t="s">
        <v>277</v>
      </c>
      <c r="E525" s="115" t="s">
        <v>278</v>
      </c>
      <c r="F525" s="247" t="s">
        <v>2</v>
      </c>
      <c r="G525" s="115" t="s">
        <v>279</v>
      </c>
      <c r="H525" s="438" t="s">
        <v>227</v>
      </c>
      <c r="I525" s="439"/>
      <c r="J525" s="439"/>
      <c r="K525" s="439"/>
      <c r="L525" s="440"/>
    </row>
    <row r="526" spans="1:13">
      <c r="A526" s="427" t="e">
        <f>CONCATENATE(" Total ",B490," YTD")</f>
        <v>#REF!</v>
      </c>
      <c r="B526" s="429"/>
      <c r="C526" s="102" t="e">
        <f>IF(OR(G490=0,G490=""),0,G490)</f>
        <v>#REF!</v>
      </c>
      <c r="D526" s="102" t="e">
        <f>ABS(C526-C527)</f>
        <v>#REF!</v>
      </c>
      <c r="E526" s="116" t="e">
        <f>IF(C527=0,100%,D526/C527)</f>
        <v>#REF!</v>
      </c>
      <c r="F526" s="35" t="e">
        <f>IF(C526&gt;C527," Increase"," Decrease")</f>
        <v>#REF!</v>
      </c>
      <c r="G526" s="117" t="e">
        <f>IF((C527+(C527*E526))=C526,"PASS","FAIL")</f>
        <v>#REF!</v>
      </c>
      <c r="H526" s="427" t="e">
        <f>IF(OR(C526=0,C526="")," ",CONCATENATE(B491," to ",B490," = ",TEXT(E526,"###.0%"),F526))</f>
        <v>#REF!</v>
      </c>
      <c r="I526" s="428"/>
      <c r="J526" s="428"/>
      <c r="K526" s="428"/>
      <c r="L526" s="429"/>
    </row>
    <row r="527" spans="1:13">
      <c r="A527" s="427" t="e">
        <f>CONCATENATE(" Total ",B491)</f>
        <v>#REF!</v>
      </c>
      <c r="B527" s="429"/>
      <c r="C527" s="102" t="e">
        <f>IF(OR(G491=0,G491=""),0,G491)</f>
        <v>#REF!</v>
      </c>
      <c r="D527" s="102" t="e">
        <f>ABS(C527-C528)</f>
        <v>#REF!</v>
      </c>
      <c r="E527" s="116" t="e">
        <f>IF(C528=0,100%,D527/C528)</f>
        <v>#REF!</v>
      </c>
      <c r="F527" s="35" t="e">
        <f>IF(C527&gt;C528," Increase"," Decrease")</f>
        <v>#REF!</v>
      </c>
      <c r="G527" s="117" t="e">
        <f>IF((C528+(C528*E527))=C527,"PASS","FAIL")</f>
        <v>#REF!</v>
      </c>
      <c r="H527" s="427" t="e">
        <f>IF(OR(C527=0,C527="")," ",CONCATENATE(B492," to ",B491," = ",TEXT(E527,"###.0%"),F527))</f>
        <v>#REF!</v>
      </c>
      <c r="I527" s="428"/>
      <c r="J527" s="428"/>
      <c r="K527" s="428"/>
      <c r="L527" s="429"/>
    </row>
    <row r="528" spans="1:13">
      <c r="A528" s="427" t="e">
        <f>CONCATENATE(" Total ",B492)</f>
        <v>#REF!</v>
      </c>
      <c r="B528" s="429"/>
      <c r="C528" s="102" t="e">
        <f>IF(OR(G492=0,G492=""),0,G492)</f>
        <v>#REF!</v>
      </c>
      <c r="D528" s="102" t="e">
        <f>ABS(C526-C528)</f>
        <v>#REF!</v>
      </c>
      <c r="E528" s="116" t="e">
        <f>IF(C528=0,100%,D528/C528)</f>
        <v>#REF!</v>
      </c>
      <c r="F528" s="35" t="e">
        <f>IF(C528&gt;C529," Increase"," Decrease")</f>
        <v>#REF!</v>
      </c>
      <c r="G528" s="117" t="e">
        <f>IF((C528+(C528*E528))=C526,"PASS","FAIL")</f>
        <v>#REF!</v>
      </c>
      <c r="H528" s="427" t="e">
        <f>IF(OR(C528=0,C528="")," ",CONCATENATE(B492," to ",B490," = ",TEXT(E528,"###.0%"),F528))</f>
        <v>#REF!</v>
      </c>
      <c r="I528" s="428"/>
      <c r="J528" s="428"/>
      <c r="K528" s="428"/>
      <c r="L528" s="429"/>
    </row>
    <row r="529" spans="1:13">
      <c r="A529"/>
      <c r="B529"/>
      <c r="C529" s="39"/>
      <c r="D529"/>
      <c r="E529"/>
      <c r="F529"/>
      <c r="G529"/>
      <c r="H529"/>
      <c r="I529"/>
      <c r="J529"/>
      <c r="K529"/>
      <c r="L529"/>
      <c r="M529"/>
    </row>
    <row r="530" spans="1:13">
      <c r="A530"/>
      <c r="B530"/>
      <c r="C530" s="39" t="e">
        <f>IF(AND(C526&gt;0,C527&gt;0,C528&gt;0),TRUE,FALSE)</f>
        <v>#REF!</v>
      </c>
      <c r="D530" t="e">
        <f>CONCATENATE("Variances in earnings:  ",H527,"  &amp;  ",H526)</f>
        <v>#REF!</v>
      </c>
      <c r="E530"/>
      <c r="F530"/>
      <c r="G530"/>
      <c r="H530"/>
      <c r="I530"/>
      <c r="J530"/>
      <c r="K530"/>
      <c r="L530"/>
    </row>
    <row r="531" spans="1:13">
      <c r="A531"/>
      <c r="B531"/>
      <c r="C531" s="39" t="e">
        <f>IF(AND(C526&gt;0,C527&gt;0,C528=0),TRUE,FALSE)</f>
        <v>#REF!</v>
      </c>
      <c r="D531" t="e">
        <f>CONCATENATE("Variances in earnings:  ",H526)</f>
        <v>#REF!</v>
      </c>
      <c r="E531"/>
      <c r="F531"/>
      <c r="G531"/>
      <c r="H531"/>
      <c r="I531"/>
      <c r="J531"/>
      <c r="K531"/>
      <c r="L531"/>
    </row>
    <row r="532" spans="1:13">
      <c r="A532"/>
      <c r="B532"/>
      <c r="C532" s="39" t="e">
        <f>IF(AND(C526&gt;0,C527=0,C528&gt;0),TRUE,FALSE)</f>
        <v>#REF!</v>
      </c>
      <c r="D532" t="e">
        <f>CONCATENATE("Variances in earnings:  ",H527)</f>
        <v>#REF!</v>
      </c>
      <c r="E532"/>
      <c r="F532"/>
      <c r="G532"/>
      <c r="H532"/>
      <c r="I532"/>
      <c r="J532"/>
      <c r="K532"/>
      <c r="L532"/>
    </row>
    <row r="533" spans="1:13">
      <c r="A533"/>
      <c r="B533"/>
      <c r="C533" s="39" t="e">
        <f>IF(AND(C527=0,C528=0,C529=0),TRUE,FALSE)</f>
        <v>#REF!</v>
      </c>
      <c r="D533" t="s">
        <v>280</v>
      </c>
      <c r="E533"/>
      <c r="F533"/>
      <c r="G533"/>
      <c r="H533"/>
      <c r="I533"/>
      <c r="J533"/>
      <c r="K533"/>
      <c r="L533"/>
    </row>
    <row r="534" spans="1:13">
      <c r="A534"/>
      <c r="B534"/>
      <c r="C534"/>
      <c r="D534"/>
      <c r="E534"/>
      <c r="F534"/>
      <c r="G534"/>
      <c r="H534"/>
      <c r="I534"/>
      <c r="J534"/>
      <c r="K534"/>
      <c r="L534"/>
    </row>
    <row r="535" spans="1:13">
      <c r="A535" s="434" t="s">
        <v>281</v>
      </c>
      <c r="B535" s="435"/>
      <c r="C535" s="435"/>
      <c r="D535" s="435"/>
      <c r="E535" s="435"/>
      <c r="F535" s="435"/>
      <c r="G535" s="435"/>
      <c r="H535" s="435"/>
      <c r="I535" s="435"/>
      <c r="J535" s="435"/>
      <c r="K535" s="435"/>
      <c r="L535" s="435"/>
      <c r="M535" s="436"/>
    </row>
    <row r="536" spans="1:13">
      <c r="A536"/>
      <c r="B536"/>
      <c r="C536"/>
      <c r="D536"/>
      <c r="E536"/>
      <c r="F536"/>
      <c r="G536"/>
      <c r="H536"/>
      <c r="I536"/>
      <c r="J536"/>
      <c r="K536"/>
      <c r="L536"/>
      <c r="M536"/>
    </row>
    <row r="537" spans="1:13">
      <c r="A537" t="s">
        <v>282</v>
      </c>
      <c r="B537"/>
      <c r="C537"/>
      <c r="D537" s="41" t="e">
        <f>D490</f>
        <v>#REF!</v>
      </c>
      <c r="E537"/>
      <c r="F537"/>
      <c r="G537"/>
      <c r="H537"/>
      <c r="I537"/>
      <c r="J537"/>
      <c r="K537"/>
      <c r="L537"/>
      <c r="M537"/>
    </row>
    <row r="538" spans="1:13">
      <c r="A538" t="s">
        <v>283</v>
      </c>
      <c r="B538"/>
      <c r="C538"/>
      <c r="D538" s="41" t="e">
        <f>IF(D537="","",EOMONTH(DATE(YEAR(D537),1,1),2))</f>
        <v>#REF!</v>
      </c>
      <c r="E538"/>
      <c r="F538"/>
      <c r="G538"/>
      <c r="H538"/>
      <c r="I538"/>
      <c r="J538"/>
      <c r="K538"/>
      <c r="L538"/>
      <c r="M538"/>
    </row>
    <row r="539" spans="1:13">
      <c r="A539" t="s">
        <v>284</v>
      </c>
      <c r="B539"/>
      <c r="C539"/>
      <c r="D539" s="41" t="e">
        <f>IF(D537&lt;D538,TRUE,FALSE)</f>
        <v>#REF!</v>
      </c>
      <c r="E539"/>
      <c r="F539"/>
      <c r="G539"/>
      <c r="H539"/>
      <c r="I539"/>
      <c r="J539"/>
      <c r="K539"/>
      <c r="L539"/>
      <c r="M539"/>
    </row>
    <row r="540" spans="1:13">
      <c r="A540"/>
      <c r="B540"/>
      <c r="C540"/>
      <c r="D540"/>
      <c r="E540"/>
      <c r="F540"/>
      <c r="G540"/>
      <c r="H540"/>
      <c r="I540"/>
      <c r="J540"/>
      <c r="K540"/>
      <c r="L540"/>
      <c r="M540"/>
    </row>
    <row r="541" spans="1:13">
      <c r="A541" t="e">
        <f>CONCATENATE(" Total earnings (",B490," YTD)")</f>
        <v>#REF!</v>
      </c>
      <c r="B541"/>
      <c r="C541"/>
      <c r="D541" s="83" t="e">
        <f>E490</f>
        <v>#REF!</v>
      </c>
      <c r="E541"/>
      <c r="F541" s="40">
        <f ca="1">EOMONTH(DATE(YEAR(TODAY()),1,1),2)</f>
        <v>46112</v>
      </c>
      <c r="G541"/>
      <c r="H541"/>
      <c r="I541"/>
      <c r="J541"/>
      <c r="K541"/>
      <c r="L541"/>
      <c r="M541"/>
    </row>
    <row r="542" spans="1:13">
      <c r="A542" t="e">
        <f>CONCATENATE(" Total earnings (",B491,")")</f>
        <v>#REF!</v>
      </c>
      <c r="B542"/>
      <c r="C542"/>
      <c r="D542" s="83" t="e">
        <f>IF(D539=TRUE,E491,0)</f>
        <v>#REF!</v>
      </c>
      <c r="E542"/>
      <c r="F542">
        <f>EOMONTH("01/01/2016",2)</f>
        <v>42460</v>
      </c>
      <c r="G542" s="41">
        <f>F542</f>
        <v>42460</v>
      </c>
      <c r="H542"/>
      <c r="I542"/>
      <c r="J542"/>
      <c r="K542"/>
      <c r="L542"/>
      <c r="M542"/>
    </row>
    <row r="543" spans="1:13">
      <c r="A543" t="s">
        <v>285</v>
      </c>
      <c r="B543"/>
      <c r="C543"/>
      <c r="D543" s="83" t="e">
        <f>D541+D542</f>
        <v>#REF!</v>
      </c>
      <c r="E543"/>
      <c r="F543"/>
      <c r="G543"/>
      <c r="H543"/>
      <c r="I543"/>
      <c r="J543"/>
      <c r="K543"/>
      <c r="L543"/>
      <c r="M543"/>
    </row>
    <row r="544" spans="1:13">
      <c r="A544"/>
      <c r="B544"/>
      <c r="C544"/>
      <c r="D544"/>
      <c r="E544"/>
      <c r="F544"/>
      <c r="G544"/>
      <c r="H544"/>
      <c r="I544"/>
      <c r="J544"/>
      <c r="K544"/>
      <c r="L544"/>
      <c r="M544"/>
    </row>
    <row r="545" spans="1:13">
      <c r="A545" t="e">
        <f>CONCATENATE(" Months included (",B490," YTD)")</f>
        <v>#REF!</v>
      </c>
      <c r="B545"/>
      <c r="C545"/>
      <c r="D545" s="120" t="e">
        <f>IF(F490="",0,F490)</f>
        <v>#REF!</v>
      </c>
      <c r="E545"/>
      <c r="F545"/>
      <c r="G545"/>
      <c r="H545"/>
      <c r="I545"/>
      <c r="J545"/>
      <c r="K545"/>
      <c r="L545"/>
      <c r="M545"/>
    </row>
    <row r="546" spans="1:13">
      <c r="A546" t="e">
        <f>CONCATENATE(" Months included (",B491,")")</f>
        <v>#REF!</v>
      </c>
      <c r="B546"/>
      <c r="C546"/>
      <c r="D546" s="120" t="e">
        <f>IF(D539=TRUE,F491,0)</f>
        <v>#REF!</v>
      </c>
      <c r="E546"/>
      <c r="F546"/>
      <c r="G546"/>
      <c r="H546"/>
      <c r="I546"/>
      <c r="J546"/>
      <c r="K546"/>
      <c r="L546"/>
      <c r="M546"/>
    </row>
    <row r="547" spans="1:13">
      <c r="A547" t="s">
        <v>286</v>
      </c>
      <c r="B547"/>
      <c r="C547"/>
      <c r="D547" s="120" t="e">
        <f>D545+D546</f>
        <v>#REF!</v>
      </c>
      <c r="E547"/>
      <c r="F547"/>
      <c r="G547"/>
      <c r="H547"/>
      <c r="I547"/>
      <c r="J547"/>
      <c r="K547"/>
      <c r="L547"/>
      <c r="M547"/>
    </row>
    <row r="548" spans="1:13">
      <c r="A548"/>
      <c r="B548"/>
      <c r="C548"/>
      <c r="D548"/>
      <c r="E548"/>
      <c r="F548"/>
      <c r="G548"/>
      <c r="H548"/>
      <c r="I548"/>
      <c r="J548"/>
      <c r="K548"/>
      <c r="L548"/>
      <c r="M548"/>
    </row>
    <row r="549" spans="1:13">
      <c r="A549" t="s">
        <v>285</v>
      </c>
      <c r="B549"/>
      <c r="C549"/>
      <c r="D549" s="86" t="e">
        <f>IF(OR(A490=FALSE,E490=""),0,D543)</f>
        <v>#REF!</v>
      </c>
      <c r="E549"/>
      <c r="F549" s="86"/>
      <c r="G549" s="246" t="s">
        <v>287</v>
      </c>
      <c r="H549"/>
      <c r="I549"/>
      <c r="J549"/>
      <c r="K549"/>
      <c r="L549"/>
      <c r="M549"/>
    </row>
    <row r="550" spans="1:13">
      <c r="A550" t="s">
        <v>288</v>
      </c>
      <c r="B550"/>
      <c r="C550"/>
      <c r="D550" s="120" t="e">
        <f>IF(OR(A490=FALSE,E490="",E490=0,F490=0),0,D547)</f>
        <v>#REF!</v>
      </c>
      <c r="E550"/>
      <c r="F550" s="112"/>
      <c r="G550" s="246" t="s">
        <v>289</v>
      </c>
      <c r="H550"/>
      <c r="I550"/>
      <c r="J550"/>
      <c r="K550"/>
      <c r="L550"/>
      <c r="M550"/>
    </row>
    <row r="551" spans="1:13">
      <c r="A551" t="s">
        <v>230</v>
      </c>
      <c r="B551"/>
      <c r="C551"/>
      <c r="D551" s="121" t="e">
        <f>D480</f>
        <v>#REF!</v>
      </c>
      <c r="E551"/>
      <c r="F551" s="83"/>
      <c r="G551" s="246" t="s">
        <v>231</v>
      </c>
      <c r="H551" s="122"/>
      <c r="I551" s="122"/>
      <c r="J551" s="122"/>
      <c r="K551"/>
      <c r="L551"/>
      <c r="M551"/>
    </row>
    <row r="552" spans="1:13">
      <c r="A552" t="s">
        <v>290</v>
      </c>
      <c r="B552"/>
      <c r="C552"/>
      <c r="D552" s="83" t="e">
        <f>IF(OR(D549=0,D550=0,),0,D549/D550)</f>
        <v>#REF!</v>
      </c>
      <c r="E552"/>
      <c r="F552" s="83"/>
      <c r="G552" s="246" t="s">
        <v>291</v>
      </c>
      <c r="H552" s="122"/>
      <c r="I552" s="122"/>
      <c r="J552" s="122"/>
      <c r="K552"/>
      <c r="L552"/>
      <c r="M552"/>
    </row>
    <row r="553" spans="1:13">
      <c r="A553" t="s">
        <v>292</v>
      </c>
      <c r="B553"/>
      <c r="C553"/>
      <c r="D553" s="83" t="e">
        <f>H493</f>
        <v>#REF!</v>
      </c>
      <c r="E553"/>
      <c r="F553" s="83"/>
      <c r="G553" s="246" t="s">
        <v>293</v>
      </c>
      <c r="H553" s="122"/>
      <c r="I553" s="122"/>
      <c r="J553" s="122"/>
      <c r="K553"/>
      <c r="L553"/>
      <c r="M553"/>
    </row>
    <row r="554" spans="1:13">
      <c r="A554"/>
      <c r="B554"/>
      <c r="C554"/>
      <c r="D554" s="83"/>
      <c r="E554"/>
      <c r="F554" s="83"/>
      <c r="G554" s="122"/>
      <c r="H554" s="122"/>
      <c r="I554" s="122"/>
      <c r="J554" s="122"/>
      <c r="K554"/>
      <c r="L554"/>
      <c r="M554"/>
    </row>
    <row r="555" spans="1:13">
      <c r="A555" t="s">
        <v>294</v>
      </c>
      <c r="B555"/>
      <c r="C555"/>
      <c r="D555" s="83"/>
      <c r="E555"/>
      <c r="F555" s="83"/>
      <c r="G555" s="122"/>
      <c r="H555" s="122"/>
      <c r="I555" s="122"/>
      <c r="J555" s="122"/>
      <c r="K555"/>
      <c r="L555"/>
      <c r="M555"/>
    </row>
    <row r="556" spans="1:13">
      <c r="A556" s="123" t="s">
        <v>295</v>
      </c>
      <c r="B556"/>
      <c r="C556"/>
      <c r="D556" s="83" t="e">
        <f>D552</f>
        <v>#REF!</v>
      </c>
      <c r="E556"/>
      <c r="F556" s="83"/>
      <c r="G556" s="122"/>
      <c r="H556" s="122"/>
      <c r="I556" s="122"/>
      <c r="J556" s="122"/>
      <c r="K556"/>
      <c r="L556"/>
      <c r="M556"/>
    </row>
    <row r="557" spans="1:13">
      <c r="A557" s="123" t="s">
        <v>296</v>
      </c>
      <c r="B557"/>
      <c r="C557"/>
      <c r="D557" s="83" t="e">
        <f>D556*12</f>
        <v>#REF!</v>
      </c>
      <c r="E557"/>
      <c r="F557" s="83"/>
      <c r="G557" s="122"/>
      <c r="H557" s="122"/>
      <c r="I557" s="122"/>
      <c r="J557" s="122"/>
      <c r="K557"/>
      <c r="L557"/>
      <c r="M557"/>
    </row>
    <row r="558" spans="1:13">
      <c r="A558" s="123" t="s">
        <v>297</v>
      </c>
      <c r="B558"/>
      <c r="C558"/>
      <c r="D558" s="83" t="e">
        <f>D557/52</f>
        <v>#REF!</v>
      </c>
      <c r="E558"/>
      <c r="F558" s="83"/>
      <c r="G558" s="122"/>
      <c r="H558" s="122"/>
      <c r="I558" s="122"/>
      <c r="J558" s="122"/>
      <c r="K558"/>
      <c r="L558"/>
      <c r="M558"/>
    </row>
    <row r="559" spans="1:13">
      <c r="A559" s="123" t="s">
        <v>298</v>
      </c>
      <c r="B559"/>
      <c r="C559"/>
      <c r="D559" s="83" t="e">
        <f>D480</f>
        <v>#REF!</v>
      </c>
      <c r="E559"/>
      <c r="F559" s="83"/>
      <c r="G559" s="122"/>
      <c r="H559" s="122"/>
      <c r="I559" s="122"/>
      <c r="J559" s="122"/>
      <c r="K559"/>
      <c r="L559"/>
      <c r="M559"/>
    </row>
    <row r="560" spans="1:13">
      <c r="A560" s="123" t="s">
        <v>299</v>
      </c>
      <c r="B560"/>
      <c r="C560"/>
      <c r="D560" s="83" t="e">
        <f>IF(D559=0,0,IF(D486=TRUE,40,IF(AND(D486=FALSE,D559&gt;0,D482="Hourly (H)",E490=0),40,IF((D558/D559)&gt;40,40,D558/D559))))</f>
        <v>#REF!</v>
      </c>
      <c r="E560"/>
      <c r="F560" s="83"/>
      <c r="G560" s="122"/>
      <c r="H560" s="122"/>
      <c r="I560" s="122"/>
      <c r="J560" s="122"/>
      <c r="K560"/>
      <c r="L560"/>
      <c r="M560"/>
    </row>
    <row r="561" spans="1:13">
      <c r="A561" s="123" t="s">
        <v>300</v>
      </c>
      <c r="B561"/>
      <c r="C561"/>
      <c r="D561" s="84" t="e">
        <f>IF(D482="Hourly (H)",D560,"N/A")</f>
        <v>#REF!</v>
      </c>
      <c r="E561"/>
      <c r="F561" s="83"/>
      <c r="G561" s="122"/>
      <c r="H561" s="122"/>
      <c r="I561" s="122"/>
      <c r="J561" s="122"/>
      <c r="K561"/>
      <c r="L561"/>
      <c r="M561"/>
    </row>
    <row r="562" spans="1:13">
      <c r="A562" s="123" t="s">
        <v>301</v>
      </c>
      <c r="B562"/>
      <c r="C562"/>
      <c r="D562" s="83" t="e">
        <f>IF(D559=0,"Weekly",IF(OR(D482&lt;&gt;"Hourly (H)",(D558/D559)&gt;40),"Weekly","Average Weekly"))</f>
        <v>#REF!</v>
      </c>
      <c r="E562"/>
      <c r="F562" s="83"/>
      <c r="G562" s="122"/>
      <c r="H562" s="122"/>
      <c r="I562" s="122"/>
      <c r="J562" s="122"/>
      <c r="K562"/>
      <c r="L562"/>
      <c r="M562"/>
    </row>
    <row r="563" spans="1:13">
      <c r="A563"/>
      <c r="B563"/>
      <c r="C563"/>
      <c r="D563" s="83"/>
      <c r="E563"/>
      <c r="F563" s="83"/>
      <c r="G563" s="122"/>
      <c r="H563" s="122"/>
      <c r="I563" s="122"/>
      <c r="J563" s="122"/>
      <c r="K563"/>
      <c r="L563"/>
      <c r="M563"/>
    </row>
    <row r="564" spans="1:13">
      <c r="A564" t="e">
        <f>CONCATENATE(" Total days (",B490," YTD)")</f>
        <v>#REF!</v>
      </c>
      <c r="B564"/>
      <c r="C564"/>
      <c r="D564" s="83" t="e">
        <f>IF(D490="",0,(D490-C490)+1)</f>
        <v>#REF!</v>
      </c>
      <c r="E564"/>
      <c r="F564" s="83"/>
      <c r="G564" s="246" t="s">
        <v>302</v>
      </c>
      <c r="H564" s="122"/>
      <c r="I564" s="122"/>
      <c r="J564" s="122"/>
      <c r="K564"/>
      <c r="L564"/>
      <c r="M564"/>
    </row>
    <row r="565" spans="1:13">
      <c r="A565" t="e">
        <f>CONCATENATE(" Total days (",B491,")")</f>
        <v>#REF!</v>
      </c>
      <c r="B565"/>
      <c r="C565"/>
      <c r="D565" s="83" t="e">
        <f>IF(D539=TRUE,(D491-C491)+1,0)</f>
        <v>#REF!</v>
      </c>
      <c r="E565"/>
      <c r="F565" s="83"/>
      <c r="G565" s="246" t="s">
        <v>302</v>
      </c>
      <c r="H565" s="122"/>
      <c r="I565" s="122"/>
      <c r="J565" s="122"/>
      <c r="K565"/>
      <c r="L565"/>
      <c r="M565"/>
    </row>
    <row r="566" spans="1:13">
      <c r="A566" t="s">
        <v>303</v>
      </c>
      <c r="B566"/>
      <c r="C566"/>
      <c r="D566" s="83" t="e">
        <f>SUM(D564:D565)</f>
        <v>#REF!</v>
      </c>
      <c r="E566"/>
      <c r="F566" s="83"/>
      <c r="G566" s="246" t="s">
        <v>304</v>
      </c>
      <c r="H566" s="122"/>
      <c r="I566" s="122"/>
      <c r="J566" s="122"/>
      <c r="K566"/>
      <c r="L566"/>
      <c r="M566"/>
    </row>
    <row r="567" spans="1:13">
      <c r="A567"/>
      <c r="B567"/>
      <c r="C567"/>
      <c r="D567" s="83"/>
      <c r="E567"/>
      <c r="F567" s="83"/>
      <c r="G567" s="122"/>
      <c r="H567" s="122"/>
      <c r="I567" s="122"/>
      <c r="J567" s="122"/>
      <c r="K567"/>
      <c r="L567"/>
      <c r="M567"/>
    </row>
    <row r="568" spans="1:13">
      <c r="A568" t="e">
        <f>CONCATENATE(" Total weeks (",B490," YTD)")</f>
        <v>#REF!</v>
      </c>
      <c r="B568"/>
      <c r="C568"/>
      <c r="D568" s="83" t="e">
        <f>ROUND(D564/7,0)</f>
        <v>#REF!</v>
      </c>
      <c r="E568"/>
      <c r="F568" s="83"/>
      <c r="G568" s="246" t="s">
        <v>305</v>
      </c>
      <c r="H568" s="122"/>
      <c r="I568" s="122"/>
      <c r="J568" s="122"/>
      <c r="K568"/>
      <c r="L568"/>
      <c r="M568"/>
    </row>
    <row r="569" spans="1:13">
      <c r="A569" t="e">
        <f>CONCATENATE(" Total weeks (",B491,")")</f>
        <v>#REF!</v>
      </c>
      <c r="B569"/>
      <c r="C569"/>
      <c r="D569" s="83" t="e">
        <f>IF(D539=TRUE,ROUND(D565/7,0),0)</f>
        <v>#REF!</v>
      </c>
      <c r="E569"/>
      <c r="F569" s="83"/>
      <c r="G569" s="246" t="s">
        <v>305</v>
      </c>
      <c r="H569" s="122"/>
      <c r="I569" s="122"/>
      <c r="J569" s="122"/>
      <c r="K569"/>
      <c r="L569"/>
      <c r="M569"/>
    </row>
    <row r="570" spans="1:13">
      <c r="A570" t="s">
        <v>306</v>
      </c>
      <c r="B570"/>
      <c r="C570"/>
      <c r="D570" s="83" t="e">
        <f>SUM(D568:D569)</f>
        <v>#REF!</v>
      </c>
      <c r="E570"/>
      <c r="F570" s="83"/>
      <c r="G570" s="246" t="s">
        <v>307</v>
      </c>
      <c r="H570" s="122"/>
      <c r="I570" s="122"/>
      <c r="J570" s="122"/>
      <c r="K570"/>
      <c r="L570"/>
      <c r="M570"/>
    </row>
    <row r="571" spans="1:13">
      <c r="A571"/>
      <c r="B571"/>
      <c r="C571"/>
      <c r="D571" s="83"/>
      <c r="E571"/>
      <c r="F571" s="83"/>
      <c r="G571" s="122"/>
      <c r="H571" s="122"/>
      <c r="I571" s="122"/>
      <c r="J571" s="122"/>
      <c r="K571"/>
      <c r="L571"/>
      <c r="M571"/>
    </row>
    <row r="572" spans="1:13">
      <c r="A572" t="s">
        <v>308</v>
      </c>
      <c r="B572"/>
      <c r="C572"/>
      <c r="D572" s="83" t="e">
        <f>(D552*12)/52</f>
        <v>#REF!</v>
      </c>
      <c r="E572"/>
      <c r="F572" s="83"/>
      <c r="G572" s="246" t="s">
        <v>309</v>
      </c>
      <c r="H572" s="122"/>
      <c r="I572" s="122"/>
      <c r="J572" s="122"/>
      <c r="K572"/>
      <c r="L572"/>
      <c r="M572"/>
    </row>
    <row r="573" spans="1:13">
      <c r="A573" t="s">
        <v>310</v>
      </c>
      <c r="B573"/>
      <c r="C573"/>
      <c r="D573" s="83" t="e">
        <f>IF(OR(D482=0,D572=0),0,IF(OR(D482=A473,D482=A474,D482=A476),D480,D480/VLOOKUP(D482,A469:E477,3)))</f>
        <v>#REF!</v>
      </c>
      <c r="E573"/>
      <c r="F573" s="83"/>
      <c r="G573" s="246" t="s">
        <v>311</v>
      </c>
      <c r="H573" s="122"/>
      <c r="I573" s="122"/>
      <c r="J573" s="122"/>
      <c r="K573"/>
      <c r="L573"/>
      <c r="M573"/>
    </row>
    <row r="574" spans="1:13">
      <c r="A574" t="s">
        <v>312</v>
      </c>
      <c r="B574"/>
      <c r="C574"/>
      <c r="D574" s="120" t="e">
        <f>IF(D573=0,0,ROUND(D572/D573,1))</f>
        <v>#REF!</v>
      </c>
      <c r="E574" s="83"/>
      <c r="F574" s="83"/>
      <c r="G574" s="246" t="s">
        <v>313</v>
      </c>
      <c r="H574"/>
      <c r="I574"/>
      <c r="J574"/>
      <c r="K574" s="83"/>
      <c r="L574"/>
      <c r="M574"/>
    </row>
    <row r="575" spans="1:13">
      <c r="A575"/>
      <c r="B575"/>
      <c r="C575"/>
      <c r="D575"/>
      <c r="E575"/>
      <c r="F575"/>
      <c r="G575"/>
      <c r="H575"/>
      <c r="I575"/>
      <c r="J575"/>
      <c r="K575"/>
      <c r="L575"/>
      <c r="M575"/>
    </row>
    <row r="576" spans="1:13">
      <c r="A576" t="s">
        <v>314</v>
      </c>
      <c r="B576"/>
      <c r="C576"/>
      <c r="D576" s="121" t="e">
        <f>IF(OR(D482=A473,D482=A474,D482=A476),J493,D485)</f>
        <v>#REF!</v>
      </c>
      <c r="E576"/>
      <c r="F576"/>
      <c r="G576" s="246" t="s">
        <v>315</v>
      </c>
      <c r="H576"/>
      <c r="I576"/>
      <c r="J576"/>
      <c r="K576"/>
      <c r="L576"/>
      <c r="M576"/>
    </row>
    <row r="577" spans="1:13">
      <c r="A577" t="s">
        <v>288</v>
      </c>
      <c r="B577"/>
      <c r="C577"/>
      <c r="D577" s="121" t="e">
        <f>IF(OR(E490="",E490=0,A490=FALSE),"",ROUND((((D490-C490)+1)/365)*12,1))</f>
        <v>#REF!</v>
      </c>
      <c r="E577"/>
      <c r="F577" t="e">
        <f>VLOOKUP(D482,D415:G420,4)</f>
        <v>#REF!</v>
      </c>
      <c r="G577" s="246" t="s">
        <v>316</v>
      </c>
      <c r="H577"/>
      <c r="I577"/>
      <c r="J577"/>
      <c r="K577"/>
      <c r="L577"/>
      <c r="M577"/>
    </row>
    <row r="578" spans="1:13">
      <c r="A578" t="s">
        <v>317</v>
      </c>
      <c r="B578"/>
      <c r="C578"/>
      <c r="D578" s="83" t="e">
        <f>IF(OR(D576=0,D576="",D577=0,D577=""),0,ROUND(D576*D577,0))</f>
        <v>#REF!</v>
      </c>
      <c r="E578"/>
      <c r="F578"/>
      <c r="G578" s="246" t="s">
        <v>318</v>
      </c>
      <c r="H578"/>
      <c r="I578"/>
      <c r="J578"/>
      <c r="K578"/>
      <c r="L578"/>
      <c r="M578"/>
    </row>
    <row r="579" spans="1:13">
      <c r="A579"/>
      <c r="B579"/>
      <c r="C579"/>
      <c r="D579"/>
      <c r="E579"/>
      <c r="F579"/>
      <c r="G579"/>
      <c r="H579"/>
      <c r="I579"/>
      <c r="J579"/>
      <c r="K579"/>
      <c r="L579"/>
      <c r="M579"/>
    </row>
    <row r="580" spans="1:13">
      <c r="A580" s="441" t="s">
        <v>319</v>
      </c>
      <c r="B580" s="441"/>
      <c r="C580" s="441"/>
      <c r="D580" s="441"/>
      <c r="E580" s="441"/>
      <c r="F580" s="441"/>
      <c r="G580" s="441"/>
      <c r="H580" s="441"/>
      <c r="I580" s="441"/>
      <c r="J580" s="441"/>
      <c r="K580" s="441"/>
      <c r="L580"/>
      <c r="M580"/>
    </row>
    <row r="581" spans="1:13">
      <c r="A581"/>
      <c r="B581" s="83"/>
      <c r="C581" s="112"/>
      <c r="D581" s="113"/>
      <c r="E581"/>
      <c r="F581"/>
      <c r="G581"/>
      <c r="H581"/>
      <c r="I581"/>
      <c r="J581"/>
      <c r="K581"/>
      <c r="L581"/>
      <c r="M581"/>
    </row>
    <row r="582" spans="1:13">
      <c r="A582" t="s">
        <v>320</v>
      </c>
      <c r="B582" s="83"/>
      <c r="C582" s="112"/>
      <c r="D582" t="e">
        <f>VLOOKUP(TRUE,C530:D533,2,FALSE)</f>
        <v>#N/A</v>
      </c>
      <c r="E582"/>
      <c r="F582"/>
      <c r="G582"/>
      <c r="H582"/>
      <c r="I582"/>
      <c r="J582"/>
      <c r="K582"/>
      <c r="L582"/>
      <c r="M582"/>
    </row>
    <row r="583" spans="1:13">
      <c r="A583"/>
      <c r="B583" s="83"/>
      <c r="C583" s="112"/>
      <c r="D583"/>
      <c r="E583"/>
      <c r="F583"/>
      <c r="G583"/>
      <c r="H583"/>
      <c r="I583"/>
      <c r="J583"/>
      <c r="K583"/>
      <c r="L583"/>
      <c r="M583"/>
    </row>
    <row r="584" spans="1:13">
      <c r="A584" t="s">
        <v>321</v>
      </c>
      <c r="B584" s="83"/>
      <c r="C584" s="112"/>
      <c r="D584" t="e">
        <f>IF(AND(D585=FALSE,D586=FALSE,D587=FALSE,D588=FALSE,D589=FALSE,D590=FALSE),TRUE,FALSE)</f>
        <v>#REF!</v>
      </c>
      <c r="E584" t="s">
        <v>322</v>
      </c>
      <c r="F584"/>
      <c r="G584"/>
      <c r="H584"/>
      <c r="I584"/>
      <c r="J584"/>
      <c r="K584"/>
      <c r="L584"/>
      <c r="M584"/>
    </row>
    <row r="585" spans="1:13">
      <c r="A585" s="123" t="s">
        <v>323</v>
      </c>
      <c r="B585" s="83"/>
      <c r="C585" s="112"/>
      <c r="D585" t="b">
        <f>IF(D486=TRUE,TRUE,FALSE)</f>
        <v>0</v>
      </c>
      <c r="E585" t="s">
        <v>324</v>
      </c>
      <c r="F585"/>
      <c r="G585"/>
      <c r="H585"/>
      <c r="I585"/>
      <c r="J585"/>
      <c r="K585"/>
      <c r="L585"/>
      <c r="M585"/>
    </row>
    <row r="586" spans="1:13">
      <c r="A586" s="123" t="s">
        <v>0</v>
      </c>
      <c r="B586" s="83"/>
      <c r="C586" s="112"/>
      <c r="D586" t="e">
        <f>IF(AND(D486=FALSE,D485&gt;0,D518&gt;0,D518=D485),TRUE,FALSE)</f>
        <v>#REF!</v>
      </c>
      <c r="E586" t="s">
        <v>325</v>
      </c>
      <c r="F586"/>
      <c r="G586"/>
      <c r="H586"/>
      <c r="I586"/>
      <c r="J586"/>
      <c r="K586"/>
      <c r="L586"/>
      <c r="M586"/>
    </row>
    <row r="587" spans="1:13">
      <c r="A587" s="123" t="s">
        <v>326</v>
      </c>
      <c r="B587" s="83"/>
      <c r="C587" s="112"/>
      <c r="D587" t="e">
        <f>IF(AND(D486&lt;&gt;FALSE,D518&lt;D485),TRUE,FALSE)</f>
        <v>#REF!</v>
      </c>
      <c r="E587" t="s">
        <v>327</v>
      </c>
      <c r="F587"/>
      <c r="G587"/>
      <c r="H587"/>
      <c r="I587"/>
      <c r="J587"/>
      <c r="K587"/>
      <c r="L587"/>
      <c r="M587"/>
    </row>
    <row r="588" spans="1:13">
      <c r="A588" s="123" t="s">
        <v>328</v>
      </c>
      <c r="B588" s="83"/>
      <c r="C588" s="112"/>
      <c r="D588" t="e">
        <f>IF(AND(M490=TRUE,M491=TRUE,M492=TRUE,OR(D482="Part-Time",D482="Varies",D482="Varies / Averaged",D482="Seasonal")),TRUE,FALSE)</f>
        <v>#REF!</v>
      </c>
      <c r="E588" t="e">
        <f>CONCATENATE("Total qualifying income determined with earnings averaged from YTD ",B490,", Year ",B491,", and Year ",B492,".")</f>
        <v>#REF!</v>
      </c>
      <c r="F588"/>
      <c r="G588"/>
      <c r="H588"/>
      <c r="I588"/>
      <c r="J588"/>
      <c r="K588"/>
      <c r="L588"/>
      <c r="M588"/>
    </row>
    <row r="589" spans="1:13">
      <c r="A589" s="123" t="s">
        <v>329</v>
      </c>
      <c r="B589" s="83"/>
      <c r="C589" s="112"/>
      <c r="D589" t="e">
        <f>IF(AND(M490=TRUE,M491=TRUE,M492=FALSE,OR(D482="Part-Time",D482="Varies",D482="Varies / Averaged",D482="Seasonal")),TRUE,FALSE)</f>
        <v>#REF!</v>
      </c>
      <c r="E589" t="e">
        <f>CONCATENATE("Total qualifying income determined with earnings averaged from YTD ",B490,", and Year ",B491,".")</f>
        <v>#REF!</v>
      </c>
      <c r="F589"/>
      <c r="G589"/>
      <c r="H589"/>
      <c r="I589"/>
      <c r="J589"/>
      <c r="K589"/>
      <c r="L589"/>
      <c r="M589"/>
    </row>
    <row r="590" spans="1:13">
      <c r="A590" s="123" t="s">
        <v>330</v>
      </c>
      <c r="B590" s="83"/>
      <c r="C590" s="112"/>
      <c r="D590" t="e">
        <f>IF(AND(M490=TRUE,M491=FALSE,M492=FALSE,D552&gt;=J493,OR(D482="Part-Time",D482="Varies",D482="Varies / Averaged",D482="Seasonal")),TRUE,FALSE)</f>
        <v>#REF!</v>
      </c>
      <c r="E590" t="e">
        <f>CONCATENATE("Total qualifying income determined with earnings averaged from YTD ",B490,".")</f>
        <v>#REF!</v>
      </c>
      <c r="F590"/>
      <c r="G590"/>
      <c r="H590"/>
      <c r="I590"/>
      <c r="J590"/>
      <c r="K590"/>
      <c r="L590"/>
      <c r="M590"/>
    </row>
    <row r="591" spans="1:13">
      <c r="A591"/>
      <c r="B591" s="83"/>
      <c r="C591" s="112"/>
      <c r="D591"/>
      <c r="E591"/>
      <c r="F591"/>
      <c r="G591"/>
      <c r="H591"/>
      <c r="I591"/>
      <c r="J591"/>
      <c r="K591"/>
      <c r="L591"/>
      <c r="M591"/>
    </row>
    <row r="592" spans="1:13">
      <c r="A592" t="s">
        <v>331</v>
      </c>
      <c r="B592"/>
      <c r="C592"/>
      <c r="D592" t="str">
        <f>IF(ISERROR(J493),"Total qualifying income to be determined.",VLOOKUP(TRUE,D584:E590,2,FALSE))</f>
        <v>Total qualifying income to be determined.</v>
      </c>
      <c r="E592"/>
      <c r="F592"/>
      <c r="G592"/>
      <c r="H592"/>
      <c r="I592"/>
      <c r="J592"/>
      <c r="K592"/>
      <c r="L592"/>
      <c r="M592"/>
    </row>
    <row r="593" spans="1:13">
      <c r="A593"/>
      <c r="B593"/>
      <c r="C593"/>
      <c r="D593"/>
      <c r="E593"/>
      <c r="F593"/>
      <c r="G593"/>
      <c r="H593"/>
      <c r="I593"/>
      <c r="J593"/>
      <c r="K593"/>
      <c r="L593"/>
      <c r="M593"/>
    </row>
    <row r="594" spans="1:13">
      <c r="A594" t="s">
        <v>332</v>
      </c>
      <c r="B594"/>
      <c r="C594"/>
      <c r="D594" t="str">
        <f>IF(ISERROR(J493),"Average weekly hours worked to be determined.",IF(AND(E490=0,E491=0,E492=0),"Average weekly hours worked to be determined.",IF(OR(D480=0,D480="",D482=A474,D482=A476),"Average weekly hours worked vary.",CONCATENATE("YTD earnings, at current rate of pay, reflect borrower is working an average of ",TEXT(D574,"##.0")," hours weekly."))))</f>
        <v>Average weekly hours worked to be determined.</v>
      </c>
      <c r="E594"/>
      <c r="F594"/>
      <c r="G594"/>
      <c r="H594"/>
      <c r="I594"/>
      <c r="J594"/>
      <c r="K594"/>
      <c r="L594"/>
      <c r="M594"/>
    </row>
    <row r="595" spans="1:13">
      <c r="A595"/>
      <c r="B595"/>
      <c r="C595"/>
      <c r="D595"/>
      <c r="E595"/>
      <c r="F595"/>
      <c r="G595"/>
      <c r="H595"/>
      <c r="I595"/>
      <c r="J595"/>
      <c r="K595"/>
      <c r="L595"/>
      <c r="M595"/>
    </row>
    <row r="596" spans="1:13">
      <c r="A596" t="s">
        <v>333</v>
      </c>
      <c r="B596"/>
      <c r="C596"/>
      <c r="D596" t="e">
        <f>IF(OR(ISERROR(J493),C490="",D578=0),"Expected amount of YTD earnings to be determined.",VLOOKUP(D482,A469:E477,5,FALSE))</f>
        <v>#REF!</v>
      </c>
      <c r="E596"/>
      <c r="F596"/>
      <c r="G596"/>
      <c r="H596"/>
      <c r="I596"/>
      <c r="J596"/>
      <c r="K596"/>
      <c r="L596"/>
      <c r="M596"/>
    </row>
    <row r="597" spans="1:13">
      <c r="A597"/>
      <c r="B597"/>
      <c r="C597"/>
      <c r="D597"/>
      <c r="E597"/>
      <c r="F597"/>
      <c r="G597"/>
      <c r="H597"/>
      <c r="I597"/>
      <c r="J597"/>
      <c r="K597"/>
      <c r="L597"/>
      <c r="M597"/>
    </row>
    <row r="598" spans="1:13">
      <c r="A598" t="s">
        <v>334</v>
      </c>
      <c r="B598" s="83"/>
      <c r="C598" s="112"/>
      <c r="D598" t="e">
        <f>IF(OR(ISERROR(J493),F493=0),"Total Average Base Earnings and period covered to be determined.",CONCATENATE("Total Average Base Earnings For The Past ",Data_Income!I493," Months = ",DOLLAR(ROUND(J493,0),2)))</f>
        <v>#REF!</v>
      </c>
      <c r="E598"/>
      <c r="F598"/>
      <c r="G598"/>
      <c r="H598"/>
      <c r="I598"/>
      <c r="J598"/>
      <c r="K598"/>
      <c r="L598"/>
      <c r="M598"/>
    </row>
    <row r="599" spans="1:13">
      <c r="A599"/>
      <c r="B599"/>
      <c r="C599"/>
      <c r="D599"/>
      <c r="E599"/>
      <c r="F599"/>
      <c r="G599"/>
      <c r="H599"/>
      <c r="I599"/>
      <c r="J599"/>
      <c r="K599"/>
      <c r="L599"/>
      <c r="M599"/>
    </row>
    <row r="600" spans="1:13" ht="18" customHeight="1">
      <c r="A600" s="419" t="s">
        <v>342</v>
      </c>
      <c r="B600" s="420"/>
      <c r="C600" s="420"/>
      <c r="D600" s="420"/>
      <c r="E600" s="420"/>
      <c r="F600" s="420"/>
      <c r="G600" s="420"/>
      <c r="H600" s="420"/>
      <c r="I600" s="420"/>
      <c r="J600" s="420"/>
      <c r="K600" s="420"/>
      <c r="L600" s="420"/>
      <c r="M600" s="421"/>
    </row>
    <row r="601" spans="1:13">
      <c r="A601"/>
      <c r="B601" s="83"/>
      <c r="C601" s="112"/>
      <c r="D601" s="113"/>
      <c r="E601"/>
      <c r="F601"/>
      <c r="G601"/>
      <c r="H601"/>
      <c r="I601"/>
      <c r="J601"/>
      <c r="K601"/>
      <c r="L601"/>
      <c r="M601"/>
    </row>
    <row r="602" spans="1:13">
      <c r="A602" s="441" t="s">
        <v>171</v>
      </c>
      <c r="B602" s="441"/>
      <c r="C602" s="441"/>
      <c r="D602" s="441"/>
      <c r="E602" s="441"/>
      <c r="F602" s="441"/>
      <c r="G602" s="441"/>
      <c r="H602" s="441"/>
      <c r="I602" s="441"/>
      <c r="J602" s="441"/>
      <c r="K602" s="441"/>
      <c r="L602"/>
      <c r="M602"/>
    </row>
    <row r="603" spans="1:13">
      <c r="A603" s="125">
        <v>1</v>
      </c>
      <c r="B603" s="125">
        <v>2</v>
      </c>
      <c r="C603" s="125">
        <v>3</v>
      </c>
      <c r="D603" s="124">
        <v>4</v>
      </c>
      <c r="E603" s="107">
        <v>5</v>
      </c>
      <c r="F603" s="126"/>
      <c r="G603" s="126"/>
      <c r="H603" s="126"/>
      <c r="I603" s="126"/>
      <c r="J603" s="126"/>
      <c r="K603" s="127"/>
      <c r="L603"/>
      <c r="M603"/>
    </row>
    <row r="604" spans="1:13">
      <c r="A604" s="53" t="s">
        <v>174</v>
      </c>
      <c r="B604" s="53" t="s">
        <v>175</v>
      </c>
      <c r="C604" s="53" t="s">
        <v>176</v>
      </c>
      <c r="D604" s="53" t="s">
        <v>177</v>
      </c>
      <c r="E604" s="75" t="s">
        <v>227</v>
      </c>
      <c r="F604" s="76"/>
      <c r="G604" s="76"/>
      <c r="H604" s="76"/>
      <c r="I604" s="76"/>
      <c r="J604" s="76"/>
      <c r="K604" s="79"/>
      <c r="L604"/>
      <c r="M604"/>
    </row>
    <row r="605" spans="1:13">
      <c r="A605" s="58" t="str">
        <f>$C$54</f>
        <v>Annually (1)</v>
      </c>
      <c r="B605" s="56">
        <f>$E$49</f>
        <v>1</v>
      </c>
      <c r="C605" s="59">
        <f>$F$49</f>
        <v>2080</v>
      </c>
      <c r="D605" s="58" t="str">
        <f>$G$49</f>
        <v>annually</v>
      </c>
      <c r="E605" s="77" t="e">
        <f>IF(D618=0,"N/A",CONCATENATE("Working full-time at current rate of pay (",DOLLAR(D680,0)," annually), borrower's YTD earnings would need to reflect ",DOLLAR(D707,0)," as the total amount of base earnings from ",MONTH(C626),"/",DAY(C626),"/",YEAR(C626)," to ",MONTH(D626),"/",DAY(D626),"/",YEAR(D626)," (excluding bonus, commissions, differential, incentive, overtime, etc.)."))</f>
        <v>#REF!</v>
      </c>
      <c r="F605" s="76"/>
      <c r="G605" s="76"/>
      <c r="H605" s="76"/>
      <c r="I605" s="76"/>
      <c r="J605" s="76"/>
      <c r="K605" s="80"/>
      <c r="L605"/>
      <c r="M605"/>
    </row>
    <row r="606" spans="1:13">
      <c r="A606" s="245" t="str">
        <f>$C$51</f>
        <v>Bi-Weekly (26)</v>
      </c>
      <c r="B606" s="56">
        <f>$E$50</f>
        <v>26</v>
      </c>
      <c r="C606" s="59">
        <f>$F$50</f>
        <v>80</v>
      </c>
      <c r="D606" s="58" t="str">
        <f>$G$50</f>
        <v>bi-weekly</v>
      </c>
      <c r="E606" s="77" t="e">
        <f>IF(D618=0,"N/A",CONCATENATE("Working full-time at current rate of pay (",DOLLAR(D680,0)," bi-weekly), borrower's YTD earnings would need to reflect ",DOLLAR(D707,0)," as the total amount of base earnings from ",MONTH(C626),"/",DAY(C626),"/",YEAR(C626)," to ",MONTH(D626),"/",DAY(D626),"/",YEAR(D626)," (excluding bonus, commissions, differential, incentive, overtime, etc.)."))</f>
        <v>#REF!</v>
      </c>
      <c r="F606" s="76"/>
      <c r="G606" s="76"/>
      <c r="H606" s="76"/>
      <c r="I606" s="76"/>
      <c r="J606" s="76"/>
      <c r="K606" s="80"/>
      <c r="L606"/>
      <c r="M606"/>
    </row>
    <row r="607" spans="1:13">
      <c r="A607" s="58" t="str">
        <f>$C$49</f>
        <v>Hourly (H)</v>
      </c>
      <c r="B607" s="56">
        <f>$E$51</f>
        <v>2080</v>
      </c>
      <c r="C607" s="59">
        <f>$F$51</f>
        <v>1</v>
      </c>
      <c r="D607" s="58" t="str">
        <f>$G$51</f>
        <v>hourly</v>
      </c>
      <c r="E607" s="77" t="e">
        <f>IF(D618=0,"N/A",CONCATENATE("Working full-time at current rate of pay (",DOLLAR(D680,2)," hourly), borrower's YTD earnings would need to reflect ",DOLLAR(D707,0)," as the total amount of base earnings from ",MONTH(C626),"/",DAY(C626),"/",YEAR(C626)," to ",MONTH(D626),"/",DAY(D626),"/",YEAR(D626)," (excluding bonus, commissions, differential, incentive, overtime, etc.)."))</f>
        <v>#REF!</v>
      </c>
      <c r="F607" s="76"/>
      <c r="G607" s="76"/>
      <c r="H607" s="76"/>
      <c r="I607" s="76"/>
      <c r="J607" s="76"/>
      <c r="K607" s="80"/>
      <c r="L607"/>
      <c r="M607"/>
    </row>
    <row r="608" spans="1:13">
      <c r="A608" s="58" t="str">
        <f>$C$53</f>
        <v>Monthly (12)</v>
      </c>
      <c r="B608" s="56">
        <f>$E$52</f>
        <v>12</v>
      </c>
      <c r="C608" s="59">
        <f>$F$52</f>
        <v>173.333333333333</v>
      </c>
      <c r="D608" s="243" t="str">
        <f>$G$52</f>
        <v>monthly</v>
      </c>
      <c r="E608" s="77" t="e">
        <f>IF(D618=0,"N/A",CONCATENATE("Working full-time at current rate of pay (",DOLLAR(D680,0)," monthly), borrower's YTD earnings would need to reflect ",DOLLAR(D707,0)," as the total amount of base earnings from ",MONTH(C626),"/",DAY(C626),"/",YEAR(C626)," to ",MONTH(D626),"/",DAY(D626),"/",YEAR(D626)," (excluding bonus, commissions, differential, incentive, overtime, etc.)."))</f>
        <v>#REF!</v>
      </c>
      <c r="F608" s="76"/>
      <c r="G608" s="76"/>
      <c r="H608" s="76"/>
      <c r="I608" s="76"/>
      <c r="J608" s="76"/>
      <c r="K608" s="80"/>
      <c r="L608"/>
      <c r="M608"/>
    </row>
    <row r="609" spans="1:13">
      <c r="A609" s="58" t="str">
        <f>$C$55</f>
        <v>Part-Time</v>
      </c>
      <c r="B609" s="56">
        <f>$E$53</f>
        <v>0</v>
      </c>
      <c r="C609" s="59">
        <f>$F$53</f>
        <v>0</v>
      </c>
      <c r="D609" s="58" t="str">
        <f>$G$53</f>
        <v>part-time</v>
      </c>
      <c r="E609" s="77" t="e">
        <f>IF(D618=0,"N/A",CONCATENATE("Working Part-Time at averaged monthly pay, borrower's YTD earnings would need to reflect approximately ",DOLLAR(D707,0)," as the total amount of base earnings from ",MONTH(C626),"/",DAY(C626),"/",YEAR(C626)," to ",MONTH(D626),"/",DAY(D626),"/",YEAR(D626)," (excluding bonus, commissions, differential, incentive, overtime, etc.)."))</f>
        <v>#REF!</v>
      </c>
      <c r="F609" s="76"/>
      <c r="G609" s="76"/>
      <c r="H609" s="76"/>
      <c r="I609" s="76"/>
      <c r="J609" s="76"/>
      <c r="K609" s="80"/>
      <c r="L609"/>
      <c r="M609"/>
    </row>
    <row r="610" spans="1:13">
      <c r="A610" s="58" t="str">
        <f>$C$56</f>
        <v>Seasonal</v>
      </c>
      <c r="B610" s="56">
        <f>$E$54</f>
        <v>0</v>
      </c>
      <c r="C610" s="59">
        <f>$F$54</f>
        <v>0</v>
      </c>
      <c r="D610" s="58" t="str">
        <f>$G$54</f>
        <v>seasonal</v>
      </c>
      <c r="E610" s="77" t="e">
        <f>IF(D618=0,"N/A",CONCATENATE("Working Seasonal at averaged monthly pay, borrower's YTD earnings would need to reflect approximately ",DOLLAR(D707,0)," as the total amount of base earnings from ",MONTH(C626),"/",DAY(C626),"/",YEAR(C626)," to ",MONTH(D626),"/",DAY(D626),"/",YEAR(D626)," (excluding bonus, commissions, differential, incentive, overtime, etc.)."))</f>
        <v>#REF!</v>
      </c>
      <c r="F610" s="76"/>
      <c r="G610" s="76"/>
      <c r="H610" s="76"/>
      <c r="I610" s="76"/>
      <c r="J610" s="76"/>
      <c r="K610" s="80"/>
      <c r="L610"/>
      <c r="M610"/>
    </row>
    <row r="611" spans="1:13">
      <c r="A611" s="58" t="str">
        <f>$C$52</f>
        <v>Semi-Monthly (24)</v>
      </c>
      <c r="B611" s="56">
        <f>$E$55</f>
        <v>24</v>
      </c>
      <c r="C611" s="59">
        <f>$F$55</f>
        <v>86.6666666666667</v>
      </c>
      <c r="D611" s="58" t="str">
        <f>$G$55</f>
        <v>semi-monthly</v>
      </c>
      <c r="E611" s="77" t="e">
        <f>IF(D618=0,"N/A",CONCATENATE("Working full-time at current rate of pay (",DOLLAR(D680,2)," semi-monthly), borrower's YTD earnings would need to reflect ",DOLLAR(D707,0)," as the total amount of base earnings from ",MONTH(C626),"/",DAY(C626),"/",YEAR(C626)," to ",MONTH(D626),"/",DAY(D626),"/",YEAR(D626)," (excluding bonus, commissions, differential, incentive, overtime, etc.)."))</f>
        <v>#REF!</v>
      </c>
      <c r="F611" s="76"/>
      <c r="G611" s="76"/>
      <c r="H611" s="76"/>
      <c r="I611" s="76"/>
      <c r="J611" s="76"/>
      <c r="K611" s="80"/>
      <c r="L611"/>
      <c r="M611"/>
    </row>
    <row r="612" spans="1:13">
      <c r="A612" s="58" t="str">
        <f>$C$57</f>
        <v>Varies / Averaged</v>
      </c>
      <c r="B612" s="56">
        <f>$E$56</f>
        <v>0</v>
      </c>
      <c r="C612" s="59">
        <f>$F$56</f>
        <v>0</v>
      </c>
      <c r="D612" s="58" t="str">
        <f>$G$56</f>
        <v>varies</v>
      </c>
      <c r="E612" s="77" t="e">
        <f>IF(D618=0,"N/A",CONCATENATE("Based on calculated averaged monthly earnings, borrower's YTD earnings should reflect approximately ",DOLLAR(D707,0)," as the total amount of base income earned from ",MONTH(C626),"/",DAY(C626),"/",YEAR(C626)," to ",MONTH(D626),"/",DAY(D626),"/",YEAR(D626)," (excluding bonus, commissions, differential, incentive, overtime, etc.)."))</f>
        <v>#REF!</v>
      </c>
      <c r="F612" s="76"/>
      <c r="G612" s="76"/>
      <c r="H612" s="76"/>
      <c r="I612" s="76"/>
      <c r="J612" s="76"/>
      <c r="K612" s="80"/>
      <c r="L612"/>
      <c r="M612"/>
    </row>
    <row r="613" spans="1:13">
      <c r="A613" s="58" t="str">
        <f>$C$50</f>
        <v>Weekly (52)</v>
      </c>
      <c r="B613" s="56">
        <f>$E$57</f>
        <v>52</v>
      </c>
      <c r="C613" s="59">
        <f>$F$57</f>
        <v>40</v>
      </c>
      <c r="D613" s="58" t="str">
        <f>$G$57</f>
        <v>weekly</v>
      </c>
      <c r="E613" s="77" t="e">
        <f>IF(D618=0,"N/A",CONCATENATE("Working full-time at current rate of pay (",DOLLAR(D680,2)," weekly), borrower's YTD earnings would need to reflect ",DOLLAR(D707,0)," as the total amount of base earnings from ",MONTH(C626),"/",DAY(C626),"/",YEAR(C626)," to ",MONTH(D626),"/",DAY(D626),"/",YEAR(D626)," (excluding bonus, commissions, differential, incentive, overtime, etc.)."))</f>
        <v>#REF!</v>
      </c>
      <c r="F613" s="76"/>
      <c r="G613" s="76"/>
      <c r="H613" s="76"/>
      <c r="I613" s="76"/>
      <c r="J613" s="76"/>
      <c r="K613" s="80"/>
      <c r="L613"/>
      <c r="M613"/>
    </row>
    <row r="614" spans="1:13">
      <c r="A614"/>
      <c r="B614"/>
      <c r="C614"/>
      <c r="D614"/>
      <c r="E614"/>
      <c r="F614"/>
      <c r="G614"/>
      <c r="H614"/>
      <c r="I614"/>
      <c r="J614"/>
      <c r="K614"/>
      <c r="L614"/>
      <c r="M614"/>
    </row>
    <row r="615" spans="1:13">
      <c r="A615" t="s">
        <v>228</v>
      </c>
      <c r="B615"/>
      <c r="C615"/>
      <c r="D615" s="81" t="e">
        <f>#REF!</f>
        <v>#REF!</v>
      </c>
      <c r="E615"/>
      <c r="F615" s="82"/>
      <c r="G615" s="246" t="s">
        <v>229</v>
      </c>
      <c r="H615" s="82"/>
      <c r="I615" s="82"/>
      <c r="J615" s="82"/>
      <c r="K615"/>
      <c r="L615"/>
      <c r="M615"/>
    </row>
    <row r="616" spans="1:13">
      <c r="A616" t="s">
        <v>230</v>
      </c>
      <c r="B616"/>
      <c r="C616"/>
      <c r="D616" s="83" t="e">
        <f>IF(OR(#REF!="",#REF!=0),0,#REF!)</f>
        <v>#REF!</v>
      </c>
      <c r="E616"/>
      <c r="F616" s="82"/>
      <c r="G616" s="246" t="s">
        <v>231</v>
      </c>
      <c r="H616" s="82"/>
      <c r="I616" s="82"/>
      <c r="J616" s="82"/>
      <c r="K616"/>
      <c r="L616"/>
      <c r="M616"/>
    </row>
    <row r="617" spans="1:13">
      <c r="A617" t="s">
        <v>232</v>
      </c>
      <c r="B617"/>
      <c r="C617"/>
      <c r="D617" s="83" t="e">
        <f>IF(D618=A609,"Hourly Rate of Pay (part-time)","Rate of Pay")</f>
        <v>#REF!</v>
      </c>
      <c r="E617"/>
      <c r="F617" s="82"/>
      <c r="G617" s="82"/>
      <c r="H617" s="82"/>
      <c r="I617" s="82"/>
      <c r="J617" s="82"/>
      <c r="K617"/>
      <c r="L617"/>
      <c r="M617"/>
    </row>
    <row r="618" spans="1:13">
      <c r="A618" t="s">
        <v>233</v>
      </c>
      <c r="B618"/>
      <c r="C618"/>
      <c r="D618" s="84" t="e">
        <f>#REF!</f>
        <v>#REF!</v>
      </c>
      <c r="E618"/>
      <c r="F618" s="82"/>
      <c r="G618" s="246" t="s">
        <v>234</v>
      </c>
      <c r="H618" s="82"/>
      <c r="I618" s="82"/>
      <c r="J618" s="82"/>
      <c r="K618"/>
      <c r="L618"/>
      <c r="M618"/>
    </row>
    <row r="619" spans="1:13">
      <c r="A619" t="s">
        <v>235</v>
      </c>
      <c r="B619"/>
      <c r="C619"/>
      <c r="D619" s="83" t="e">
        <f>#REF!</f>
        <v>#REF!</v>
      </c>
      <c r="E619"/>
      <c r="F619" s="82"/>
      <c r="G619" s="246" t="s">
        <v>236</v>
      </c>
      <c r="H619" s="82"/>
      <c r="I619" s="82"/>
      <c r="J619" s="82"/>
      <c r="K619"/>
      <c r="L619"/>
      <c r="M619"/>
    </row>
    <row r="620" spans="1:13">
      <c r="A620" t="s">
        <v>237</v>
      </c>
      <c r="B620"/>
      <c r="C620"/>
      <c r="D620" s="83" t="e">
        <f>IF(OR(D616=0,D618=0),"",IF(D618="Hourly (H)",(D616*D619)*52,D616*VLOOKUP(D618,A605:E613,2,FALSE)))</f>
        <v>#REF!</v>
      </c>
      <c r="E620"/>
      <c r="F620" s="82"/>
      <c r="G620" s="246" t="s">
        <v>238</v>
      </c>
      <c r="H620" s="82"/>
      <c r="I620" s="82"/>
      <c r="J620" s="82"/>
      <c r="K620"/>
      <c r="L620"/>
      <c r="M620"/>
    </row>
    <row r="621" spans="1:13">
      <c r="A621" t="s">
        <v>239</v>
      </c>
      <c r="B621"/>
      <c r="C621"/>
      <c r="D621" s="86" t="e">
        <f>IF(OR(D616=0,D618=0),0,IF(OR(D618=A609,D618=A610,D618=A612),J629,ROUND(D620/12,0)))</f>
        <v>#REF!</v>
      </c>
      <c r="E621"/>
      <c r="F621" s="82"/>
      <c r="G621" s="246" t="s">
        <v>240</v>
      </c>
      <c r="H621" s="82"/>
      <c r="I621" s="82"/>
      <c r="J621" s="82"/>
      <c r="K621"/>
      <c r="L621"/>
      <c r="M621"/>
    </row>
    <row r="622" spans="1:13">
      <c r="A622" t="s">
        <v>241</v>
      </c>
      <c r="B622"/>
      <c r="C622"/>
      <c r="D622" t="b">
        <v>1</v>
      </c>
      <c r="E622"/>
      <c r="F622" s="82"/>
      <c r="G622" s="246" t="s">
        <v>242</v>
      </c>
      <c r="H622" s="82"/>
      <c r="I622" s="82"/>
      <c r="J622" s="82"/>
      <c r="K622"/>
      <c r="L622"/>
      <c r="M622"/>
    </row>
    <row r="623" spans="1:13">
      <c r="A623"/>
      <c r="B623"/>
      <c r="C623"/>
      <c r="D623"/>
      <c r="E623"/>
      <c r="F623"/>
      <c r="G623"/>
      <c r="H623"/>
      <c r="I623"/>
      <c r="J623"/>
      <c r="K623"/>
      <c r="L623"/>
      <c r="M623"/>
    </row>
    <row r="624" spans="1:13">
      <c r="A624" s="423" t="s">
        <v>243</v>
      </c>
      <c r="B624" s="424"/>
      <c r="C624" s="424"/>
      <c r="D624" s="424"/>
      <c r="E624" s="424"/>
      <c r="F624" s="424"/>
      <c r="G624" s="425"/>
      <c r="H624" s="423" t="s">
        <v>244</v>
      </c>
      <c r="I624" s="424"/>
      <c r="J624" s="425"/>
      <c r="K624" s="423" t="s">
        <v>245</v>
      </c>
      <c r="L624" s="424"/>
      <c r="M624" s="425"/>
    </row>
    <row r="625" spans="1:13">
      <c r="A625" s="87" t="s">
        <v>246</v>
      </c>
      <c r="B625" s="87" t="s">
        <v>164</v>
      </c>
      <c r="C625" s="87" t="s">
        <v>247</v>
      </c>
      <c r="D625" s="87" t="s">
        <v>248</v>
      </c>
      <c r="E625" s="87" t="s">
        <v>5</v>
      </c>
      <c r="F625" s="87" t="s">
        <v>4</v>
      </c>
      <c r="G625" s="87" t="s">
        <v>1</v>
      </c>
      <c r="H625" s="87" t="s">
        <v>154</v>
      </c>
      <c r="I625" s="87" t="s">
        <v>4</v>
      </c>
      <c r="J625" s="87" t="s">
        <v>5</v>
      </c>
      <c r="K625" s="87" t="s">
        <v>249</v>
      </c>
      <c r="L625" s="87" t="s">
        <v>250</v>
      </c>
      <c r="M625" s="87" t="s">
        <v>251</v>
      </c>
    </row>
    <row r="626" spans="1:13">
      <c r="A626" s="88" t="b">
        <v>1</v>
      </c>
      <c r="B626" s="89" t="e">
        <f>#REF!</f>
        <v>#REF!</v>
      </c>
      <c r="C626" s="90" t="e">
        <f>#REF!</f>
        <v>#REF!</v>
      </c>
      <c r="D626" s="90" t="e">
        <f>#REF!</f>
        <v>#REF!</v>
      </c>
      <c r="E626" s="91" t="e">
        <f>#REF!</f>
        <v>#REF!</v>
      </c>
      <c r="F626" s="92" t="e">
        <f>IF(OR(E626="",E626=0),"",ROUND((((D626-C626)+1)/365)*12,1))</f>
        <v>#REF!</v>
      </c>
      <c r="G626" s="93" t="e">
        <f>IF(OR(E626="",E626=0),"",ROUND(E626/F626,0))</f>
        <v>#REF!</v>
      </c>
      <c r="H626" s="93" t="e">
        <f>IF(A626=TRUE,E626,0)</f>
        <v>#REF!</v>
      </c>
      <c r="I626" s="118" t="e">
        <f>IF(A626=TRUE,F626,0)</f>
        <v>#REF!</v>
      </c>
      <c r="J626" s="93" t="e">
        <f>IF(OR(A626=FALSE,H626=0,I626=0),0,ROUND(H626/I626,0))</f>
        <v>#REF!</v>
      </c>
      <c r="K626" s="92" t="e">
        <f>IF(OR(G626="",G626=0,G627="",G627=0),100,IF(G626&gt;G627,((G626-G627)/G627)*100,((G627-G626)/G627)*100))</f>
        <v>#REF!</v>
      </c>
      <c r="L626" s="54" t="e">
        <f>IF(G626&gt;G627,"Increase","Decrease")</f>
        <v>#REF!</v>
      </c>
      <c r="M626" s="54" t="e">
        <f>IF(AND(A626=TRUE,E626&gt;0),TRUE,FALSE)</f>
        <v>#REF!</v>
      </c>
    </row>
    <row r="627" spans="1:13">
      <c r="A627" s="57" t="b">
        <v>1</v>
      </c>
      <c r="B627" s="89" t="e">
        <f>#REF!</f>
        <v>#REF!</v>
      </c>
      <c r="C627" s="90" t="e">
        <f>#REF!</f>
        <v>#REF!</v>
      </c>
      <c r="D627" s="90" t="e">
        <f>#REF!</f>
        <v>#REF!</v>
      </c>
      <c r="E627" s="91" t="e">
        <f>#REF!</f>
        <v>#REF!</v>
      </c>
      <c r="F627" s="92" t="e">
        <f>IF(OR(E627="",E627=0),"",ROUND((((D627-C627)+1)/365)*12,1))</f>
        <v>#REF!</v>
      </c>
      <c r="G627" s="93" t="e">
        <f>IF(OR(E627="",E627=0),"",ROUND(E627/F627,0))</f>
        <v>#REF!</v>
      </c>
      <c r="H627" s="93" t="e">
        <f>IF(A627=TRUE,E627,0)</f>
        <v>#REF!</v>
      </c>
      <c r="I627" s="118" t="e">
        <f>IF(A627=TRUE,F627,0)</f>
        <v>#REF!</v>
      </c>
      <c r="J627" s="93" t="e">
        <f>IF(OR(A627=FALSE,H627=0,I627=0),0,ROUND(H627/I627,0))</f>
        <v>#REF!</v>
      </c>
      <c r="K627" s="92" t="e">
        <f>IF(OR(G627="",G627=0,G628="",G628=0),100,IF(G627&gt;G628,((G627-G628)/G628)*100,((G628-G627)/G628)*100))</f>
        <v>#REF!</v>
      </c>
      <c r="L627" s="54" t="e">
        <f>IF(G627&gt;G628,"Increase","Decrease")</f>
        <v>#REF!</v>
      </c>
      <c r="M627" s="54" t="e">
        <f>IF(AND(A627=TRUE,E627&gt;0),TRUE,FALSE)</f>
        <v>#REF!</v>
      </c>
    </row>
    <row r="628" spans="1:13">
      <c r="A628" s="57" t="b">
        <v>1</v>
      </c>
      <c r="B628" s="89" t="e">
        <f>#REF!</f>
        <v>#REF!</v>
      </c>
      <c r="C628" s="90" t="e">
        <f>#REF!</f>
        <v>#REF!</v>
      </c>
      <c r="D628" s="90" t="e">
        <f>#REF!</f>
        <v>#REF!</v>
      </c>
      <c r="E628" s="91" t="e">
        <f>#REF!</f>
        <v>#REF!</v>
      </c>
      <c r="F628" s="92" t="e">
        <f>IF(OR(E628="",E628=0),"",ROUND((((D628-C628)+1)/365)*12,1))</f>
        <v>#REF!</v>
      </c>
      <c r="G628" s="93" t="e">
        <f>IF(OR(E628="",E628=0),"",ROUND(E628/F628,0))</f>
        <v>#REF!</v>
      </c>
      <c r="H628" s="93" t="e">
        <f>IF(A628=TRUE,E628,0)</f>
        <v>#REF!</v>
      </c>
      <c r="I628" s="118" t="e">
        <f>IF(A628=TRUE,F628,0)</f>
        <v>#REF!</v>
      </c>
      <c r="J628" s="93" t="e">
        <f>IF(OR(A628=FALSE,H628=0,I628=0),0,ROUND(H628/I628,0))</f>
        <v>#REF!</v>
      </c>
      <c r="K628" s="92" t="e">
        <f>IF(OR(G626="",G626=0,G628="",G628=0),100,IF(G626&gt;G628,((G626-G628)/G628)*100,((G628-G626)/G628)*100))</f>
        <v>#REF!</v>
      </c>
      <c r="L628" s="54" t="e">
        <f>IF(G626&gt;G628,"Increase","Decrease")</f>
        <v>#REF!</v>
      </c>
      <c r="M628" s="54" t="e">
        <f>IF(AND(A628=TRUE,E628&gt;0),TRUE,FALSE)</f>
        <v>#REF!</v>
      </c>
    </row>
    <row r="629" spans="1:13">
      <c r="A629" s="51" t="s">
        <v>252</v>
      </c>
      <c r="B629" s="98"/>
      <c r="C629" s="99"/>
      <c r="D629" s="99"/>
      <c r="E629" s="100" t="e">
        <f>SUM(E626:E628)</f>
        <v>#REF!</v>
      </c>
      <c r="F629" s="101" t="e">
        <f>SUM(F626:F628)</f>
        <v>#REF!</v>
      </c>
      <c r="G629" s="102" t="e">
        <f>IF(AND(D616=0,D618=0),0,IF(D622=TRUE,D621,IF(OR(D618=A609,D618=A610,D618=A612,F626=FALSE,F627=FALSE,F628=FALSE),J629,IF(D622=FALSE,MIN(D621,G626),J629))))</f>
        <v>#REF!</v>
      </c>
      <c r="H629" s="97" t="e">
        <f>IF(SUM(E626:E628)=0,0,ROUND(SUM(H626:H628),0))</f>
        <v>#REF!</v>
      </c>
      <c r="I629" s="119" t="e">
        <f>IF(SUM(F626:F628)=0,0,ROUND(SUM(I626:I628),1))</f>
        <v>#REF!</v>
      </c>
      <c r="J629" s="97" t="e">
        <f>IF(I629=0,0,ROUND(H629/I629,0))</f>
        <v>#REF!</v>
      </c>
      <c r="K629" s="99"/>
      <c r="L629" s="99"/>
      <c r="M629" s="99"/>
    </row>
    <row r="630" spans="1:13">
      <c r="A630"/>
      <c r="B630"/>
      <c r="C630"/>
      <c r="D630"/>
      <c r="E630"/>
      <c r="F630"/>
      <c r="G630"/>
      <c r="H630"/>
      <c r="I630"/>
      <c r="J630"/>
      <c r="K630"/>
      <c r="L630"/>
      <c r="M630"/>
    </row>
    <row r="631" spans="1:13">
      <c r="A631" t="s">
        <v>253</v>
      </c>
      <c r="B631"/>
      <c r="C631"/>
      <c r="D631" t="e">
        <f>IF(OR(D703=0,D703&gt;=40),"",CONCATENATE("(actual = ",D703," hrs)"))</f>
        <v>#REF!</v>
      </c>
      <c r="E631"/>
      <c r="F631"/>
      <c r="G631"/>
      <c r="H631"/>
      <c r="I631"/>
      <c r="J631"/>
      <c r="K631"/>
      <c r="L631"/>
      <c r="M631"/>
    </row>
    <row r="632" spans="1:13">
      <c r="A632"/>
      <c r="B632"/>
      <c r="C632"/>
      <c r="D632"/>
      <c r="E632"/>
      <c r="F632"/>
      <c r="G632"/>
      <c r="H632"/>
      <c r="I632"/>
      <c r="J632"/>
      <c r="K632"/>
      <c r="L632"/>
      <c r="M632"/>
    </row>
    <row r="633" spans="1:13">
      <c r="A633" s="426" t="s">
        <v>254</v>
      </c>
      <c r="B633" s="426"/>
      <c r="C633" s="426"/>
      <c r="D633" s="426"/>
      <c r="E633" s="426"/>
      <c r="F633"/>
      <c r="G633"/>
      <c r="H633"/>
      <c r="I633"/>
      <c r="J633"/>
      <c r="K633"/>
      <c r="L633"/>
      <c r="M633"/>
    </row>
    <row r="634" spans="1:13">
      <c r="A634" s="427" t="s">
        <v>241</v>
      </c>
      <c r="B634" s="428"/>
      <c r="C634" s="429"/>
      <c r="D634" s="57" t="b">
        <f>IF(D622=TRUE,TRUE,FALSE)</f>
        <v>1</v>
      </c>
      <c r="E634" s="103" t="e">
        <f>IF(AND(D634=TRUE,D636=FALSE,D637=FALSE),D621,0)</f>
        <v>#REF!</v>
      </c>
      <c r="F634"/>
      <c r="G634" s="82"/>
      <c r="H634"/>
      <c r="I634"/>
      <c r="J634"/>
      <c r="K634"/>
      <c r="L634"/>
      <c r="M634"/>
    </row>
    <row r="635" spans="1:13">
      <c r="A635" s="427" t="s">
        <v>255</v>
      </c>
      <c r="B635" s="428"/>
      <c r="C635" s="429"/>
      <c r="D635" s="57" t="e">
        <f>IF(AND(D634=FALSE,E655&lt;10%,F655=" Decrease"),TRUE,FALSE)</f>
        <v>#REF!</v>
      </c>
      <c r="E635" s="103" t="e">
        <f>IF(D635=TRUE,G626,0)</f>
        <v>#REF!</v>
      </c>
      <c r="F635"/>
      <c r="G635" s="82"/>
      <c r="H635"/>
      <c r="I635"/>
      <c r="J635"/>
      <c r="K635"/>
      <c r="L635"/>
      <c r="M635"/>
    </row>
    <row r="636" spans="1:13">
      <c r="A636" s="427" t="s">
        <v>256</v>
      </c>
      <c r="B636" s="428"/>
      <c r="C636" s="429"/>
      <c r="D636" s="57" t="e">
        <f>IF(AND(D634=FALSE,E655&gt;10%,F655=" Decrease"),TRUE,FALSE)</f>
        <v>#REF!</v>
      </c>
      <c r="E636" s="103" t="e">
        <f>IF(AND(D634=FALSE,D636=TRUE,D637=FALSE),G626,0)</f>
        <v>#REF!</v>
      </c>
      <c r="F636"/>
      <c r="G636" s="82"/>
      <c r="H636"/>
      <c r="I636"/>
      <c r="J636"/>
      <c r="K636"/>
      <c r="L636"/>
      <c r="M636"/>
    </row>
    <row r="637" spans="1:13">
      <c r="A637" s="427" t="s">
        <v>257</v>
      </c>
      <c r="B637" s="428"/>
      <c r="C637" s="429"/>
      <c r="D637" s="57" t="e">
        <f>IF(OR(D634=TRUE,D635=TRUE,D636=TRUE),FALSE,IF(OR(D618=A609,D618=A610,D618=A612),TRUE,FALSE))</f>
        <v>#REF!</v>
      </c>
      <c r="E637" s="103" t="e">
        <f>IF(AND(D634=FALSE,D636=FALSE,D637=TRUE),J629,0)</f>
        <v>#REF!</v>
      </c>
      <c r="F637"/>
      <c r="G637"/>
      <c r="H637"/>
      <c r="I637"/>
      <c r="J637"/>
      <c r="K637"/>
      <c r="L637"/>
      <c r="M637"/>
    </row>
    <row r="638" spans="1:13">
      <c r="A638" s="104" t="s">
        <v>258</v>
      </c>
      <c r="B638" s="104"/>
      <c r="C638" s="104"/>
      <c r="D638" s="104" t="e">
        <f>IF(AND(D634=FALSE,D635=FALSE,D636=FALSE,D637=FALSE),TRUE,FALSE)</f>
        <v>#REF!</v>
      </c>
      <c r="E638" s="105" t="e">
        <f>IF(D638=TRUE,G629,0)</f>
        <v>#REF!</v>
      </c>
      <c r="F638"/>
      <c r="G638"/>
      <c r="H638"/>
      <c r="I638"/>
      <c r="J638"/>
      <c r="K638"/>
      <c r="L638"/>
      <c r="M638"/>
    </row>
    <row r="639" spans="1:13">
      <c r="A639" s="430" t="s">
        <v>259</v>
      </c>
      <c r="B639" s="430"/>
      <c r="C639" s="430"/>
      <c r="D639" s="430"/>
      <c r="E639" s="106" t="e">
        <f>VLOOKUP(TRUE,D634:E638,2,FALSE)</f>
        <v>#REF!</v>
      </c>
      <c r="F639"/>
      <c r="G639"/>
      <c r="H639"/>
      <c r="I639"/>
      <c r="J639"/>
      <c r="K639"/>
      <c r="L639"/>
      <c r="M639"/>
    </row>
    <row r="640" spans="1:13">
      <c r="A640"/>
      <c r="B640"/>
      <c r="C640"/>
      <c r="D640"/>
      <c r="E640"/>
      <c r="F640"/>
      <c r="G640"/>
      <c r="H640"/>
      <c r="I640"/>
      <c r="J640"/>
      <c r="K640"/>
      <c r="L640"/>
      <c r="M640"/>
    </row>
    <row r="641" spans="1:13">
      <c r="A641" t="s">
        <v>260</v>
      </c>
      <c r="B641"/>
      <c r="C641"/>
      <c r="D641" t="e">
        <f>IF(OR(D622=TRUE,E626=0),"",IF(D636=TRUE,"YTD average monthly earnings reflect greater than 10% reduction",IF(G626&lt;D621,CONCATENATE("NOTE: YTD earnings reflect borrower is averaging ",D703," hours weekly."),"")))</f>
        <v>#REF!</v>
      </c>
      <c r="E641"/>
      <c r="F641"/>
      <c r="G641" s="82"/>
      <c r="H641"/>
      <c r="I641" s="246" t="s">
        <v>261</v>
      </c>
      <c r="J641"/>
      <c r="K641"/>
      <c r="L641"/>
      <c r="M641"/>
    </row>
    <row r="642" spans="1:13">
      <c r="A642"/>
      <c r="B642"/>
      <c r="C642"/>
      <c r="D642"/>
      <c r="E642"/>
      <c r="F642"/>
      <c r="G642"/>
      <c r="H642"/>
      <c r="I642"/>
      <c r="J642"/>
      <c r="K642"/>
      <c r="L642"/>
      <c r="M642"/>
    </row>
    <row r="643" spans="1:13">
      <c r="A643" s="441" t="s">
        <v>262</v>
      </c>
      <c r="B643" s="441"/>
      <c r="C643" s="441"/>
      <c r="D643" s="441"/>
      <c r="E643" s="441"/>
      <c r="F643" s="441"/>
      <c r="G643" s="441"/>
      <c r="H643" s="441"/>
      <c r="I643" s="441"/>
      <c r="J643" s="441"/>
      <c r="K643" s="441"/>
      <c r="L643"/>
      <c r="M643"/>
    </row>
    <row r="644" spans="1:13">
      <c r="A644"/>
      <c r="B644"/>
      <c r="C644"/>
      <c r="D644"/>
      <c r="E644"/>
      <c r="F644"/>
      <c r="G644"/>
      <c r="H644"/>
      <c r="I644"/>
      <c r="J644"/>
      <c r="K644"/>
      <c r="L644"/>
      <c r="M644"/>
    </row>
    <row r="645" spans="1:13">
      <c r="A645" s="87" t="s">
        <v>263</v>
      </c>
      <c r="B645" s="87" t="s">
        <v>164</v>
      </c>
      <c r="C645" s="87" t="s">
        <v>264</v>
      </c>
      <c r="D645" s="87" t="s">
        <v>167</v>
      </c>
      <c r="E645" s="87" t="s">
        <v>265</v>
      </c>
      <c r="F645" s="87" t="s">
        <v>266</v>
      </c>
      <c r="G645" s="87" t="s">
        <v>5</v>
      </c>
      <c r="H645" s="87" t="s">
        <v>4</v>
      </c>
      <c r="I645" s="87"/>
      <c r="J645" s="87"/>
      <c r="K645" s="87" t="s">
        <v>267</v>
      </c>
      <c r="L645"/>
      <c r="M645"/>
    </row>
    <row r="646" spans="1:13">
      <c r="A646" s="108" t="b">
        <v>0</v>
      </c>
      <c r="B646" s="56" t="e">
        <f>#REF!</f>
        <v>#REF!</v>
      </c>
      <c r="C646" s="109" t="e">
        <f>#REF!</f>
        <v>#REF!</v>
      </c>
      <c r="D646" s="110" t="e">
        <f>#REF!</f>
        <v>#REF!</v>
      </c>
      <c r="E646" s="111" t="e">
        <f>#REF!</f>
        <v>#REF!</v>
      </c>
      <c r="F646" s="100" t="e">
        <f>IF(OR(A646=FALSE,C646=0,E646=0),0,E646*VLOOKUP(B646,$C$37:$D$42,2))</f>
        <v>#REF!</v>
      </c>
      <c r="G646" s="100" t="e">
        <f>IF(AND(C646&lt;&gt;0,D646&lt;&gt;0),0,IF(D646&lt;&gt;0,C646-D646,C646-F646))</f>
        <v>#REF!</v>
      </c>
      <c r="H646" s="101" t="e">
        <f>#REF!</f>
        <v>#REF!</v>
      </c>
      <c r="I646" s="101"/>
      <c r="J646" s="101"/>
      <c r="K646" s="100" t="str">
        <f>IF(A646=FALSE,"",IF(AND(D646&gt;0,E646&gt;0),"Error Dep &amp; Buss",IF(OR(H646=0,H646=""),0,ROUND(G646/H646,0))))</f>
        <v/>
      </c>
      <c r="L646"/>
      <c r="M646"/>
    </row>
    <row r="647" spans="1:13">
      <c r="A647" s="57" t="b">
        <v>0</v>
      </c>
      <c r="B647" s="56" t="e">
        <f>#REF!</f>
        <v>#REF!</v>
      </c>
      <c r="C647" s="109" t="e">
        <f>#REF!</f>
        <v>#REF!</v>
      </c>
      <c r="D647" s="110" t="e">
        <f>#REF!</f>
        <v>#REF!</v>
      </c>
      <c r="E647" s="111" t="e">
        <f>#REF!</f>
        <v>#REF!</v>
      </c>
      <c r="F647" s="100" t="e">
        <f>IF(OR(A647=FALSE,C647=0,E647=0),0,E647*VLOOKUP(B647,$C$37:$D$42,2))</f>
        <v>#REF!</v>
      </c>
      <c r="G647" s="100" t="e">
        <f>IF(AND(C647&lt;&gt;0,D647&lt;&gt;0),0,IF(D647&lt;&gt;0,C647-D647,C647-F647))</f>
        <v>#REF!</v>
      </c>
      <c r="H647" s="101" t="e">
        <f>#REF!</f>
        <v>#REF!</v>
      </c>
      <c r="I647" s="101"/>
      <c r="J647" s="101"/>
      <c r="K647" s="100" t="str">
        <f>IF(A647=FALSE,"",IF(AND(D647&gt;0,E647&gt;0),"Error Dep &amp; Buss",IF(OR(H647=0,H647=""),0,ROUND(G647/H647,0))))</f>
        <v/>
      </c>
      <c r="L647"/>
      <c r="M647"/>
    </row>
    <row r="648" spans="1:13">
      <c r="A648" s="51" t="s">
        <v>252</v>
      </c>
      <c r="B648" s="98"/>
      <c r="C648" s="99"/>
      <c r="D648" s="99"/>
      <c r="E648" s="111" t="e">
        <f>SUM(E646:E647)</f>
        <v>#REF!</v>
      </c>
      <c r="F648" s="100" t="e">
        <f>SUM(F646:F647)</f>
        <v>#REF!</v>
      </c>
      <c r="G648" s="100" t="e">
        <f>SUM(G646:G647)</f>
        <v>#REF!</v>
      </c>
      <c r="H648" s="101" t="e">
        <f>SUM(H646:H647)</f>
        <v>#REF!</v>
      </c>
      <c r="I648" s="101"/>
      <c r="J648" s="101"/>
      <c r="K648" s="100">
        <f>IF(ISERROR(G648/H648),0,IF(AND(A646=TRUE,A647=TRUE),ROUND(G648/H648,0),IF(AND(A646=TRUE,A647=FALSE),K646,IF(AND(A646=FALSE,A647=TRUE),K647,0))))</f>
        <v>0</v>
      </c>
      <c r="L648"/>
      <c r="M648"/>
    </row>
    <row r="649" spans="1:13">
      <c r="A649"/>
      <c r="B649" s="83"/>
      <c r="C649" s="112"/>
      <c r="D649" s="113"/>
      <c r="E649"/>
      <c r="F649"/>
      <c r="G649"/>
      <c r="H649"/>
      <c r="I649"/>
      <c r="J649"/>
      <c r="K649"/>
      <c r="L649"/>
      <c r="M649"/>
    </row>
    <row r="650" spans="1:13">
      <c r="A650" t="s">
        <v>268</v>
      </c>
      <c r="B650"/>
      <c r="C650"/>
      <c r="D650" t="b">
        <v>1</v>
      </c>
      <c r="E650"/>
      <c r="F650"/>
      <c r="G650" s="246" t="s">
        <v>269</v>
      </c>
      <c r="H650"/>
      <c r="I650"/>
      <c r="J650"/>
      <c r="K650"/>
      <c r="L650"/>
      <c r="M650"/>
    </row>
    <row r="651" spans="1:13">
      <c r="A651"/>
      <c r="B651"/>
      <c r="C651"/>
      <c r="D651"/>
      <c r="E651"/>
      <c r="F651"/>
      <c r="G651"/>
      <c r="H651"/>
      <c r="I651"/>
      <c r="J651"/>
      <c r="K651"/>
      <c r="L651"/>
      <c r="M651"/>
    </row>
    <row r="652" spans="1:13">
      <c r="A652" s="434" t="s">
        <v>275</v>
      </c>
      <c r="B652" s="435"/>
      <c r="C652" s="435"/>
      <c r="D652" s="435"/>
      <c r="E652" s="435"/>
      <c r="F652" s="435"/>
      <c r="G652" s="435"/>
      <c r="H652" s="435"/>
      <c r="I652" s="435"/>
      <c r="J652" s="435"/>
      <c r="K652" s="435"/>
      <c r="L652" s="435"/>
      <c r="M652" s="436"/>
    </row>
    <row r="653" spans="1:13">
      <c r="A653"/>
      <c r="B653" s="83"/>
      <c r="C653" s="112"/>
      <c r="D653" s="113"/>
      <c r="E653"/>
      <c r="F653"/>
      <c r="G653"/>
      <c r="H653"/>
      <c r="I653"/>
      <c r="J653"/>
      <c r="K653"/>
      <c r="L653"/>
      <c r="M653"/>
    </row>
    <row r="654" spans="1:13">
      <c r="A654" s="437"/>
      <c r="B654" s="437"/>
      <c r="C654" s="114" t="s">
        <v>276</v>
      </c>
      <c r="D654" s="115" t="s">
        <v>277</v>
      </c>
      <c r="E654" s="115" t="s">
        <v>278</v>
      </c>
      <c r="F654" s="247" t="s">
        <v>2</v>
      </c>
      <c r="G654" s="115" t="s">
        <v>279</v>
      </c>
      <c r="H654" s="438" t="s">
        <v>227</v>
      </c>
      <c r="I654" s="439"/>
      <c r="J654" s="439"/>
      <c r="K654" s="439"/>
      <c r="L654" s="440"/>
    </row>
    <row r="655" spans="1:13">
      <c r="A655" s="427" t="e">
        <f>CONCATENATE(" Total ",B626," YTD")</f>
        <v>#REF!</v>
      </c>
      <c r="B655" s="429"/>
      <c r="C655" s="102" t="e">
        <f>IF(OR(G626=0,G626=""),0,G626)</f>
        <v>#REF!</v>
      </c>
      <c r="D655" s="102" t="e">
        <f>ABS(C655-C656)</f>
        <v>#REF!</v>
      </c>
      <c r="E655" s="116" t="e">
        <f>IF(C656=0,100%,D655/C656)</f>
        <v>#REF!</v>
      </c>
      <c r="F655" s="35" t="e">
        <f>IF(C655&gt;C656," Increase"," Decrease")</f>
        <v>#REF!</v>
      </c>
      <c r="G655" s="117" t="e">
        <f>IF((C656+(C656*E655))=C655,"PASS","FAIL")</f>
        <v>#REF!</v>
      </c>
      <c r="H655" s="427" t="e">
        <f>IF(OR(C655=0,C655="")," ",CONCATENATE(B627," to ",B626," = ",TEXT(E655,"###.0%"),F655))</f>
        <v>#REF!</v>
      </c>
      <c r="I655" s="428"/>
      <c r="J655" s="428"/>
      <c r="K655" s="428"/>
      <c r="L655" s="429"/>
    </row>
    <row r="656" spans="1:13">
      <c r="A656" s="427" t="e">
        <f>CONCATENATE(" Total ",B627)</f>
        <v>#REF!</v>
      </c>
      <c r="B656" s="429"/>
      <c r="C656" s="102" t="e">
        <f>IF(OR(G627=0,G627=""),0,G627)</f>
        <v>#REF!</v>
      </c>
      <c r="D656" s="102" t="e">
        <f>ABS(C656-C657)</f>
        <v>#REF!</v>
      </c>
      <c r="E656" s="116" t="e">
        <f>IF(C657=0,100%,D656/C657)</f>
        <v>#REF!</v>
      </c>
      <c r="F656" s="35" t="e">
        <f>IF(C656&gt;C657," Increase"," Decrease")</f>
        <v>#REF!</v>
      </c>
      <c r="G656" s="117" t="e">
        <f>IF((C657+(C657*E656))=C656,"PASS","FAIL")</f>
        <v>#REF!</v>
      </c>
      <c r="H656" s="427" t="e">
        <f>IF(OR(C656=0,C656="")," ",CONCATENATE(B628," to ",B627," = ",TEXT(E656,"###.0%"),F656))</f>
        <v>#REF!</v>
      </c>
      <c r="I656" s="428"/>
      <c r="J656" s="428"/>
      <c r="K656" s="428"/>
      <c r="L656" s="429"/>
    </row>
    <row r="657" spans="1:13">
      <c r="A657" s="427" t="e">
        <f>CONCATENATE(" Total ",B628)</f>
        <v>#REF!</v>
      </c>
      <c r="B657" s="429"/>
      <c r="C657" s="102" t="e">
        <f>IF(OR(G628=0,G628=""),0,G628)</f>
        <v>#REF!</v>
      </c>
      <c r="D657" s="102" t="e">
        <f>ABS(C655-C657)</f>
        <v>#REF!</v>
      </c>
      <c r="E657" s="116" t="e">
        <f>IF(C657=0,100%,D657/C657)</f>
        <v>#REF!</v>
      </c>
      <c r="F657" s="35" t="e">
        <f>IF(C657&gt;C658," Increase"," Decrease")</f>
        <v>#REF!</v>
      </c>
      <c r="G657" s="117" t="e">
        <f>IF((C657+(C657*E657))=C655,"PASS","FAIL")</f>
        <v>#REF!</v>
      </c>
      <c r="H657" s="427" t="e">
        <f>IF(OR(C657=0,C657="")," ",CONCATENATE(B628," to ",B626," = ",TEXT(E657,"###.0%"),F657))</f>
        <v>#REF!</v>
      </c>
      <c r="I657" s="428"/>
      <c r="J657" s="428"/>
      <c r="K657" s="428"/>
      <c r="L657" s="429"/>
    </row>
    <row r="658" spans="1:13">
      <c r="A658"/>
      <c r="B658"/>
      <c r="C658" s="39"/>
      <c r="D658"/>
      <c r="E658"/>
      <c r="F658"/>
      <c r="G658"/>
      <c r="H658"/>
      <c r="I658"/>
      <c r="J658"/>
      <c r="K658"/>
      <c r="L658"/>
      <c r="M658"/>
    </row>
    <row r="659" spans="1:13">
      <c r="A659"/>
      <c r="B659"/>
      <c r="C659" s="39" t="e">
        <f>IF(AND(C655&gt;0,C656&gt;0,C657&gt;0),TRUE,FALSE)</f>
        <v>#REF!</v>
      </c>
      <c r="D659" t="e">
        <f>CONCATENATE("Variances in earnings:  ",H656,"  &amp;  ",H655)</f>
        <v>#REF!</v>
      </c>
      <c r="E659"/>
      <c r="F659"/>
      <c r="G659"/>
      <c r="H659"/>
      <c r="I659"/>
      <c r="J659"/>
      <c r="K659"/>
      <c r="L659"/>
    </row>
    <row r="660" spans="1:13">
      <c r="A660"/>
      <c r="B660"/>
      <c r="C660" s="39" t="e">
        <f>IF(AND(C655&gt;0,C656&gt;0,C657=0),TRUE,FALSE)</f>
        <v>#REF!</v>
      </c>
      <c r="D660" t="e">
        <f>CONCATENATE("Variances in earnings:  ",H655)</f>
        <v>#REF!</v>
      </c>
      <c r="E660"/>
      <c r="F660"/>
      <c r="G660"/>
      <c r="H660"/>
      <c r="I660"/>
      <c r="J660"/>
      <c r="K660"/>
      <c r="L660"/>
    </row>
    <row r="661" spans="1:13">
      <c r="A661"/>
      <c r="B661"/>
      <c r="C661" s="39" t="e">
        <f>IF(AND(C655&gt;0,C656=0,C657&gt;0),TRUE,FALSE)</f>
        <v>#REF!</v>
      </c>
      <c r="D661" t="e">
        <f>CONCATENATE("Variances in earnings:  ",H656)</f>
        <v>#REF!</v>
      </c>
      <c r="E661"/>
      <c r="F661"/>
      <c r="G661"/>
      <c r="H661"/>
      <c r="I661"/>
      <c r="J661"/>
      <c r="K661"/>
      <c r="L661"/>
    </row>
    <row r="662" spans="1:13">
      <c r="A662"/>
      <c r="B662"/>
      <c r="C662" s="39" t="e">
        <f>IF(AND(C656=0,C657=0,C658=0),TRUE,FALSE)</f>
        <v>#REF!</v>
      </c>
      <c r="D662" t="s">
        <v>280</v>
      </c>
      <c r="E662"/>
      <c r="F662"/>
      <c r="G662"/>
      <c r="H662"/>
      <c r="I662"/>
      <c r="J662"/>
      <c r="K662"/>
      <c r="L662"/>
    </row>
    <row r="663" spans="1:13">
      <c r="A663"/>
      <c r="B663"/>
      <c r="C663"/>
      <c r="D663"/>
      <c r="E663"/>
      <c r="F663"/>
      <c r="G663"/>
      <c r="H663"/>
      <c r="I663"/>
      <c r="J663"/>
      <c r="K663"/>
      <c r="L663"/>
      <c r="M663"/>
    </row>
    <row r="664" spans="1:13">
      <c r="A664" s="434" t="s">
        <v>281</v>
      </c>
      <c r="B664" s="435"/>
      <c r="C664" s="435"/>
      <c r="D664" s="435"/>
      <c r="E664" s="435"/>
      <c r="F664" s="435"/>
      <c r="G664" s="435"/>
      <c r="H664" s="435"/>
      <c r="I664" s="435"/>
      <c r="J664" s="435"/>
      <c r="K664" s="435"/>
      <c r="L664" s="435"/>
      <c r="M664" s="436"/>
    </row>
    <row r="665" spans="1:13">
      <c r="A665"/>
      <c r="B665"/>
      <c r="C665"/>
      <c r="D665"/>
      <c r="E665"/>
      <c r="F665"/>
      <c r="G665"/>
      <c r="H665"/>
      <c r="I665"/>
      <c r="J665"/>
      <c r="K665"/>
      <c r="L665"/>
      <c r="M665"/>
    </row>
    <row r="666" spans="1:13">
      <c r="A666" t="s">
        <v>337</v>
      </c>
      <c r="B666"/>
      <c r="C666"/>
      <c r="D666" s="41" t="e">
        <f>D626</f>
        <v>#REF!</v>
      </c>
      <c r="E666"/>
      <c r="F666"/>
      <c r="G666"/>
      <c r="H666"/>
      <c r="I666"/>
      <c r="J666"/>
      <c r="K666"/>
      <c r="L666"/>
      <c r="M666"/>
    </row>
    <row r="667" spans="1:13">
      <c r="A667" t="s">
        <v>283</v>
      </c>
      <c r="B667"/>
      <c r="C667"/>
      <c r="D667" s="41" t="e">
        <f>IF(D666="","",EOMONTH(DATE(YEAR(D666),1,1),2))</f>
        <v>#REF!</v>
      </c>
      <c r="E667"/>
      <c r="F667"/>
      <c r="G667"/>
      <c r="H667"/>
      <c r="I667"/>
      <c r="J667"/>
      <c r="K667"/>
      <c r="L667"/>
      <c r="M667"/>
    </row>
    <row r="668" spans="1:13">
      <c r="A668" t="s">
        <v>284</v>
      </c>
      <c r="B668"/>
      <c r="C668"/>
      <c r="D668" s="41" t="e">
        <f>IF(D666&lt;D667,TRUE,FALSE)</f>
        <v>#REF!</v>
      </c>
      <c r="E668"/>
      <c r="F668"/>
      <c r="G668"/>
      <c r="H668"/>
      <c r="I668"/>
      <c r="J668"/>
      <c r="K668"/>
      <c r="L668"/>
      <c r="M668"/>
    </row>
    <row r="669" spans="1:13">
      <c r="A669"/>
      <c r="B669"/>
      <c r="C669"/>
      <c r="D669"/>
      <c r="E669"/>
      <c r="F669"/>
      <c r="G669"/>
      <c r="H669"/>
      <c r="I669"/>
      <c r="J669"/>
      <c r="K669"/>
      <c r="L669"/>
      <c r="M669"/>
    </row>
    <row r="670" spans="1:13">
      <c r="A670" t="e">
        <f>CONCATENATE(" Total earnings (",B626," YTD)")</f>
        <v>#REF!</v>
      </c>
      <c r="B670"/>
      <c r="C670"/>
      <c r="D670" s="83" t="e">
        <f>E626</f>
        <v>#REF!</v>
      </c>
      <c r="E670"/>
      <c r="F670" s="40">
        <f ca="1">EOMONTH(DATE(YEAR(TODAY()),1,1),2)</f>
        <v>46112</v>
      </c>
      <c r="G670"/>
      <c r="H670"/>
      <c r="I670"/>
      <c r="J670"/>
      <c r="K670"/>
      <c r="L670"/>
      <c r="M670"/>
    </row>
    <row r="671" spans="1:13">
      <c r="A671" t="e">
        <f>CONCATENATE(" Total earnings (",B627,")")</f>
        <v>#REF!</v>
      </c>
      <c r="B671"/>
      <c r="C671"/>
      <c r="D671" s="83" t="e">
        <f>IF(D668=TRUE,E627,0)</f>
        <v>#REF!</v>
      </c>
      <c r="E671"/>
      <c r="F671">
        <f>EOMONTH("01/01/2016",2)</f>
        <v>42460</v>
      </c>
      <c r="G671" s="41">
        <f>F671</f>
        <v>42460</v>
      </c>
      <c r="H671"/>
      <c r="I671"/>
      <c r="J671"/>
      <c r="K671"/>
      <c r="L671"/>
      <c r="M671"/>
    </row>
    <row r="672" spans="1:13">
      <c r="A672" t="s">
        <v>285</v>
      </c>
      <c r="B672"/>
      <c r="C672"/>
      <c r="D672" s="83" t="e">
        <f>D670+D671</f>
        <v>#REF!</v>
      </c>
      <c r="E672"/>
      <c r="F672"/>
      <c r="G672"/>
      <c r="H672"/>
      <c r="I672"/>
      <c r="J672"/>
      <c r="K672"/>
      <c r="L672"/>
      <c r="M672"/>
    </row>
    <row r="673" spans="1:13">
      <c r="A673"/>
      <c r="B673"/>
      <c r="C673"/>
      <c r="D673"/>
      <c r="E673"/>
      <c r="F673"/>
      <c r="G673"/>
      <c r="H673"/>
      <c r="I673"/>
      <c r="J673"/>
      <c r="K673"/>
      <c r="L673"/>
      <c r="M673"/>
    </row>
    <row r="674" spans="1:13">
      <c r="A674" t="e">
        <f>CONCATENATE(" Months included (",B626," YTD)")</f>
        <v>#REF!</v>
      </c>
      <c r="B674"/>
      <c r="C674"/>
      <c r="D674" s="120" t="e">
        <f>IF(F626="",0,F626)</f>
        <v>#REF!</v>
      </c>
      <c r="E674"/>
      <c r="F674"/>
      <c r="G674"/>
      <c r="H674"/>
      <c r="I674"/>
      <c r="J674"/>
      <c r="K674"/>
      <c r="L674"/>
      <c r="M674"/>
    </row>
    <row r="675" spans="1:13">
      <c r="A675" t="e">
        <f>CONCATENATE(" Months included (",B627,")")</f>
        <v>#REF!</v>
      </c>
      <c r="B675"/>
      <c r="C675"/>
      <c r="D675" s="120" t="e">
        <f>IF(D668=TRUE,F627,0)</f>
        <v>#REF!</v>
      </c>
      <c r="E675"/>
      <c r="F675"/>
      <c r="G675"/>
      <c r="H675"/>
      <c r="I675"/>
      <c r="J675"/>
      <c r="K675"/>
      <c r="L675"/>
      <c r="M675"/>
    </row>
    <row r="676" spans="1:13">
      <c r="A676" t="s">
        <v>286</v>
      </c>
      <c r="B676"/>
      <c r="C676"/>
      <c r="D676" s="120" t="e">
        <f>D674+D675</f>
        <v>#REF!</v>
      </c>
      <c r="E676"/>
      <c r="F676"/>
      <c r="G676"/>
      <c r="H676"/>
      <c r="I676"/>
      <c r="J676"/>
      <c r="K676"/>
      <c r="L676"/>
      <c r="M676"/>
    </row>
    <row r="677" spans="1:13">
      <c r="A677"/>
      <c r="B677"/>
      <c r="C677"/>
      <c r="D677"/>
      <c r="E677"/>
      <c r="F677"/>
      <c r="G677"/>
      <c r="H677"/>
      <c r="I677"/>
      <c r="J677"/>
      <c r="K677"/>
      <c r="L677"/>
      <c r="M677"/>
    </row>
    <row r="678" spans="1:13">
      <c r="A678" t="s">
        <v>285</v>
      </c>
      <c r="B678"/>
      <c r="C678"/>
      <c r="D678" s="86" t="e">
        <f>IF(OR(A626=FALSE,E626=""),0,D672)</f>
        <v>#REF!</v>
      </c>
      <c r="E678"/>
      <c r="F678" s="86"/>
      <c r="G678" s="246" t="s">
        <v>287</v>
      </c>
      <c r="H678"/>
      <c r="I678"/>
      <c r="J678"/>
      <c r="K678"/>
      <c r="L678"/>
      <c r="M678"/>
    </row>
    <row r="679" spans="1:13">
      <c r="A679" t="s">
        <v>288</v>
      </c>
      <c r="B679"/>
      <c r="C679"/>
      <c r="D679" s="120" t="e">
        <f>IF(OR(A626=FALSE,E626="",E626=0,F626=0),0,D676)</f>
        <v>#REF!</v>
      </c>
      <c r="E679"/>
      <c r="F679" s="112"/>
      <c r="G679" s="246" t="s">
        <v>289</v>
      </c>
      <c r="H679"/>
      <c r="I679"/>
      <c r="J679"/>
      <c r="K679"/>
      <c r="L679"/>
      <c r="M679"/>
    </row>
    <row r="680" spans="1:13">
      <c r="A680" t="s">
        <v>230</v>
      </c>
      <c r="B680"/>
      <c r="C680"/>
      <c r="D680" s="121" t="e">
        <f>D616</f>
        <v>#REF!</v>
      </c>
      <c r="E680"/>
      <c r="F680" s="83"/>
      <c r="G680" s="246" t="s">
        <v>231</v>
      </c>
      <c r="H680" s="122"/>
      <c r="I680" s="122"/>
      <c r="J680" s="122"/>
      <c r="K680"/>
      <c r="L680"/>
      <c r="M680"/>
    </row>
    <row r="681" spans="1:13">
      <c r="A681" t="s">
        <v>290</v>
      </c>
      <c r="B681"/>
      <c r="C681"/>
      <c r="D681" s="83" t="e">
        <f>IF(OR(D678=0,D679=0,),0,D678/D679)</f>
        <v>#REF!</v>
      </c>
      <c r="E681"/>
      <c r="F681" s="83"/>
      <c r="G681" s="246" t="s">
        <v>291</v>
      </c>
      <c r="H681" s="122"/>
      <c r="I681" s="122"/>
      <c r="J681" s="122"/>
      <c r="K681"/>
      <c r="L681"/>
      <c r="M681"/>
    </row>
    <row r="682" spans="1:13">
      <c r="A682" t="s">
        <v>292</v>
      </c>
      <c r="B682"/>
      <c r="C682"/>
      <c r="D682" s="83" t="e">
        <f>H629</f>
        <v>#REF!</v>
      </c>
      <c r="E682"/>
      <c r="F682" s="83"/>
      <c r="G682" s="246" t="s">
        <v>293</v>
      </c>
      <c r="H682" s="122"/>
      <c r="I682" s="122"/>
      <c r="J682" s="122"/>
      <c r="K682"/>
      <c r="L682"/>
      <c r="M682"/>
    </row>
    <row r="683" spans="1:13">
      <c r="A683"/>
      <c r="B683"/>
      <c r="C683"/>
      <c r="D683" s="83"/>
      <c r="E683"/>
      <c r="F683" s="83"/>
      <c r="G683" s="122"/>
      <c r="H683" s="122"/>
      <c r="I683" s="122"/>
      <c r="J683" s="122"/>
      <c r="K683"/>
      <c r="L683"/>
      <c r="M683"/>
    </row>
    <row r="684" spans="1:13">
      <c r="A684" t="s">
        <v>294</v>
      </c>
      <c r="B684"/>
      <c r="C684"/>
      <c r="D684" s="83"/>
      <c r="E684"/>
      <c r="F684" s="83"/>
      <c r="G684" s="122"/>
      <c r="H684" s="122"/>
      <c r="I684" s="122"/>
      <c r="J684" s="122"/>
      <c r="K684"/>
      <c r="L684"/>
      <c r="M684"/>
    </row>
    <row r="685" spans="1:13">
      <c r="A685" s="123" t="s">
        <v>295</v>
      </c>
      <c r="B685"/>
      <c r="C685"/>
      <c r="D685" s="83" t="e">
        <f>D681</f>
        <v>#REF!</v>
      </c>
      <c r="E685"/>
      <c r="F685" s="83"/>
      <c r="G685" s="122"/>
      <c r="H685" s="122"/>
      <c r="I685" s="122"/>
      <c r="J685" s="122"/>
      <c r="K685"/>
      <c r="L685"/>
      <c r="M685"/>
    </row>
    <row r="686" spans="1:13">
      <c r="A686" s="123" t="s">
        <v>296</v>
      </c>
      <c r="B686"/>
      <c r="C686"/>
      <c r="D686" s="83" t="e">
        <f>D685*12</f>
        <v>#REF!</v>
      </c>
      <c r="E686"/>
      <c r="F686" s="83"/>
      <c r="G686" s="122"/>
      <c r="H686" s="122"/>
      <c r="I686" s="122"/>
      <c r="J686" s="122"/>
      <c r="K686"/>
      <c r="L686"/>
      <c r="M686"/>
    </row>
    <row r="687" spans="1:13">
      <c r="A687" s="123" t="s">
        <v>297</v>
      </c>
      <c r="B687"/>
      <c r="C687"/>
      <c r="D687" s="83" t="e">
        <f>D686/52</f>
        <v>#REF!</v>
      </c>
      <c r="E687"/>
      <c r="F687" s="83"/>
      <c r="G687" s="122"/>
      <c r="H687" s="122"/>
      <c r="I687" s="122"/>
      <c r="J687" s="122"/>
      <c r="K687"/>
      <c r="L687"/>
      <c r="M687"/>
    </row>
    <row r="688" spans="1:13">
      <c r="A688" s="123" t="s">
        <v>298</v>
      </c>
      <c r="B688"/>
      <c r="C688"/>
      <c r="D688" s="83" t="e">
        <f>D616</f>
        <v>#REF!</v>
      </c>
      <c r="E688"/>
      <c r="F688" s="83"/>
      <c r="G688" s="122"/>
      <c r="H688" s="122"/>
      <c r="I688" s="122"/>
      <c r="J688" s="122"/>
      <c r="K688"/>
      <c r="L688"/>
      <c r="M688"/>
    </row>
    <row r="689" spans="1:13">
      <c r="A689" s="123" t="s">
        <v>299</v>
      </c>
      <c r="B689"/>
      <c r="C689"/>
      <c r="D689" s="83" t="e">
        <f>IF(D688=0,0,IF(D622=TRUE,40,IF(AND(D622=FALSE,D688&gt;0,D618="Hourly (H)",E626=0),40,IF((D687/D688)&gt;40,40,D687/D688))))</f>
        <v>#REF!</v>
      </c>
      <c r="E689"/>
      <c r="F689" s="83"/>
      <c r="G689" s="122"/>
      <c r="H689" s="122"/>
      <c r="I689" s="122"/>
      <c r="J689" s="122"/>
      <c r="K689"/>
      <c r="L689"/>
      <c r="M689"/>
    </row>
    <row r="690" spans="1:13">
      <c r="A690" s="123" t="s">
        <v>300</v>
      </c>
      <c r="B690"/>
      <c r="C690"/>
      <c r="D690" s="84" t="e">
        <f>IF(D618="Hourly (H)",D689,"N/A")</f>
        <v>#REF!</v>
      </c>
      <c r="E690"/>
      <c r="F690" s="83"/>
      <c r="G690" s="122"/>
      <c r="H690" s="122"/>
      <c r="I690" s="122"/>
      <c r="J690" s="122"/>
      <c r="K690"/>
      <c r="L690"/>
      <c r="M690"/>
    </row>
    <row r="691" spans="1:13">
      <c r="A691" s="123" t="s">
        <v>301</v>
      </c>
      <c r="B691"/>
      <c r="C691"/>
      <c r="D691" s="83" t="e">
        <f>IF(D618=0,"Weekly",IF(OR(D618&lt;&gt;"Hourly (H)",(D687/D688)&gt;40),"Weekly","Average Weekly"))</f>
        <v>#REF!</v>
      </c>
      <c r="E691"/>
      <c r="F691" s="83"/>
      <c r="G691" s="122"/>
      <c r="H691" s="122"/>
      <c r="I691" s="122"/>
      <c r="J691" s="122"/>
      <c r="K691"/>
      <c r="L691"/>
      <c r="M691"/>
    </row>
    <row r="692" spans="1:13">
      <c r="A692"/>
      <c r="B692"/>
      <c r="C692"/>
      <c r="D692" s="83"/>
      <c r="E692"/>
      <c r="F692" s="83"/>
      <c r="G692" s="122"/>
      <c r="H692" s="122"/>
      <c r="I692" s="122"/>
      <c r="J692" s="122"/>
      <c r="K692"/>
      <c r="L692"/>
      <c r="M692"/>
    </row>
    <row r="693" spans="1:13">
      <c r="A693" t="e">
        <f>CONCATENATE(" Total days (",B626," YTD)")</f>
        <v>#REF!</v>
      </c>
      <c r="B693"/>
      <c r="C693"/>
      <c r="D693" s="83" t="e">
        <f>IF(D626="",0,(D626-C626)+1)</f>
        <v>#REF!</v>
      </c>
      <c r="E693"/>
      <c r="F693" s="83"/>
      <c r="G693" s="246" t="s">
        <v>302</v>
      </c>
      <c r="H693" s="122"/>
      <c r="I693" s="122"/>
      <c r="J693" s="122"/>
      <c r="K693"/>
      <c r="L693"/>
      <c r="M693"/>
    </row>
    <row r="694" spans="1:13">
      <c r="A694" t="e">
        <f>CONCATENATE(" Total days (",B627,")")</f>
        <v>#REF!</v>
      </c>
      <c r="B694"/>
      <c r="C694"/>
      <c r="D694" s="83" t="e">
        <f>IF(D668=TRUE,(D627-C627)+1,0)</f>
        <v>#REF!</v>
      </c>
      <c r="E694"/>
      <c r="F694" s="83"/>
      <c r="G694" s="246" t="s">
        <v>302</v>
      </c>
      <c r="H694" s="122"/>
      <c r="I694" s="122"/>
      <c r="J694" s="122"/>
      <c r="K694"/>
      <c r="L694"/>
      <c r="M694"/>
    </row>
    <row r="695" spans="1:13">
      <c r="A695" t="s">
        <v>303</v>
      </c>
      <c r="B695"/>
      <c r="C695"/>
      <c r="D695" s="83" t="e">
        <f>SUM(D693:D694)</f>
        <v>#REF!</v>
      </c>
      <c r="E695"/>
      <c r="F695" s="83"/>
      <c r="G695" s="246" t="s">
        <v>304</v>
      </c>
      <c r="H695" s="122"/>
      <c r="I695" s="122"/>
      <c r="J695" s="122"/>
      <c r="K695"/>
      <c r="L695"/>
      <c r="M695"/>
    </row>
    <row r="696" spans="1:13">
      <c r="A696"/>
      <c r="B696"/>
      <c r="C696"/>
      <c r="D696" s="83"/>
      <c r="E696"/>
      <c r="F696" s="83"/>
      <c r="G696" s="122"/>
      <c r="H696" s="122"/>
      <c r="I696" s="122"/>
      <c r="J696" s="122"/>
      <c r="K696"/>
      <c r="L696"/>
      <c r="M696"/>
    </row>
    <row r="697" spans="1:13">
      <c r="A697" t="e">
        <f>CONCATENATE(" Total weeks (",B626," YTD)")</f>
        <v>#REF!</v>
      </c>
      <c r="B697"/>
      <c r="C697"/>
      <c r="D697" s="83" t="e">
        <f>ROUND(D693/7,0)</f>
        <v>#REF!</v>
      </c>
      <c r="E697"/>
      <c r="F697" s="83"/>
      <c r="G697" s="246" t="s">
        <v>305</v>
      </c>
      <c r="H697" s="122"/>
      <c r="I697" s="122"/>
      <c r="J697" s="122"/>
      <c r="K697"/>
      <c r="L697"/>
      <c r="M697"/>
    </row>
    <row r="698" spans="1:13">
      <c r="A698" t="e">
        <f>CONCATENATE(" Total weeks (",B627,")")</f>
        <v>#REF!</v>
      </c>
      <c r="B698"/>
      <c r="C698"/>
      <c r="D698" s="83" t="e">
        <f>IF(D668=TRUE,ROUND(D694/7,0),0)</f>
        <v>#REF!</v>
      </c>
      <c r="E698"/>
      <c r="F698" s="83"/>
      <c r="G698" s="246" t="s">
        <v>305</v>
      </c>
      <c r="H698" s="122"/>
      <c r="I698" s="122"/>
      <c r="J698" s="122"/>
      <c r="K698"/>
      <c r="L698"/>
      <c r="M698"/>
    </row>
    <row r="699" spans="1:13">
      <c r="A699" t="s">
        <v>306</v>
      </c>
      <c r="B699"/>
      <c r="C699"/>
      <c r="D699" s="83" t="e">
        <f>SUM(D697:D698)</f>
        <v>#REF!</v>
      </c>
      <c r="E699"/>
      <c r="F699" s="83"/>
      <c r="G699" s="246" t="s">
        <v>307</v>
      </c>
      <c r="H699" s="122"/>
      <c r="I699" s="122"/>
      <c r="J699" s="122"/>
      <c r="K699"/>
      <c r="L699"/>
      <c r="M699"/>
    </row>
    <row r="700" spans="1:13">
      <c r="A700"/>
      <c r="B700"/>
      <c r="C700"/>
      <c r="D700" s="83"/>
      <c r="E700"/>
      <c r="F700" s="83"/>
      <c r="G700" s="122"/>
      <c r="H700" s="122"/>
      <c r="I700" s="122"/>
      <c r="J700" s="122"/>
      <c r="K700"/>
      <c r="L700"/>
      <c r="M700"/>
    </row>
    <row r="701" spans="1:13">
      <c r="A701" t="s">
        <v>308</v>
      </c>
      <c r="B701"/>
      <c r="C701"/>
      <c r="D701" s="83" t="e">
        <f>(D681*12)/52</f>
        <v>#REF!</v>
      </c>
      <c r="E701"/>
      <c r="F701" s="83"/>
      <c r="G701" s="246" t="s">
        <v>309</v>
      </c>
      <c r="H701" s="122"/>
      <c r="I701" s="122"/>
      <c r="J701" s="122"/>
      <c r="K701"/>
      <c r="L701"/>
      <c r="M701"/>
    </row>
    <row r="702" spans="1:13">
      <c r="A702" t="s">
        <v>310</v>
      </c>
      <c r="B702"/>
      <c r="C702"/>
      <c r="D702" s="83" t="e">
        <f>IF(OR(D618=0,D701=0),0,IF(OR(D618=A609,D618=A610,D618=A612),D616,D616/VLOOKUP(D618,A605:E613,3)))</f>
        <v>#REF!</v>
      </c>
      <c r="E702"/>
      <c r="F702" s="83"/>
      <c r="G702" s="246" t="s">
        <v>311</v>
      </c>
      <c r="H702" s="122"/>
      <c r="I702" s="122"/>
      <c r="J702" s="122"/>
      <c r="K702"/>
      <c r="L702"/>
      <c r="M702"/>
    </row>
    <row r="703" spans="1:13">
      <c r="A703" t="s">
        <v>312</v>
      </c>
      <c r="B703"/>
      <c r="C703"/>
      <c r="D703" s="120" t="e">
        <f>IF(D702=0,0,ROUND(D701/D702,1))</f>
        <v>#REF!</v>
      </c>
      <c r="E703" s="83"/>
      <c r="F703" s="83"/>
      <c r="G703" s="246" t="s">
        <v>313</v>
      </c>
      <c r="H703"/>
      <c r="I703"/>
      <c r="J703"/>
      <c r="K703" s="83"/>
      <c r="L703"/>
      <c r="M703"/>
    </row>
    <row r="704" spans="1:13">
      <c r="A704"/>
      <c r="B704"/>
      <c r="C704"/>
      <c r="D704"/>
      <c r="E704"/>
      <c r="F704"/>
      <c r="G704"/>
      <c r="H704"/>
      <c r="I704"/>
      <c r="J704"/>
      <c r="K704"/>
      <c r="L704"/>
      <c r="M704"/>
    </row>
    <row r="705" spans="1:13">
      <c r="A705" t="s">
        <v>314</v>
      </c>
      <c r="B705"/>
      <c r="C705"/>
      <c r="D705" s="121" t="e">
        <f>IF(OR(D618=A609,D618=A610,D618=A612),J629,D621)</f>
        <v>#REF!</v>
      </c>
      <c r="E705"/>
      <c r="F705"/>
      <c r="G705" s="246" t="s">
        <v>315</v>
      </c>
      <c r="H705"/>
      <c r="I705"/>
      <c r="J705"/>
      <c r="K705"/>
      <c r="L705"/>
      <c r="M705"/>
    </row>
    <row r="706" spans="1:13">
      <c r="A706" t="s">
        <v>288</v>
      </c>
      <c r="B706"/>
      <c r="C706"/>
      <c r="D706" s="121" t="e">
        <f>IF(OR(E626="",E626=0,A626=FALSE),"",ROUND((((D626-C626)+1)/365)*12,1))</f>
        <v>#REF!</v>
      </c>
      <c r="E706"/>
      <c r="F706" t="e">
        <f>VLOOKUP(D602,D520:G528,4)</f>
        <v>#N/A</v>
      </c>
      <c r="G706" s="246" t="s">
        <v>316</v>
      </c>
      <c r="H706"/>
      <c r="I706"/>
      <c r="J706"/>
      <c r="K706"/>
      <c r="L706"/>
      <c r="M706"/>
    </row>
    <row r="707" spans="1:13">
      <c r="A707" t="s">
        <v>317</v>
      </c>
      <c r="B707"/>
      <c r="C707"/>
      <c r="D707" s="83" t="e">
        <f>IF(OR(D705=0,D705="",D706=0,D706=""),0,ROUND(D705*D706,0))</f>
        <v>#REF!</v>
      </c>
      <c r="E707"/>
      <c r="F707"/>
      <c r="G707" s="246" t="s">
        <v>318</v>
      </c>
      <c r="H707"/>
      <c r="I707"/>
      <c r="J707"/>
      <c r="K707"/>
      <c r="L707"/>
      <c r="M707"/>
    </row>
    <row r="708" spans="1:13">
      <c r="A708"/>
      <c r="B708"/>
      <c r="C708"/>
      <c r="D708"/>
      <c r="E708"/>
      <c r="F708"/>
      <c r="G708"/>
      <c r="H708"/>
      <c r="I708"/>
      <c r="J708"/>
      <c r="K708"/>
      <c r="L708"/>
      <c r="M708"/>
    </row>
    <row r="709" spans="1:13">
      <c r="A709" s="434" t="e">
        <f>CONCATENATE("STATISTICS  —  CALCULATIONS FOR ",#REF!," EARNINGS")</f>
        <v>#REF!</v>
      </c>
      <c r="B709" s="435"/>
      <c r="C709" s="435"/>
      <c r="D709" s="435"/>
      <c r="E709" s="435"/>
      <c r="F709" s="435"/>
      <c r="G709" s="435"/>
      <c r="H709" s="435"/>
      <c r="I709" s="435"/>
      <c r="J709" s="435"/>
      <c r="K709" s="435"/>
      <c r="L709" s="435"/>
      <c r="M709" s="436"/>
    </row>
    <row r="710" spans="1:13">
      <c r="A710"/>
      <c r="B710"/>
      <c r="C710"/>
      <c r="D710"/>
      <c r="E710"/>
      <c r="F710"/>
      <c r="G710"/>
      <c r="H710"/>
      <c r="I710"/>
      <c r="J710"/>
      <c r="K710"/>
      <c r="L710"/>
      <c r="M710"/>
    </row>
    <row r="711" spans="1:13">
      <c r="A711" s="423" t="e">
        <f>CONCATENATE("Pay Type #1 -- ",#REF!)</f>
        <v>#REF!</v>
      </c>
      <c r="B711" s="424"/>
      <c r="C711" s="424"/>
      <c r="D711" s="424"/>
      <c r="E711" s="424"/>
      <c r="F711" s="424"/>
      <c r="G711" s="425"/>
      <c r="H711" s="423" t="s">
        <v>244</v>
      </c>
      <c r="I711" s="424"/>
      <c r="J711" s="425"/>
      <c r="K711" s="423" t="s">
        <v>245</v>
      </c>
      <c r="L711" s="424"/>
      <c r="M711" s="425"/>
    </row>
    <row r="712" spans="1:13">
      <c r="A712" s="87" t="s">
        <v>246</v>
      </c>
      <c r="B712" s="87" t="s">
        <v>164</v>
      </c>
      <c r="C712" s="87" t="s">
        <v>247</v>
      </c>
      <c r="D712" s="87" t="s">
        <v>248</v>
      </c>
      <c r="E712" s="87" t="s">
        <v>5</v>
      </c>
      <c r="F712" s="87" t="s">
        <v>4</v>
      </c>
      <c r="G712" s="87" t="s">
        <v>1</v>
      </c>
      <c r="H712" s="87" t="s">
        <v>154</v>
      </c>
      <c r="I712" s="87" t="s">
        <v>4</v>
      </c>
      <c r="J712" s="87" t="s">
        <v>5</v>
      </c>
      <c r="K712" s="87" t="s">
        <v>249</v>
      </c>
      <c r="L712" s="87" t="s">
        <v>250</v>
      </c>
      <c r="M712" s="87" t="s">
        <v>251</v>
      </c>
    </row>
    <row r="713" spans="1:13">
      <c r="A713" s="88" t="b">
        <v>1</v>
      </c>
      <c r="B713" s="89" t="e">
        <f>#REF!</f>
        <v>#REF!</v>
      </c>
      <c r="C713" s="90" t="e">
        <f>#REF!</f>
        <v>#REF!</v>
      </c>
      <c r="D713" s="90" t="e">
        <f>#REF!</f>
        <v>#REF!</v>
      </c>
      <c r="E713" s="91" t="e">
        <f>#REF!</f>
        <v>#REF!</v>
      </c>
      <c r="F713" s="92" t="e">
        <f>IF(OR(E713="",E713=0),"",ROUND((((D713-C713)+1)/365)*12,1))</f>
        <v>#REF!</v>
      </c>
      <c r="G713" s="93" t="e">
        <f>IF(OR(E713="",E713=0),"",ROUND(E713/F713,0))</f>
        <v>#REF!</v>
      </c>
      <c r="H713" s="93" t="e">
        <f>IF(A713=TRUE,E713,0)</f>
        <v>#REF!</v>
      </c>
      <c r="I713" s="118" t="e">
        <f>IF(A713=TRUE,F713,0)</f>
        <v>#REF!</v>
      </c>
      <c r="J713" s="93" t="e">
        <f>IF(OR(A713=FALSE,H713=0,I713=0),0,ROUND(H713/I713,0))</f>
        <v>#REF!</v>
      </c>
      <c r="K713" s="92" t="e">
        <f>IF(OR(G713="",G713=0,G714="",G714=0),100,IF(G713&gt;G714,((G713-G714)/G714)*100,((G714-G713)/G714)*100))</f>
        <v>#REF!</v>
      </c>
      <c r="L713" s="54" t="e">
        <f>IF(G713&gt;G714,"Increase","Decrease")</f>
        <v>#REF!</v>
      </c>
      <c r="M713" s="54" t="e">
        <f>IF(AND(A713=TRUE,E713&gt;0),TRUE,FALSE)</f>
        <v>#REF!</v>
      </c>
    </row>
    <row r="714" spans="1:13">
      <c r="A714" s="57" t="b">
        <v>1</v>
      </c>
      <c r="B714" s="89" t="e">
        <f>#REF!</f>
        <v>#REF!</v>
      </c>
      <c r="C714" s="90" t="e">
        <f>#REF!</f>
        <v>#REF!</v>
      </c>
      <c r="D714" s="90" t="e">
        <f>#REF!</f>
        <v>#REF!</v>
      </c>
      <c r="E714" s="91" t="e">
        <f>#REF!</f>
        <v>#REF!</v>
      </c>
      <c r="F714" s="92" t="e">
        <f>IF(OR(E714="",E714=0),"",ROUND((((D714-C714)+1)/365)*12,1))</f>
        <v>#REF!</v>
      </c>
      <c r="G714" s="93" t="e">
        <f>IF(OR(E714="",E714=0),"",ROUND(E714/F714,0))</f>
        <v>#REF!</v>
      </c>
      <c r="H714" s="93" t="e">
        <f>IF(A714=TRUE,E714,0)</f>
        <v>#REF!</v>
      </c>
      <c r="I714" s="118" t="e">
        <f>IF(A714=TRUE,F714,0)</f>
        <v>#REF!</v>
      </c>
      <c r="J714" s="93" t="e">
        <f>IF(OR(A714=FALSE,H714=0,I714=0),0,ROUND(H714/I714,0))</f>
        <v>#REF!</v>
      </c>
      <c r="K714" s="92" t="e">
        <f>IF(OR(G714="",G714=0,G715="",G715=0),100,IF(G714&gt;G715,((G714-G715)/G715)*100,((G715-G714)/G715)*100))</f>
        <v>#REF!</v>
      </c>
      <c r="L714" s="54" t="e">
        <f>IF(G714&gt;G715,"Increase","Decrease")</f>
        <v>#REF!</v>
      </c>
      <c r="M714" s="54" t="e">
        <f>IF(AND(A714=TRUE,E714&gt;0),TRUE,FALSE)</f>
        <v>#REF!</v>
      </c>
    </row>
    <row r="715" spans="1:13">
      <c r="A715" s="57" t="b">
        <v>1</v>
      </c>
      <c r="B715" s="89" t="e">
        <f>#REF!</f>
        <v>#REF!</v>
      </c>
      <c r="C715" s="90" t="e">
        <f>#REF!</f>
        <v>#REF!</v>
      </c>
      <c r="D715" s="90" t="e">
        <f>#REF!</f>
        <v>#REF!</v>
      </c>
      <c r="E715" s="91" t="e">
        <f>#REF!</f>
        <v>#REF!</v>
      </c>
      <c r="F715" s="92" t="e">
        <f>IF(OR(E715="",E715=0),"",ROUND((((D715-C715)+1)/365)*12,1))</f>
        <v>#REF!</v>
      </c>
      <c r="G715" s="93" t="e">
        <f>IF(OR(E715="",E715=0),"",ROUND(E715/F715,0))</f>
        <v>#REF!</v>
      </c>
      <c r="H715" s="93" t="e">
        <f>IF(A715=TRUE,E715,0)</f>
        <v>#REF!</v>
      </c>
      <c r="I715" s="118" t="e">
        <f>IF(A715=TRUE,F715,0)</f>
        <v>#REF!</v>
      </c>
      <c r="J715" s="93" t="e">
        <f>IF(OR(A715=FALSE,H715=0,I715=0),0,ROUND(H715/I715,0))</f>
        <v>#REF!</v>
      </c>
      <c r="K715" s="92" t="e">
        <f>IF(OR(G713="",G713=0,G715="",G715=0),100,IF(G713&gt;G715,((G713-G715)/G715)*100,((G715-G713)/G715)*100))</f>
        <v>#REF!</v>
      </c>
      <c r="L715" s="54" t="e">
        <f>IF(G713&gt;G715,"Increase","Decrease")</f>
        <v>#REF!</v>
      </c>
      <c r="M715" s="54" t="e">
        <f>IF(AND(A715=TRUE,E715&gt;0),TRUE,FALSE)</f>
        <v>#REF!</v>
      </c>
    </row>
    <row r="716" spans="1:13">
      <c r="A716" s="51" t="s">
        <v>252</v>
      </c>
      <c r="B716" s="98"/>
      <c r="C716" s="99"/>
      <c r="D716" s="99"/>
      <c r="E716" s="100" t="e">
        <f>SUM(E713:E715)</f>
        <v>#REF!</v>
      </c>
      <c r="F716" s="101" t="e">
        <f>SUM(F713:F715)</f>
        <v>#REF!</v>
      </c>
      <c r="G716" s="97" t="e">
        <f>IF(F716=0,0,ROUND(E716/F716,0))</f>
        <v>#REF!</v>
      </c>
      <c r="H716" s="97" t="e">
        <f>IF(SUM(E713:E715)=0,0,ROUND(SUM(H713:H715),0))</f>
        <v>#REF!</v>
      </c>
      <c r="I716" s="119" t="e">
        <f>IF(SUM(F713:F715)=0,0,ROUND(SUM(I713:I715),1))</f>
        <v>#REF!</v>
      </c>
      <c r="J716" s="97" t="e">
        <f>IF(I716=0,0,ROUND(H716/I716,0))</f>
        <v>#REF!</v>
      </c>
      <c r="K716" s="99"/>
      <c r="L716" s="99"/>
      <c r="M716" s="99"/>
    </row>
    <row r="717" spans="1:13">
      <c r="A717"/>
      <c r="B717" s="83"/>
      <c r="C717" s="112"/>
      <c r="D717" s="113"/>
      <c r="E717"/>
      <c r="F717"/>
      <c r="G717"/>
      <c r="H717"/>
      <c r="I717"/>
      <c r="J717"/>
      <c r="K717"/>
      <c r="L717"/>
      <c r="M717"/>
    </row>
    <row r="718" spans="1:13">
      <c r="A718" s="434" t="e">
        <f>CONCATENATE("STATISTICS  —  VARIANCES IN ",#REF!," EARNINGS")</f>
        <v>#REF!</v>
      </c>
      <c r="B718" s="435"/>
      <c r="C718" s="435"/>
      <c r="D718" s="435"/>
      <c r="E718" s="435"/>
      <c r="F718" s="435"/>
      <c r="G718" s="435"/>
      <c r="H718" s="435"/>
      <c r="I718" s="435"/>
      <c r="J718" s="435"/>
      <c r="K718" s="435"/>
      <c r="L718" s="435"/>
      <c r="M718" s="436"/>
    </row>
    <row r="719" spans="1:13">
      <c r="A719"/>
      <c r="B719" s="83"/>
      <c r="C719" s="112"/>
      <c r="D719" s="113"/>
      <c r="E719"/>
      <c r="F719"/>
      <c r="G719"/>
      <c r="H719"/>
      <c r="I719"/>
      <c r="J719"/>
      <c r="K719"/>
      <c r="L719"/>
      <c r="M719"/>
    </row>
    <row r="720" spans="1:13">
      <c r="A720" s="437"/>
      <c r="B720" s="437"/>
      <c r="C720" s="114" t="s">
        <v>276</v>
      </c>
      <c r="D720" s="115" t="s">
        <v>277</v>
      </c>
      <c r="E720" s="115" t="s">
        <v>278</v>
      </c>
      <c r="F720" s="247" t="s">
        <v>2</v>
      </c>
      <c r="G720" s="115" t="s">
        <v>279</v>
      </c>
      <c r="H720" s="438" t="s">
        <v>227</v>
      </c>
      <c r="I720" s="439"/>
      <c r="J720" s="439"/>
      <c r="K720" s="439"/>
      <c r="L720" s="440"/>
    </row>
    <row r="721" spans="1:13">
      <c r="A721" s="427" t="e">
        <f>CONCATENATE(" Total ",B713," YTD")</f>
        <v>#REF!</v>
      </c>
      <c r="B721" s="429"/>
      <c r="C721" s="102" t="e">
        <f>IF(OR(G713=0,G713=""),0,G713)</f>
        <v>#REF!</v>
      </c>
      <c r="D721" s="102" t="e">
        <f>ABS(C721-C722)</f>
        <v>#REF!</v>
      </c>
      <c r="E721" s="116" t="e">
        <f>IF(C722=0,100%,D721/C722)</f>
        <v>#REF!</v>
      </c>
      <c r="F721" s="35" t="e">
        <f>IF(C721&gt;C722," Increase"," Decrease")</f>
        <v>#REF!</v>
      </c>
      <c r="G721" s="117" t="e">
        <f>IF((C722+(C722*E721))=C721,"PASS","FAIL")</f>
        <v>#REF!</v>
      </c>
      <c r="H721" s="427" t="e">
        <f>IF(C721=""," ",IF(AND(C722=0,C721=0),CONCATENATE(B714," to ",B713," = N/A"),IF(AND(C722=0,C721&gt;0),CONCATENATE(B714," to ",B713," = 100% Increase"),IF(AND(C722&gt;0,C721=0),CONCATENATE(B714," to ",B713," = 100% Decrease"),IF(AND(C722&gt;0,C721&gt;0),CONCATENATE(B714," to ",B713," = ",TEXT(E721,"###.0%"),F721))))))</f>
        <v>#REF!</v>
      </c>
      <c r="I721" s="428"/>
      <c r="J721" s="428"/>
      <c r="K721" s="428"/>
      <c r="L721" s="429"/>
    </row>
    <row r="722" spans="1:13">
      <c r="A722" s="427" t="e">
        <f>CONCATENATE(" Total ",B714)</f>
        <v>#REF!</v>
      </c>
      <c r="B722" s="429"/>
      <c r="C722" s="102" t="e">
        <f>IF(OR(G714=0,G714=""),0,G714)</f>
        <v>#REF!</v>
      </c>
      <c r="D722" s="102" t="e">
        <f>ABS(C722-C723)</f>
        <v>#REF!</v>
      </c>
      <c r="E722" s="116" t="e">
        <f>IF(C723=0,100%,D722/C723)</f>
        <v>#REF!</v>
      </c>
      <c r="F722" s="35" t="e">
        <f>IF(C722&gt;C723," Increase"," Decrease")</f>
        <v>#REF!</v>
      </c>
      <c r="G722" s="117" t="e">
        <f>IF((C723+(C723*E722))=C722,"PASS","FAIL")</f>
        <v>#REF!</v>
      </c>
      <c r="H722" s="427" t="e">
        <f>IF(C722=""," ",IF(AND(C723=0,C722=0),CONCATENATE(B715," to ",B714," = Undetermined"),IF(AND(C723=0,C722&gt;0),CONCATENATE(B715," to ",B714," = 100% Increase"),IF(AND(C723&gt;0,C722=0),CONCATENATE(B715," to ",B714," = 100% Decrease"),IF(AND(C723&gt;0,C722&gt;0),CONCATENATE(B715," to ",B714," = ",TEXT(E722,"###.0%"),F722))))))</f>
        <v>#REF!</v>
      </c>
      <c r="I722" s="428"/>
      <c r="J722" s="428"/>
      <c r="K722" s="428"/>
      <c r="L722" s="429"/>
    </row>
    <row r="723" spans="1:13">
      <c r="A723" s="427" t="str">
        <f>CONCATENATE(" Total ",B2773)</f>
        <v>Total</v>
      </c>
      <c r="B723" s="429"/>
      <c r="C723" s="102" t="e">
        <f>IF(OR(G715=0,G715=""),0,G715)</f>
        <v>#REF!</v>
      </c>
      <c r="D723" s="102" t="e">
        <f>ABS(C721-C723)</f>
        <v>#REF!</v>
      </c>
      <c r="E723" s="116" t="e">
        <f>IF(C723=0,100%,D723/C723)</f>
        <v>#REF!</v>
      </c>
      <c r="F723" s="35" t="e">
        <f>IF(C723&gt;C724," Increase"," Decrease")</f>
        <v>#REF!</v>
      </c>
      <c r="G723" s="117" t="e">
        <f>IF((C723+(C723*E723))=C721,"PASS","FAIL")</f>
        <v>#REF!</v>
      </c>
      <c r="H723" s="427"/>
      <c r="I723" s="428"/>
      <c r="J723" s="428"/>
      <c r="K723" s="428"/>
      <c r="L723" s="429"/>
    </row>
    <row r="724" spans="1:13">
      <c r="A724"/>
      <c r="B724"/>
      <c r="C724" s="39"/>
      <c r="D724"/>
      <c r="E724"/>
      <c r="F724"/>
      <c r="G724"/>
      <c r="H724"/>
      <c r="I724"/>
      <c r="J724"/>
      <c r="K724"/>
      <c r="L724"/>
      <c r="M724"/>
    </row>
    <row r="725" spans="1:13">
      <c r="A725" t="s">
        <v>338</v>
      </c>
      <c r="B725"/>
      <c r="C725" t="e">
        <f>CONCATENATE("Variance in Earnings:  ",H722,"  &amp;  ",H721)</f>
        <v>#REF!</v>
      </c>
      <c r="D725"/>
      <c r="E725"/>
      <c r="F725"/>
      <c r="G725"/>
      <c r="H725"/>
      <c r="I725"/>
      <c r="J725"/>
      <c r="K725"/>
      <c r="L725"/>
      <c r="M725"/>
    </row>
    <row r="726" spans="1:13">
      <c r="A726"/>
      <c r="B726"/>
      <c r="C726"/>
      <c r="D726"/>
      <c r="E726"/>
      <c r="F726"/>
      <c r="G726"/>
      <c r="H726"/>
      <c r="I726"/>
      <c r="J726"/>
      <c r="K726"/>
      <c r="L726"/>
      <c r="M726"/>
    </row>
    <row r="727" spans="1:13">
      <c r="A727" s="434" t="e">
        <f>CONCATENATE("STATISTICS  —  CALCULATIONS FOR ",#REF!," EARNINGS")</f>
        <v>#REF!</v>
      </c>
      <c r="B727" s="435"/>
      <c r="C727" s="435"/>
      <c r="D727" s="435"/>
      <c r="E727" s="435"/>
      <c r="F727" s="435"/>
      <c r="G727" s="435"/>
      <c r="H727" s="435"/>
      <c r="I727" s="435"/>
      <c r="J727" s="435"/>
      <c r="K727" s="435"/>
      <c r="L727" s="435"/>
      <c r="M727" s="436"/>
    </row>
    <row r="728" spans="1:13">
      <c r="A728"/>
      <c r="B728"/>
      <c r="C728"/>
      <c r="D728"/>
      <c r="E728"/>
      <c r="F728"/>
      <c r="G728"/>
      <c r="H728"/>
      <c r="I728"/>
      <c r="J728"/>
      <c r="K728"/>
      <c r="L728"/>
      <c r="M728"/>
    </row>
    <row r="729" spans="1:13">
      <c r="A729" s="423" t="e">
        <f>CONCATENATE("Pay Type #3 -- ",#REF!)</f>
        <v>#REF!</v>
      </c>
      <c r="B729" s="424"/>
      <c r="C729" s="424"/>
      <c r="D729" s="424"/>
      <c r="E729" s="424"/>
      <c r="F729" s="424"/>
      <c r="G729" s="425"/>
      <c r="H729" s="423" t="s">
        <v>244</v>
      </c>
      <c r="I729" s="424"/>
      <c r="J729" s="425"/>
      <c r="K729" s="423" t="s">
        <v>245</v>
      </c>
      <c r="L729" s="424"/>
      <c r="M729" s="425"/>
    </row>
    <row r="730" spans="1:13">
      <c r="A730" s="87" t="s">
        <v>246</v>
      </c>
      <c r="B730" s="87" t="s">
        <v>164</v>
      </c>
      <c r="C730" s="87" t="s">
        <v>247</v>
      </c>
      <c r="D730" s="87" t="s">
        <v>248</v>
      </c>
      <c r="E730" s="87" t="s">
        <v>5</v>
      </c>
      <c r="F730" s="87" t="s">
        <v>4</v>
      </c>
      <c r="G730" s="87" t="s">
        <v>1</v>
      </c>
      <c r="H730" s="87" t="s">
        <v>154</v>
      </c>
      <c r="I730" s="87" t="s">
        <v>4</v>
      </c>
      <c r="J730" s="87" t="s">
        <v>5</v>
      </c>
      <c r="K730" s="87" t="s">
        <v>249</v>
      </c>
      <c r="L730" s="87" t="s">
        <v>250</v>
      </c>
      <c r="M730" s="87" t="s">
        <v>251</v>
      </c>
    </row>
    <row r="731" spans="1:13">
      <c r="A731" s="88" t="b">
        <v>0</v>
      </c>
      <c r="B731" s="89" t="e">
        <f>#REF!</f>
        <v>#REF!</v>
      </c>
      <c r="C731" s="90" t="e">
        <f>#REF!</f>
        <v>#REF!</v>
      </c>
      <c r="D731" s="90" t="e">
        <f>#REF!</f>
        <v>#REF!</v>
      </c>
      <c r="E731" s="91" t="e">
        <f>#REF!</f>
        <v>#REF!</v>
      </c>
      <c r="F731" s="92" t="e">
        <f>IF(OR(E731="",E731=0),"",ROUND((((D731-C731)+1)/365)*12,1))</f>
        <v>#REF!</v>
      </c>
      <c r="G731" s="93" t="e">
        <f>IF(OR(E731="",E731=0),"",ROUND(E731/F731,0))</f>
        <v>#REF!</v>
      </c>
      <c r="H731" s="93">
        <f>IF(A731=TRUE,E731,0)</f>
        <v>0</v>
      </c>
      <c r="I731" s="118">
        <f>IF(A731=TRUE,F731,0)</f>
        <v>0</v>
      </c>
      <c r="J731" s="93">
        <f>IF(OR(A731=FALSE,H731=0,I731=0),0,ROUND(H731/I731,0))</f>
        <v>0</v>
      </c>
      <c r="K731" s="92" t="e">
        <f>IF(OR(G731="",G731=0,G732="",G732=0),100,IF(G731&gt;G732,((G731-G732)/G732)*100,((G732-G731)/G732)*100))</f>
        <v>#REF!</v>
      </c>
      <c r="L731" s="54" t="e">
        <f>IF(G731&gt;G732,"Increase","Decrease")</f>
        <v>#REF!</v>
      </c>
      <c r="M731" s="54" t="e">
        <f>IF(AND(A731=TRUE,E731&gt;0),TRUE,FALSE)</f>
        <v>#REF!</v>
      </c>
    </row>
    <row r="732" spans="1:13">
      <c r="A732" s="57" t="b">
        <v>0</v>
      </c>
      <c r="B732" s="89" t="e">
        <f>#REF!</f>
        <v>#REF!</v>
      </c>
      <c r="C732" s="90" t="e">
        <f>#REF!</f>
        <v>#REF!</v>
      </c>
      <c r="D732" s="90" t="e">
        <f>#REF!</f>
        <v>#REF!</v>
      </c>
      <c r="E732" s="91" t="e">
        <f>#REF!</f>
        <v>#REF!</v>
      </c>
      <c r="F732" s="92" t="e">
        <f>IF(OR(E732="",E732=0),"",ROUND((((D732-C732)+1)/365)*12,1))</f>
        <v>#REF!</v>
      </c>
      <c r="G732" s="93" t="e">
        <f>IF(OR(E732="",E732=0),"",ROUND(E732/F732,0))</f>
        <v>#REF!</v>
      </c>
      <c r="H732" s="93">
        <f>IF(A732=TRUE,E732,0)</f>
        <v>0</v>
      </c>
      <c r="I732" s="118">
        <f>IF(A732=TRUE,F732,0)</f>
        <v>0</v>
      </c>
      <c r="J732" s="93">
        <f>IF(OR(A732=FALSE,H732=0,I732=0),0,ROUND(H732/I732,0))</f>
        <v>0</v>
      </c>
      <c r="K732" s="92" t="e">
        <f>IF(OR(G732="",G732=0,G733="",G733=0),100,IF(G732&gt;G733,((G732-G733)/G733)*100,((G733-G732)/G733)*100))</f>
        <v>#REF!</v>
      </c>
      <c r="L732" s="54" t="e">
        <f>IF(G732&gt;G733,"Increase","Decrease")</f>
        <v>#REF!</v>
      </c>
      <c r="M732" s="54" t="e">
        <f>IF(AND(A732=TRUE,E732&gt;0),TRUE,FALSE)</f>
        <v>#REF!</v>
      </c>
    </row>
    <row r="733" spans="1:13">
      <c r="A733" s="57" t="b">
        <v>0</v>
      </c>
      <c r="B733" s="89" t="e">
        <f>#REF!</f>
        <v>#REF!</v>
      </c>
      <c r="C733" s="90" t="e">
        <f>#REF!</f>
        <v>#REF!</v>
      </c>
      <c r="D733" s="90" t="e">
        <f>#REF!</f>
        <v>#REF!</v>
      </c>
      <c r="E733" s="91" t="e">
        <f>#REF!</f>
        <v>#REF!</v>
      </c>
      <c r="F733" s="92" t="e">
        <f>IF(OR(E733="",E733=0),"",ROUND((((D733-C733)+1)/365)*12,1))</f>
        <v>#REF!</v>
      </c>
      <c r="G733" s="93" t="e">
        <f>IF(OR(E733="",E733=0),"",ROUND(E733/F733,0))</f>
        <v>#REF!</v>
      </c>
      <c r="H733" s="93">
        <f>IF(A733=TRUE,E733,0)</f>
        <v>0</v>
      </c>
      <c r="I733" s="118">
        <f>IF(A733=TRUE,F733,0)</f>
        <v>0</v>
      </c>
      <c r="J733" s="93">
        <f>IF(OR(A733=FALSE,H733=0,I733=0),0,ROUND(H733/I733,0))</f>
        <v>0</v>
      </c>
      <c r="K733" s="92" t="e">
        <f>IF(OR(G731="",G731=0,G733="",G733=0),100,IF(G731&gt;G733,((G731-G733)/G733)*100,((G733-G731)/G733)*100))</f>
        <v>#REF!</v>
      </c>
      <c r="L733" s="54" t="e">
        <f>IF(G731&gt;G733,"Increase","Decrease")</f>
        <v>#REF!</v>
      </c>
      <c r="M733" s="54" t="e">
        <f>IF(AND(A733=TRUE,E733&gt;0),TRUE,FALSE)</f>
        <v>#REF!</v>
      </c>
    </row>
    <row r="734" spans="1:13">
      <c r="A734" s="51" t="s">
        <v>252</v>
      </c>
      <c r="B734" s="98"/>
      <c r="C734" s="99"/>
      <c r="D734" s="99"/>
      <c r="E734" s="100" t="e">
        <f>SUM(E731:E733)</f>
        <v>#REF!</v>
      </c>
      <c r="F734" s="101" t="e">
        <f>SUM(F731:F733)</f>
        <v>#REF!</v>
      </c>
      <c r="G734" s="97" t="e">
        <f>IF(F734=0,0,ROUND(E734/F734,0))</f>
        <v>#REF!</v>
      </c>
      <c r="H734" s="97" t="e">
        <f>IF(SUM(E731:E733)=0,0,ROUND(SUM(H731:H733),0))</f>
        <v>#REF!</v>
      </c>
      <c r="I734" s="119" t="e">
        <f>IF(SUM(F731:F733)=0,0,ROUND(SUM(I731:I733),1))</f>
        <v>#REF!</v>
      </c>
      <c r="J734" s="97" t="e">
        <f>IF(I734=0,0,ROUND(H734/I734,0))</f>
        <v>#REF!</v>
      </c>
      <c r="K734" s="99"/>
      <c r="L734" s="99"/>
      <c r="M734" s="99"/>
    </row>
    <row r="735" spans="1:13">
      <c r="A735"/>
      <c r="B735" s="83"/>
      <c r="C735" s="112"/>
      <c r="D735" s="113"/>
      <c r="E735"/>
      <c r="F735"/>
      <c r="G735"/>
      <c r="H735"/>
      <c r="I735"/>
      <c r="J735"/>
      <c r="K735"/>
      <c r="L735"/>
      <c r="M735"/>
    </row>
    <row r="736" spans="1:13">
      <c r="A736" s="434" t="e">
        <f>CONCATENATE("STATISTICS  —  VARIANCES IN ",#REF!," EARNINGS")</f>
        <v>#REF!</v>
      </c>
      <c r="B736" s="435"/>
      <c r="C736" s="435"/>
      <c r="D736" s="435"/>
      <c r="E736" s="435"/>
      <c r="F736" s="435"/>
      <c r="G736" s="435"/>
      <c r="H736" s="435"/>
      <c r="I736" s="435"/>
      <c r="J736" s="435"/>
      <c r="K736" s="435"/>
      <c r="L736" s="435"/>
      <c r="M736" s="436"/>
    </row>
    <row r="737" spans="1:13">
      <c r="A737"/>
      <c r="B737" s="83"/>
      <c r="C737" s="112"/>
      <c r="D737" s="113"/>
      <c r="E737"/>
      <c r="F737"/>
      <c r="G737"/>
      <c r="H737"/>
      <c r="I737"/>
      <c r="J737"/>
      <c r="K737"/>
      <c r="L737"/>
      <c r="M737"/>
    </row>
    <row r="738" spans="1:13">
      <c r="A738" s="437"/>
      <c r="B738" s="437"/>
      <c r="C738" s="114" t="s">
        <v>276</v>
      </c>
      <c r="D738" s="115" t="s">
        <v>277</v>
      </c>
      <c r="E738" s="115" t="s">
        <v>278</v>
      </c>
      <c r="F738" s="247" t="s">
        <v>2</v>
      </c>
      <c r="G738" s="115" t="s">
        <v>279</v>
      </c>
      <c r="H738" s="438" t="s">
        <v>227</v>
      </c>
      <c r="I738" s="439"/>
      <c r="J738" s="439"/>
      <c r="K738" s="439"/>
      <c r="L738" s="440"/>
    </row>
    <row r="739" spans="1:13">
      <c r="A739" s="427" t="e">
        <f>CONCATENATE(" Total ",B731," YTD")</f>
        <v>#REF!</v>
      </c>
      <c r="B739" s="429"/>
      <c r="C739" s="102" t="e">
        <f>IF(OR(G731=0,G731=""),0,G731)</f>
        <v>#REF!</v>
      </c>
      <c r="D739" s="102" t="e">
        <f>ABS(C739-C740)</f>
        <v>#REF!</v>
      </c>
      <c r="E739" s="116" t="e">
        <f>IF(C740=0,100%,D739/C740)</f>
        <v>#REF!</v>
      </c>
      <c r="F739" s="35" t="e">
        <f>IF(C739&gt;C740," Increase"," Decrease")</f>
        <v>#REF!</v>
      </c>
      <c r="G739" s="117" t="e">
        <f>IF((C740+(C740*E739))=C739,"PASS","FAIL")</f>
        <v>#REF!</v>
      </c>
      <c r="H739" s="427" t="e">
        <f>IF(C739=""," ",IF(AND(C740=0,C739=0),CONCATENATE(B732," to ",B731," = N/A"),IF(AND(C740=0,C739&gt;0),CONCATENATE(B732," to ",B731," = 100% Increase"),IF(AND(C740&gt;0,C739=0),CONCATENATE(B732," to ",B731," = 100% Decrease"),IF(AND(C740&gt;0,C739&gt;0),CONCATENATE(B732," to ",B731," = ",TEXT(E739,"###.0%"),F739))))))</f>
        <v>#REF!</v>
      </c>
      <c r="I739" s="428"/>
      <c r="J739" s="428"/>
      <c r="K739" s="428"/>
      <c r="L739" s="429"/>
    </row>
    <row r="740" spans="1:13">
      <c r="A740" s="427" t="e">
        <f>CONCATENATE(" Total ",B732)</f>
        <v>#REF!</v>
      </c>
      <c r="B740" s="429"/>
      <c r="C740" s="102" t="e">
        <f>IF(OR(G732=0,G732=""),0,G732)</f>
        <v>#REF!</v>
      </c>
      <c r="D740" s="102" t="e">
        <f>ABS(C740-C741)</f>
        <v>#REF!</v>
      </c>
      <c r="E740" s="116" t="e">
        <f>IF(C741=0,100%,D740/C741)</f>
        <v>#REF!</v>
      </c>
      <c r="F740" s="35" t="e">
        <f>IF(C740&gt;C741," Increase"," Decrease")</f>
        <v>#REF!</v>
      </c>
      <c r="G740" s="117" t="e">
        <f>IF((C741+(C741*E740))=C740,"PASS","FAIL")</f>
        <v>#REF!</v>
      </c>
      <c r="H740" s="427" t="e">
        <f>IF(C740=""," ",IF(AND(C741=0,C740=0),CONCATENATE(B733," to ",B732," = Undetermined"),IF(AND(C741=0,C740&gt;0),CONCATENATE(B733," to ",B732," = 100% Increase"),IF(AND(C741&gt;0,C740=0),CONCATENATE(B733," to ",B732," = 100% Decrease"),IF(AND(C741&gt;0,C740&gt;0),CONCATENATE(B733," to ",B732," = ",TEXT(E740,"###.0%"),F740))))))</f>
        <v>#REF!</v>
      </c>
      <c r="I740" s="428"/>
      <c r="J740" s="428"/>
      <c r="K740" s="428"/>
      <c r="L740" s="429"/>
    </row>
    <row r="741" spans="1:13">
      <c r="A741" s="427" t="str">
        <f>CONCATENATE(" Total ",B2794)</f>
        <v>Total</v>
      </c>
      <c r="B741" s="429"/>
      <c r="C741" s="102" t="e">
        <f>IF(OR(G733=0,G733=""),0,G733)</f>
        <v>#REF!</v>
      </c>
      <c r="D741" s="102" t="e">
        <f>ABS(C739-C741)</f>
        <v>#REF!</v>
      </c>
      <c r="E741" s="116" t="e">
        <f>IF(C741=0,100%,D741/C741)</f>
        <v>#REF!</v>
      </c>
      <c r="F741" s="35" t="e">
        <f>IF(C741&gt;C742," Increase"," Decrease")</f>
        <v>#REF!</v>
      </c>
      <c r="G741" s="117" t="e">
        <f>IF((C741+(C741*E741))=C739,"PASS","FAIL")</f>
        <v>#REF!</v>
      </c>
      <c r="H741" s="427"/>
      <c r="I741" s="428"/>
      <c r="J741" s="428"/>
      <c r="K741" s="428"/>
      <c r="L741" s="429"/>
    </row>
    <row r="742" spans="1:13">
      <c r="A742"/>
      <c r="B742"/>
      <c r="C742" s="39"/>
      <c r="D742"/>
      <c r="E742"/>
      <c r="F742"/>
      <c r="G742"/>
      <c r="H742"/>
      <c r="I742"/>
      <c r="J742"/>
      <c r="K742"/>
      <c r="L742"/>
      <c r="M742"/>
    </row>
    <row r="743" spans="1:13">
      <c r="A743" t="s">
        <v>338</v>
      </c>
      <c r="B743"/>
      <c r="C743" t="e">
        <f>CONCATENATE("Variance in Earnings:  ",H740,"  &amp;  ",H739)</f>
        <v>#REF!</v>
      </c>
      <c r="D743"/>
      <c r="E743"/>
      <c r="F743"/>
      <c r="G743"/>
      <c r="H743"/>
      <c r="I743"/>
      <c r="J743"/>
      <c r="K743"/>
      <c r="L743"/>
      <c r="M743"/>
    </row>
    <row r="744" spans="1:13">
      <c r="A744"/>
      <c r="B744"/>
      <c r="C744"/>
      <c r="D744"/>
      <c r="E744"/>
      <c r="F744"/>
      <c r="G744"/>
      <c r="H744"/>
      <c r="I744"/>
      <c r="J744"/>
      <c r="K744"/>
      <c r="L744"/>
      <c r="M744"/>
    </row>
    <row r="745" spans="1:13">
      <c r="A745" s="434" t="e">
        <f>CONCATENATE("STATISTICS  —  CALCULATIONS FOR ",#REF!," EARNINGS")</f>
        <v>#REF!</v>
      </c>
      <c r="B745" s="435"/>
      <c r="C745" s="435"/>
      <c r="D745" s="435"/>
      <c r="E745" s="435"/>
      <c r="F745" s="435"/>
      <c r="G745" s="435"/>
      <c r="H745" s="435"/>
      <c r="I745" s="435"/>
      <c r="J745" s="435"/>
      <c r="K745" s="435"/>
      <c r="L745" s="435"/>
      <c r="M745" s="436"/>
    </row>
    <row r="746" spans="1:13">
      <c r="A746"/>
      <c r="B746"/>
      <c r="C746"/>
      <c r="D746"/>
      <c r="E746"/>
      <c r="F746"/>
      <c r="G746"/>
      <c r="H746"/>
      <c r="I746"/>
      <c r="J746"/>
      <c r="K746"/>
      <c r="L746"/>
      <c r="M746"/>
    </row>
    <row r="747" spans="1:13">
      <c r="A747" s="423" t="e">
        <f>CONCATENATE("Pay Type #3 -- ",#REF!)</f>
        <v>#REF!</v>
      </c>
      <c r="B747" s="424"/>
      <c r="C747" s="424"/>
      <c r="D747" s="424"/>
      <c r="E747" s="424"/>
      <c r="F747" s="424"/>
      <c r="G747" s="425"/>
      <c r="H747" s="423" t="s">
        <v>244</v>
      </c>
      <c r="I747" s="424"/>
      <c r="J747" s="425"/>
      <c r="K747" s="423" t="s">
        <v>245</v>
      </c>
      <c r="L747" s="424"/>
      <c r="M747" s="425"/>
    </row>
    <row r="748" spans="1:13">
      <c r="A748" s="87" t="s">
        <v>246</v>
      </c>
      <c r="B748" s="87" t="s">
        <v>164</v>
      </c>
      <c r="C748" s="87" t="s">
        <v>247</v>
      </c>
      <c r="D748" s="87" t="s">
        <v>248</v>
      </c>
      <c r="E748" s="87" t="s">
        <v>5</v>
      </c>
      <c r="F748" s="87" t="s">
        <v>4</v>
      </c>
      <c r="G748" s="87" t="s">
        <v>1</v>
      </c>
      <c r="H748" s="87" t="s">
        <v>154</v>
      </c>
      <c r="I748" s="87" t="s">
        <v>4</v>
      </c>
      <c r="J748" s="87" t="s">
        <v>5</v>
      </c>
      <c r="K748" s="87" t="s">
        <v>249</v>
      </c>
      <c r="L748" s="87" t="s">
        <v>250</v>
      </c>
      <c r="M748" s="87" t="s">
        <v>251</v>
      </c>
    </row>
    <row r="749" spans="1:13">
      <c r="A749" s="88" t="b">
        <v>0</v>
      </c>
      <c r="B749" s="89" t="e">
        <f>#REF!</f>
        <v>#REF!</v>
      </c>
      <c r="C749" s="90" t="e">
        <f>#REF!</f>
        <v>#REF!</v>
      </c>
      <c r="D749" s="90" t="e">
        <f>#REF!</f>
        <v>#REF!</v>
      </c>
      <c r="E749" s="91" t="e">
        <f>#REF!</f>
        <v>#REF!</v>
      </c>
      <c r="F749" s="92" t="e">
        <f>IF(OR(E749="",E749=0),"",ROUND((((D749-C749)+1)/365)*12,1))</f>
        <v>#REF!</v>
      </c>
      <c r="G749" s="93" t="e">
        <f>IF(OR(E749="",E749=0),"",ROUND(E749/F749,0))</f>
        <v>#REF!</v>
      </c>
      <c r="H749" s="93">
        <f>IF(A749=TRUE,E749,0)</f>
        <v>0</v>
      </c>
      <c r="I749" s="118">
        <f>IF(A749=TRUE,F749,0)</f>
        <v>0</v>
      </c>
      <c r="J749" s="93">
        <f>IF(OR(A749=FALSE,H749=0,I749=0),0,ROUND(H749/I749,0))</f>
        <v>0</v>
      </c>
      <c r="K749" s="92" t="e">
        <f>IF(OR(G749="",G749=0,G750="",G750=0),100,IF(G749&gt;G750,((G749-G750)/G750)*100,((G750-G749)/G750)*100))</f>
        <v>#REF!</v>
      </c>
      <c r="L749" s="54" t="e">
        <f>IF(G749&gt;G750,"Increase","Decrease")</f>
        <v>#REF!</v>
      </c>
      <c r="M749" s="54" t="e">
        <f>IF(AND(A749=TRUE,E749&gt;0),TRUE,FALSE)</f>
        <v>#REF!</v>
      </c>
    </row>
    <row r="750" spans="1:13">
      <c r="A750" s="57" t="b">
        <v>0</v>
      </c>
      <c r="B750" s="89" t="e">
        <f>#REF!</f>
        <v>#REF!</v>
      </c>
      <c r="C750" s="90" t="e">
        <f>#REF!</f>
        <v>#REF!</v>
      </c>
      <c r="D750" s="90" t="e">
        <f>#REF!</f>
        <v>#REF!</v>
      </c>
      <c r="E750" s="91" t="e">
        <f>#REF!</f>
        <v>#REF!</v>
      </c>
      <c r="F750" s="92" t="e">
        <f>IF(OR(E750="",E750=0),"",ROUND((((D750-C750)+1)/365)*12,1))</f>
        <v>#REF!</v>
      </c>
      <c r="G750" s="93" t="e">
        <f>IF(OR(E750="",E750=0),"",ROUND(E750/F750,0))</f>
        <v>#REF!</v>
      </c>
      <c r="H750" s="93">
        <f>IF(A750=TRUE,E750,0)</f>
        <v>0</v>
      </c>
      <c r="I750" s="118">
        <f>IF(A750=TRUE,F750,0)</f>
        <v>0</v>
      </c>
      <c r="J750" s="93">
        <f>IF(OR(A750=FALSE,H750=0,I750=0),0,ROUND(H750/I750,0))</f>
        <v>0</v>
      </c>
      <c r="K750" s="92" t="e">
        <f>IF(OR(G750="",G750=0,G751="",G751=0),100,IF(G750&gt;G751,((G750-G751)/G751)*100,((G751-G750)/G751)*100))</f>
        <v>#REF!</v>
      </c>
      <c r="L750" s="54" t="e">
        <f>IF(G750&gt;G751,"Increase","Decrease")</f>
        <v>#REF!</v>
      </c>
      <c r="M750" s="54" t="e">
        <f>IF(AND(A750=TRUE,E750&gt;0),TRUE,FALSE)</f>
        <v>#REF!</v>
      </c>
    </row>
    <row r="751" spans="1:13">
      <c r="A751" s="57" t="b">
        <v>0</v>
      </c>
      <c r="B751" s="89" t="e">
        <f>#REF!</f>
        <v>#REF!</v>
      </c>
      <c r="C751" s="90" t="e">
        <f>#REF!</f>
        <v>#REF!</v>
      </c>
      <c r="D751" s="90" t="e">
        <f>#REF!</f>
        <v>#REF!</v>
      </c>
      <c r="E751" s="91" t="e">
        <f>#REF!</f>
        <v>#REF!</v>
      </c>
      <c r="F751" s="92" t="e">
        <f>IF(OR(E751="",E751=0),"",ROUND((((D751-C751)+1)/365)*12,1))</f>
        <v>#REF!</v>
      </c>
      <c r="G751" s="93" t="e">
        <f>IF(OR(E751="",E751=0),"",ROUND(E751/F751,0))</f>
        <v>#REF!</v>
      </c>
      <c r="H751" s="93">
        <f>IF(A751=TRUE,E751,0)</f>
        <v>0</v>
      </c>
      <c r="I751" s="118">
        <f>IF(A751=TRUE,F751,0)</f>
        <v>0</v>
      </c>
      <c r="J751" s="93">
        <f>IF(OR(A751=FALSE,H751=0,I751=0),0,ROUND(H751/I751,0))</f>
        <v>0</v>
      </c>
      <c r="K751" s="92" t="e">
        <f>IF(OR(G749="",G749=0,G751="",G751=0),100,IF(G749&gt;G751,((G749-G751)/G751)*100,((G751-G749)/G751)*100))</f>
        <v>#REF!</v>
      </c>
      <c r="L751" s="54" t="e">
        <f>IF(G749&gt;G751,"Increase","Decrease")</f>
        <v>#REF!</v>
      </c>
      <c r="M751" s="54" t="e">
        <f>IF(AND(A751=TRUE,E751&gt;0),TRUE,FALSE)</f>
        <v>#REF!</v>
      </c>
    </row>
    <row r="752" spans="1:13">
      <c r="A752" s="51" t="s">
        <v>252</v>
      </c>
      <c r="B752" s="98"/>
      <c r="C752" s="99"/>
      <c r="D752" s="99"/>
      <c r="E752" s="100" t="e">
        <f>SUM(E749:E751)</f>
        <v>#REF!</v>
      </c>
      <c r="F752" s="101" t="e">
        <f>SUM(F749:F751)</f>
        <v>#REF!</v>
      </c>
      <c r="G752" s="97" t="e">
        <f>IF(F752=0,0,ROUND(E752/F752,0))</f>
        <v>#REF!</v>
      </c>
      <c r="H752" s="97" t="e">
        <f>IF(SUM(E749:E751)=0,0,ROUND(SUM(H749:H751),0))</f>
        <v>#REF!</v>
      </c>
      <c r="I752" s="119" t="e">
        <f>IF(SUM(F749:F751)=0,0,ROUND(SUM(I749:I751),1))</f>
        <v>#REF!</v>
      </c>
      <c r="J752" s="97" t="e">
        <f>IF(I752=0,0,ROUND(H752/I752,0))</f>
        <v>#REF!</v>
      </c>
      <c r="K752" s="99"/>
      <c r="L752" s="99"/>
      <c r="M752" s="99"/>
    </row>
    <row r="753" spans="1:13">
      <c r="A753"/>
      <c r="B753" s="83"/>
      <c r="C753" s="112"/>
      <c r="D753" s="113"/>
      <c r="E753"/>
      <c r="F753"/>
      <c r="G753"/>
      <c r="H753"/>
      <c r="I753"/>
      <c r="J753"/>
      <c r="K753"/>
      <c r="L753"/>
      <c r="M753"/>
    </row>
    <row r="754" spans="1:13">
      <c r="A754" s="434" t="e">
        <f>CONCATENATE("STATISTICS  —  VARIANCES IN ",#REF!," EARNINGS")</f>
        <v>#REF!</v>
      </c>
      <c r="B754" s="435"/>
      <c r="C754" s="435"/>
      <c r="D754" s="435"/>
      <c r="E754" s="435"/>
      <c r="F754" s="435"/>
      <c r="G754" s="435"/>
      <c r="H754" s="435"/>
      <c r="I754" s="435"/>
      <c r="J754" s="435"/>
      <c r="K754" s="435"/>
      <c r="L754" s="435"/>
      <c r="M754" s="436"/>
    </row>
    <row r="755" spans="1:13">
      <c r="A755"/>
      <c r="B755" s="83"/>
      <c r="C755" s="112"/>
      <c r="D755" s="113"/>
      <c r="E755"/>
      <c r="F755"/>
      <c r="G755"/>
      <c r="H755"/>
      <c r="I755"/>
      <c r="J755"/>
      <c r="K755"/>
      <c r="L755"/>
      <c r="M755"/>
    </row>
    <row r="756" spans="1:13">
      <c r="A756" s="437"/>
      <c r="B756" s="437"/>
      <c r="C756" s="114" t="s">
        <v>276</v>
      </c>
      <c r="D756" s="115" t="s">
        <v>277</v>
      </c>
      <c r="E756" s="115" t="s">
        <v>278</v>
      </c>
      <c r="F756" s="247" t="s">
        <v>2</v>
      </c>
      <c r="G756" s="115" t="s">
        <v>279</v>
      </c>
      <c r="H756" s="438" t="s">
        <v>227</v>
      </c>
      <c r="I756" s="439"/>
      <c r="J756" s="439"/>
      <c r="K756" s="439"/>
      <c r="L756" s="440"/>
    </row>
    <row r="757" spans="1:13">
      <c r="A757" s="427" t="e">
        <f>CONCATENATE(" Total ",B749," YTD")</f>
        <v>#REF!</v>
      </c>
      <c r="B757" s="429"/>
      <c r="C757" s="102" t="e">
        <f>IF(OR(G749=0,G749=""),0,G749)</f>
        <v>#REF!</v>
      </c>
      <c r="D757" s="102" t="e">
        <f>ABS(C757-C758)</f>
        <v>#REF!</v>
      </c>
      <c r="E757" s="116" t="e">
        <f>IF(C758=0,100%,D757/C758)</f>
        <v>#REF!</v>
      </c>
      <c r="F757" s="35" t="e">
        <f>IF(C757&gt;C758," Increase"," Decrease")</f>
        <v>#REF!</v>
      </c>
      <c r="G757" s="117" t="e">
        <f>IF((C758+(C758*E757))=C757,"PASS","FAIL")</f>
        <v>#REF!</v>
      </c>
      <c r="H757" s="427" t="e">
        <f>IF(C757=""," ",IF(AND(C758=0,C757=0),CONCATENATE(B750," to ",B749," = N/A"),IF(AND(C758=0,C757&gt;0),CONCATENATE(B750," to ",B749," = 100% Increase"),IF(AND(C758&gt;0,C757=0),CONCATENATE(B750," to ",B749," = 100% Decrease"),IF(AND(C758&gt;0,C757&gt;0),CONCATENATE(B750," to ",B749," = ",TEXT(E757,"###.0%"),F757))))))</f>
        <v>#REF!</v>
      </c>
      <c r="I757" s="428"/>
      <c r="J757" s="428"/>
      <c r="K757" s="428"/>
      <c r="L757" s="429"/>
    </row>
    <row r="758" spans="1:13">
      <c r="A758" s="427" t="e">
        <f>CONCATENATE(" Total ",B750)</f>
        <v>#REF!</v>
      </c>
      <c r="B758" s="429"/>
      <c r="C758" s="102" t="e">
        <f>IF(OR(G750=0,G750=""),0,G750)</f>
        <v>#REF!</v>
      </c>
      <c r="D758" s="102" t="e">
        <f>ABS(C758-C759)</f>
        <v>#REF!</v>
      </c>
      <c r="E758" s="116" t="e">
        <f>IF(C759=0,100%,D758/C759)</f>
        <v>#REF!</v>
      </c>
      <c r="F758" s="35" t="e">
        <f>IF(C758&gt;C759," Increase"," Decrease")</f>
        <v>#REF!</v>
      </c>
      <c r="G758" s="117" t="e">
        <f>IF((C759+(C759*E758))=C758,"PASS","FAIL")</f>
        <v>#REF!</v>
      </c>
      <c r="H758" s="427" t="e">
        <f>IF(C758=""," ",IF(AND(C759=0,C758=0),CONCATENATE(B751," to ",B750," = Undetermined"),IF(AND(C759=0,C758&gt;0),CONCATENATE(B751," to ",B750," = 100% Increase"),IF(AND(C759&gt;0,C758=0),CONCATENATE(B751," to ",B750," = 100% Decrease"),IF(AND(C759&gt;0,C758&gt;0),CONCATENATE(B751," to ",B750," = ",TEXT(E758,"###.0%"),F758))))))</f>
        <v>#REF!</v>
      </c>
      <c r="I758" s="428"/>
      <c r="J758" s="428"/>
      <c r="K758" s="428"/>
      <c r="L758" s="429"/>
    </row>
    <row r="759" spans="1:13">
      <c r="A759" s="427" t="str">
        <f>CONCATENATE(" Total ",B2815)</f>
        <v>Total</v>
      </c>
      <c r="B759" s="429"/>
      <c r="C759" s="102" t="e">
        <f>IF(OR(G751=0,G751=""),0,G751)</f>
        <v>#REF!</v>
      </c>
      <c r="D759" s="102" t="e">
        <f>ABS(C757-C759)</f>
        <v>#REF!</v>
      </c>
      <c r="E759" s="116" t="e">
        <f>IF(C759=0,100%,D759/C759)</f>
        <v>#REF!</v>
      </c>
      <c r="F759" s="35" t="e">
        <f>IF(C759&gt;C760," Increase"," Decrease")</f>
        <v>#REF!</v>
      </c>
      <c r="G759" s="117" t="e">
        <f>IF((C759+(C759*E759))=C757,"PASS","FAIL")</f>
        <v>#REF!</v>
      </c>
      <c r="H759" s="427"/>
      <c r="I759" s="428"/>
      <c r="J759" s="428"/>
      <c r="K759" s="428"/>
      <c r="L759" s="429"/>
    </row>
    <row r="760" spans="1:13">
      <c r="A760"/>
      <c r="B760"/>
      <c r="C760" s="39"/>
      <c r="D760"/>
      <c r="E760"/>
      <c r="F760"/>
      <c r="G760"/>
      <c r="H760"/>
      <c r="I760"/>
      <c r="J760"/>
      <c r="K760"/>
      <c r="L760"/>
      <c r="M760"/>
    </row>
    <row r="761" spans="1:13">
      <c r="A761" t="s">
        <v>338</v>
      </c>
      <c r="B761"/>
      <c r="C761" t="e">
        <f>CONCATENATE("Variance in Earnings:  ",H758,"  &amp;  ",H757)</f>
        <v>#REF!</v>
      </c>
      <c r="D761"/>
      <c r="E761"/>
      <c r="F761"/>
      <c r="G761"/>
      <c r="H761"/>
      <c r="I761"/>
      <c r="J761"/>
      <c r="K761"/>
      <c r="L761"/>
      <c r="M761"/>
    </row>
    <row r="762" spans="1:13">
      <c r="A762"/>
      <c r="B762" s="83"/>
      <c r="C762" s="112"/>
      <c r="D762" s="113"/>
      <c r="E762"/>
      <c r="F762"/>
      <c r="G762"/>
      <c r="H762"/>
      <c r="I762"/>
      <c r="J762"/>
      <c r="K762"/>
      <c r="L762"/>
      <c r="M762"/>
    </row>
    <row r="763" spans="1:13">
      <c r="A763" s="434" t="s">
        <v>270</v>
      </c>
      <c r="B763" s="435"/>
      <c r="C763" s="435"/>
      <c r="D763" s="435"/>
      <c r="E763" s="435"/>
      <c r="F763" s="435"/>
      <c r="G763" s="435"/>
      <c r="H763" s="435"/>
      <c r="I763" s="435"/>
      <c r="J763" s="435"/>
      <c r="K763" s="435"/>
      <c r="L763" s="435"/>
      <c r="M763" s="436"/>
    </row>
    <row r="764" spans="1:13">
      <c r="A764"/>
      <c r="B764"/>
      <c r="C764"/>
      <c r="D764"/>
      <c r="E764"/>
      <c r="F764"/>
      <c r="G764"/>
      <c r="H764"/>
      <c r="I764"/>
      <c r="J764"/>
      <c r="K764"/>
      <c r="L764"/>
      <c r="M764"/>
    </row>
    <row r="765" spans="1:13">
      <c r="A765" t="s">
        <v>271</v>
      </c>
      <c r="B765"/>
      <c r="C765"/>
      <c r="D765" s="86" t="e">
        <f>G629</f>
        <v>#REF!</v>
      </c>
      <c r="E765"/>
      <c r="F765" t="e">
        <f>IF(OR(D618=A609,D618=A610,D618=A612),CONCATENATE("total average earnings for the past ",I629," months"),"(lower of Current Rate or YTD avg, or explanation provided)")</f>
        <v>#REF!</v>
      </c>
      <c r="G765"/>
      <c r="H765"/>
      <c r="I765"/>
      <c r="J765"/>
      <c r="K765"/>
      <c r="L765"/>
      <c r="M765"/>
    </row>
    <row r="766" spans="1:13">
      <c r="A766" t="s">
        <v>272</v>
      </c>
      <c r="B766"/>
      <c r="C766"/>
      <c r="D766" s="86">
        <f>IF(K648=0,0,IF(D650=TRUE,K648,0))</f>
        <v>0</v>
      </c>
      <c r="E766"/>
      <c r="F766"/>
      <c r="G766"/>
      <c r="H766"/>
      <c r="I766"/>
      <c r="J766"/>
      <c r="K766"/>
      <c r="L766"/>
      <c r="M766"/>
    </row>
    <row r="767" spans="1:13">
      <c r="A767" t="s">
        <v>274</v>
      </c>
      <c r="B767"/>
      <c r="C767"/>
      <c r="D767" s="86" t="e">
        <f>D765-D766</f>
        <v>#REF!</v>
      </c>
      <c r="E767"/>
      <c r="F767"/>
      <c r="G767"/>
      <c r="H767"/>
      <c r="I767"/>
      <c r="J767"/>
      <c r="K767"/>
      <c r="L767"/>
      <c r="M767"/>
    </row>
    <row r="768" spans="1:13">
      <c r="A768"/>
      <c r="B768"/>
      <c r="C768"/>
      <c r="D768" s="86"/>
      <c r="E768"/>
      <c r="F768"/>
      <c r="G768"/>
      <c r="H768"/>
      <c r="I768"/>
      <c r="J768"/>
      <c r="K768"/>
      <c r="L768"/>
      <c r="M768"/>
    </row>
    <row r="769" spans="1:13">
      <c r="A769" t="e">
        <f>CONCATENATE(" Total ",A711)</f>
        <v>#REF!</v>
      </c>
      <c r="B769"/>
      <c r="C769"/>
      <c r="D769" s="86" t="b">
        <v>0</v>
      </c>
      <c r="E769"/>
      <c r="F769"/>
      <c r="G769"/>
      <c r="H769"/>
      <c r="I769"/>
      <c r="J769"/>
      <c r="K769"/>
      <c r="L769"/>
      <c r="M769"/>
    </row>
    <row r="770" spans="1:13">
      <c r="A770" t="e">
        <f>CONCATENATE(" Total ",A711)</f>
        <v>#REF!</v>
      </c>
      <c r="B770"/>
      <c r="C770"/>
      <c r="D770" s="86">
        <f>IF(D769=TRUE,J716,0)</f>
        <v>0</v>
      </c>
      <c r="E770"/>
      <c r="F770" t="e">
        <f>IF(AND(#REF!&lt;&gt;"",I716&lt;&gt;0),CONCATENATE(" Additional ",#REF!," Earnings"),CONCATENATE(" Total ",I716," Months Average Monthly ",PROPER(#REF!)," Earnings"))</f>
        <v>#REF!</v>
      </c>
      <c r="G770"/>
      <c r="H770"/>
      <c r="I770"/>
      <c r="J770"/>
      <c r="K770"/>
      <c r="L770"/>
      <c r="M770"/>
    </row>
    <row r="771" spans="1:13">
      <c r="A771"/>
      <c r="B771"/>
      <c r="C771"/>
      <c r="D771" s="86"/>
      <c r="E771"/>
      <c r="F771"/>
      <c r="G771"/>
      <c r="H771"/>
      <c r="I771"/>
      <c r="J771"/>
      <c r="K771"/>
      <c r="L771"/>
      <c r="M771"/>
    </row>
    <row r="772" spans="1:13">
      <c r="A772" t="e">
        <f>CONCATENATE(" Total ",A729)</f>
        <v>#REF!</v>
      </c>
      <c r="B772"/>
      <c r="C772"/>
      <c r="D772" s="86" t="b">
        <v>0</v>
      </c>
      <c r="E772"/>
      <c r="F772"/>
      <c r="G772"/>
      <c r="H772"/>
      <c r="I772"/>
      <c r="J772"/>
      <c r="K772"/>
      <c r="L772"/>
      <c r="M772"/>
    </row>
    <row r="773" spans="1:13">
      <c r="A773" t="e">
        <f>CONCATENATE(" Total ",A729)</f>
        <v>#REF!</v>
      </c>
      <c r="B773"/>
      <c r="C773"/>
      <c r="D773" s="86">
        <f>IF(D772=TRUE,J734,0)</f>
        <v>0</v>
      </c>
      <c r="E773"/>
      <c r="F773" t="e">
        <f>IF(AND(#REF!&lt;&gt;"",I734&lt;&gt;0),CONCATENATE(" Additional ",#REF!," Earnings"),CONCATENATE(" Total ",I734," Months Average Monthly ",PROPER(#REF!)," Earnings"))</f>
        <v>#REF!</v>
      </c>
      <c r="G773"/>
      <c r="H773"/>
      <c r="I773"/>
      <c r="J773"/>
      <c r="K773"/>
      <c r="L773"/>
      <c r="M773"/>
    </row>
    <row r="774" spans="1:13">
      <c r="A774"/>
      <c r="B774"/>
      <c r="C774"/>
      <c r="D774" s="86"/>
      <c r="E774"/>
      <c r="F774"/>
      <c r="G774"/>
      <c r="H774"/>
      <c r="I774"/>
      <c r="J774"/>
      <c r="K774"/>
      <c r="L774"/>
      <c r="M774"/>
    </row>
    <row r="775" spans="1:13">
      <c r="A775" t="e">
        <f>CONCATENATE(" Total ",A747)</f>
        <v>#REF!</v>
      </c>
      <c r="B775"/>
      <c r="C775"/>
      <c r="D775" s="86" t="b">
        <v>0</v>
      </c>
      <c r="E775"/>
      <c r="F775"/>
      <c r="G775"/>
      <c r="H775"/>
      <c r="I775"/>
      <c r="J775"/>
      <c r="K775"/>
      <c r="L775"/>
      <c r="M775"/>
    </row>
    <row r="776" spans="1:13">
      <c r="A776" t="e">
        <f>CONCATENATE(" Total ",A747)</f>
        <v>#REF!</v>
      </c>
      <c r="B776"/>
      <c r="C776"/>
      <c r="D776" s="86">
        <f>IF(D775=TRUE,J752,0)</f>
        <v>0</v>
      </c>
      <c r="E776"/>
      <c r="F776" t="e">
        <f>IF(AND(#REF!&lt;&gt;"",I752&lt;&gt;0),CONCATENATE(" Additional ",#REF!," Earnings"),CONCATENATE(" Total ",I752," Months Average Monthly ",PROPER(#REF!)," Earnings"))</f>
        <v>#REF!</v>
      </c>
      <c r="G776"/>
      <c r="H776"/>
      <c r="I776"/>
      <c r="J776"/>
      <c r="K776"/>
      <c r="L776"/>
      <c r="M776"/>
    </row>
    <row r="777" spans="1:13">
      <c r="A777"/>
      <c r="B777"/>
      <c r="C777"/>
      <c r="D777" s="86"/>
      <c r="E777"/>
      <c r="F777"/>
      <c r="G777"/>
      <c r="H777"/>
      <c r="I777"/>
      <c r="J777"/>
      <c r="K777"/>
      <c r="L777"/>
      <c r="M777"/>
    </row>
    <row r="778" spans="1:13">
      <c r="A778" t="s">
        <v>273</v>
      </c>
      <c r="B778"/>
      <c r="C778"/>
      <c r="D778" s="86" t="e">
        <f>#REF!</f>
        <v>#REF!</v>
      </c>
      <c r="E778"/>
      <c r="F778"/>
      <c r="G778"/>
      <c r="H778"/>
      <c r="I778"/>
      <c r="J778"/>
      <c r="K778"/>
      <c r="L778"/>
      <c r="M778"/>
    </row>
    <row r="779" spans="1:13">
      <c r="A779"/>
      <c r="B779"/>
      <c r="C779"/>
      <c r="D779"/>
      <c r="E779"/>
      <c r="F779"/>
      <c r="G779"/>
      <c r="H779"/>
      <c r="I779"/>
      <c r="J779"/>
      <c r="K779"/>
      <c r="L779"/>
      <c r="M779"/>
    </row>
    <row r="780" spans="1:13">
      <c r="A780" t="s">
        <v>339</v>
      </c>
      <c r="B780" s="83"/>
      <c r="C780" s="112"/>
      <c r="D780" s="86" t="e">
        <f>D767+D770+D773+D776+D778</f>
        <v>#REF!</v>
      </c>
      <c r="E780"/>
      <c r="F780"/>
      <c r="G780"/>
      <c r="H780"/>
      <c r="I780"/>
      <c r="J780"/>
      <c r="K780"/>
      <c r="L780"/>
      <c r="M780"/>
    </row>
    <row r="781" spans="1:13">
      <c r="A781"/>
      <c r="B781" s="83"/>
      <c r="C781" s="112"/>
      <c r="D781" s="113"/>
      <c r="E781"/>
      <c r="F781"/>
      <c r="G781"/>
      <c r="H781"/>
      <c r="I781"/>
      <c r="J781"/>
      <c r="K781"/>
      <c r="L781"/>
      <c r="M781"/>
    </row>
    <row r="782" spans="1:13">
      <c r="A782" s="441" t="s">
        <v>319</v>
      </c>
      <c r="B782" s="441"/>
      <c r="C782" s="441"/>
      <c r="D782" s="441"/>
      <c r="E782" s="441"/>
      <c r="F782" s="441"/>
      <c r="G782" s="441"/>
      <c r="H782" s="441"/>
      <c r="I782" s="441"/>
      <c r="J782" s="441"/>
      <c r="K782" s="441"/>
      <c r="L782"/>
      <c r="M782"/>
    </row>
    <row r="783" spans="1:13">
      <c r="A783"/>
      <c r="B783" s="83"/>
      <c r="C783" s="112"/>
      <c r="D783" s="113"/>
      <c r="E783"/>
      <c r="F783"/>
      <c r="G783"/>
      <c r="H783"/>
      <c r="I783"/>
      <c r="J783"/>
      <c r="K783"/>
      <c r="L783"/>
      <c r="M783"/>
    </row>
    <row r="784" spans="1:13">
      <c r="A784" t="s">
        <v>320</v>
      </c>
      <c r="B784" s="83"/>
      <c r="C784" s="112"/>
      <c r="D784" t="e">
        <f>VLOOKUP(TRUE,C659:D662,2,FALSE)</f>
        <v>#N/A</v>
      </c>
      <c r="E784"/>
      <c r="F784"/>
      <c r="G784"/>
      <c r="H784"/>
      <c r="I784"/>
      <c r="J784"/>
      <c r="K784"/>
      <c r="L784"/>
      <c r="M784"/>
    </row>
    <row r="785" spans="1:13">
      <c r="A785"/>
      <c r="B785" s="83"/>
      <c r="C785" s="112"/>
      <c r="D785"/>
      <c r="E785"/>
      <c r="F785"/>
      <c r="G785"/>
      <c r="H785"/>
      <c r="I785"/>
      <c r="J785"/>
      <c r="K785"/>
      <c r="L785"/>
      <c r="M785"/>
    </row>
    <row r="786" spans="1:13">
      <c r="A786" t="s">
        <v>321</v>
      </c>
      <c r="B786" s="83"/>
      <c r="C786" s="112"/>
      <c r="D786" t="e">
        <f>IF(AND(D787=FALSE,D788=FALSE,D789=FALSE,D790=FALSE,D791=FALSE,D792=FALSE),TRUE,FALSE)</f>
        <v>#REF!</v>
      </c>
      <c r="E786" t="s">
        <v>322</v>
      </c>
      <c r="F786"/>
      <c r="G786"/>
      <c r="H786"/>
      <c r="I786"/>
      <c r="J786"/>
      <c r="K786"/>
      <c r="L786"/>
      <c r="M786"/>
    </row>
    <row r="787" spans="1:13">
      <c r="A787" s="123" t="s">
        <v>323</v>
      </c>
      <c r="B787" s="83"/>
      <c r="C787" s="112"/>
      <c r="D787" t="b">
        <f>IF(D622=TRUE,TRUE,FALSE)</f>
        <v>1</v>
      </c>
      <c r="E787" t="s">
        <v>324</v>
      </c>
      <c r="F787"/>
      <c r="G787"/>
      <c r="H787"/>
      <c r="I787"/>
      <c r="J787"/>
      <c r="K787"/>
      <c r="L787"/>
      <c r="M787"/>
    </row>
    <row r="788" spans="1:13">
      <c r="A788" s="123" t="s">
        <v>0</v>
      </c>
      <c r="B788" s="83"/>
      <c r="C788" s="112"/>
      <c r="D788" t="e">
        <f>IF(AND(D622=FALSE,D621&gt;0,D765&gt;0,D765=D621),TRUE,FALSE)</f>
        <v>#REF!</v>
      </c>
      <c r="E788" t="s">
        <v>325</v>
      </c>
      <c r="F788"/>
      <c r="G788"/>
      <c r="H788"/>
      <c r="I788"/>
      <c r="J788"/>
      <c r="K788"/>
      <c r="L788"/>
      <c r="M788"/>
    </row>
    <row r="789" spans="1:13">
      <c r="A789" s="123" t="s">
        <v>326</v>
      </c>
      <c r="B789" s="83"/>
      <c r="C789" s="112"/>
      <c r="D789" t="e">
        <f>IF(AND(D622&lt;&gt;FALSE,D765&lt;D621),TRUE,FALSE)</f>
        <v>#REF!</v>
      </c>
      <c r="E789" t="s">
        <v>327</v>
      </c>
      <c r="F789"/>
      <c r="G789"/>
      <c r="H789"/>
      <c r="I789"/>
      <c r="J789"/>
      <c r="K789"/>
      <c r="L789"/>
      <c r="M789"/>
    </row>
    <row r="790" spans="1:13">
      <c r="A790" s="123" t="s">
        <v>328</v>
      </c>
      <c r="B790" s="83"/>
      <c r="C790" s="112"/>
      <c r="D790" t="e">
        <f>IF(AND(M626=TRUE,M627=TRUE,M628=TRUE,OR(D618="Part-Time",D618="Varies",D618="Varies / Averaged",D618="Seasonal")),TRUE,FALSE)</f>
        <v>#REF!</v>
      </c>
      <c r="E790" t="e">
        <f>CONCATENATE("Total qualifying income determined with earnings averaged from YTD ",B626,", Year ",B627,", and Year ",B628,".")</f>
        <v>#REF!</v>
      </c>
      <c r="F790"/>
      <c r="G790"/>
      <c r="H790"/>
      <c r="I790"/>
      <c r="J790"/>
      <c r="K790"/>
      <c r="L790"/>
      <c r="M790"/>
    </row>
    <row r="791" spans="1:13">
      <c r="A791" s="123" t="s">
        <v>329</v>
      </c>
      <c r="B791" s="83"/>
      <c r="C791" s="112"/>
      <c r="D791" t="e">
        <f>IF(AND(M626=TRUE,M627=TRUE,M628=FALSE,OR(D618="Part-Time",D618="Varies",D618="Varies / Averaged",D618="Seasonal")),TRUE,FALSE)</f>
        <v>#REF!</v>
      </c>
      <c r="E791" t="e">
        <f>CONCATENATE("Total qualifying income determined with earnings averaged from YTD ",B626,", and Year ",B627,".")</f>
        <v>#REF!</v>
      </c>
      <c r="F791"/>
      <c r="G791"/>
      <c r="H791"/>
      <c r="I791"/>
      <c r="J791"/>
      <c r="K791"/>
      <c r="L791"/>
      <c r="M791"/>
    </row>
    <row r="792" spans="1:13">
      <c r="A792" s="123" t="s">
        <v>330</v>
      </c>
      <c r="B792" s="83"/>
      <c r="C792" s="112"/>
      <c r="D792" t="e">
        <f>IF(AND(M626=TRUE,M627=FALSE,M628=FALSE,OR(D618="Part-Time",D618="Varies",D618="Varies / Averaged",D618="Seasonal")),TRUE,FALSE)</f>
        <v>#REF!</v>
      </c>
      <c r="E792" t="e">
        <f>CONCATENATE("Total qualifying income determined with earnings averaged from YTD ",B626,".")</f>
        <v>#REF!</v>
      </c>
      <c r="F792"/>
      <c r="G792"/>
      <c r="H792"/>
      <c r="I792"/>
      <c r="J792"/>
      <c r="K792"/>
      <c r="L792"/>
      <c r="M792"/>
    </row>
    <row r="793" spans="1:13">
      <c r="A793"/>
      <c r="B793" s="83"/>
      <c r="C793" s="112"/>
      <c r="D793"/>
      <c r="E793"/>
      <c r="F793"/>
      <c r="G793"/>
      <c r="H793"/>
      <c r="I793"/>
      <c r="J793"/>
      <c r="K793"/>
      <c r="L793"/>
      <c r="M793"/>
    </row>
    <row r="794" spans="1:13">
      <c r="A794" t="s">
        <v>331</v>
      </c>
      <c r="B794"/>
      <c r="C794"/>
      <c r="D794" t="str">
        <f>IF(ISERROR(G765),"Total qualifying income to be determined.",VLOOKUP(TRUE,D786:E792,2,FALSE))</f>
        <v>Total qualifying income determined on current pay rate even if not supported with YTD earnings (may be due to pay increase earlier this year, or time off taken without pay, etc.). LOE required.</v>
      </c>
      <c r="E794"/>
      <c r="F794"/>
      <c r="G794"/>
      <c r="H794"/>
      <c r="I794"/>
      <c r="J794"/>
      <c r="K794"/>
      <c r="L794"/>
      <c r="M794"/>
    </row>
    <row r="795" spans="1:13">
      <c r="A795"/>
      <c r="B795"/>
      <c r="C795"/>
      <c r="D795"/>
      <c r="E795"/>
      <c r="F795"/>
      <c r="G795"/>
      <c r="H795"/>
      <c r="I795"/>
      <c r="J795"/>
      <c r="K795"/>
      <c r="L795"/>
      <c r="M795"/>
    </row>
    <row r="796" spans="1:13">
      <c r="A796" t="s">
        <v>332</v>
      </c>
      <c r="B796"/>
      <c r="C796"/>
      <c r="D796" t="e">
        <f>IF(ISERROR(G765),"Average weekly hours worked to be determined.",IF(AND(E626=0,E627=0,E628=0),"Average weekly hours worked to be determined.",IF(OR(D616=0,D616="",D618=A610,D618=A612),"Average weekly hours worked vary.",CONCATENATE("YTD earnings, at current rate of pay, reflect borrower is working an average of ",TEXT(D703,"##.0")," hours weekly."))))</f>
        <v>#REF!</v>
      </c>
      <c r="E796"/>
      <c r="F796"/>
      <c r="G796"/>
      <c r="H796"/>
      <c r="I796"/>
      <c r="J796"/>
      <c r="K796"/>
      <c r="L796"/>
      <c r="M796"/>
    </row>
    <row r="797" spans="1:13">
      <c r="A797"/>
      <c r="B797"/>
      <c r="C797"/>
      <c r="D797"/>
      <c r="E797"/>
      <c r="F797"/>
      <c r="G797"/>
      <c r="H797"/>
      <c r="I797"/>
      <c r="J797"/>
      <c r="K797"/>
      <c r="L797"/>
      <c r="M797"/>
    </row>
    <row r="798" spans="1:13">
      <c r="A798" t="s">
        <v>333</v>
      </c>
      <c r="B798"/>
      <c r="C798"/>
      <c r="D798" t="e">
        <f>IF(OR(ISERROR(D765),C626="",D707=0),"Expected amount of YTD earnings to be determined.",VLOOKUP(D618,A605:E613,5,FALSE))</f>
        <v>#REF!</v>
      </c>
      <c r="E798"/>
      <c r="F798"/>
      <c r="G798"/>
      <c r="H798"/>
      <c r="I798"/>
      <c r="J798"/>
      <c r="K798"/>
      <c r="L798"/>
      <c r="M798"/>
    </row>
    <row r="799" spans="1:13">
      <c r="A799"/>
      <c r="B799"/>
      <c r="C799"/>
      <c r="D799"/>
      <c r="E799"/>
      <c r="F799"/>
      <c r="G799"/>
      <c r="H799"/>
      <c r="I799"/>
      <c r="J799"/>
      <c r="K799"/>
      <c r="L799"/>
      <c r="M799"/>
    </row>
    <row r="800" spans="1:13">
      <c r="A800" t="s">
        <v>334</v>
      </c>
      <c r="B800" s="83"/>
      <c r="C800" s="112"/>
      <c r="D800" t="e">
        <f>IF(OR(ISERROR(D765),F629=0),"Total Average Base Earnings and period covered to be determined.",CONCATENATE("Total Average Base Earnings For The Past ",Data_Income!F629," Months = ",DOLLAR(ROUND(E629/F629,0),2)))</f>
        <v>#REF!</v>
      </c>
      <c r="E800"/>
      <c r="F800"/>
      <c r="G800"/>
      <c r="H800"/>
      <c r="I800"/>
      <c r="J800"/>
      <c r="K800"/>
      <c r="L800"/>
      <c r="M800"/>
    </row>
    <row r="801" spans="1:13">
      <c r="A801"/>
      <c r="B801" s="83"/>
      <c r="C801" s="112"/>
      <c r="D801" s="113"/>
      <c r="E801"/>
      <c r="F801"/>
      <c r="G801"/>
      <c r="H801"/>
      <c r="I801"/>
      <c r="J801"/>
      <c r="K801"/>
      <c r="L801"/>
      <c r="M801"/>
    </row>
    <row r="802" spans="1:13">
      <c r="A802" t="e">
        <f>IF(#REF!="~  ENTER DESCRIPTION OF ADDITIONAL EARNINGS  ~","Additional Earnings Type 1",CONCATENATE(#REF!," Earnings"))</f>
        <v>#REF!</v>
      </c>
      <c r="B802" s="83"/>
      <c r="C802" s="112"/>
      <c r="D802" s="113"/>
      <c r="E802"/>
      <c r="F802"/>
      <c r="G802"/>
      <c r="H802"/>
      <c r="I802"/>
      <c r="J802"/>
      <c r="K802"/>
      <c r="L802"/>
      <c r="M802"/>
    </row>
    <row r="803" spans="1:13">
      <c r="A803" t="s">
        <v>320</v>
      </c>
      <c r="B803" s="83"/>
      <c r="C803" s="112"/>
      <c r="D803" s="50" t="e">
        <f>IF(AND(E713=0,E714=0,E715=0),"Variances in earnings not determined.",C725)</f>
        <v>#REF!</v>
      </c>
      <c r="E803"/>
      <c r="F803"/>
      <c r="G803"/>
      <c r="H803"/>
      <c r="I803"/>
      <c r="J803"/>
      <c r="K803"/>
      <c r="L803"/>
      <c r="M803"/>
    </row>
    <row r="804" spans="1:13">
      <c r="A804"/>
      <c r="B804" s="83"/>
      <c r="C804" s="112"/>
      <c r="D804"/>
      <c r="E804"/>
      <c r="F804"/>
      <c r="G804"/>
      <c r="H804"/>
      <c r="I804"/>
      <c r="J804"/>
      <c r="K804"/>
      <c r="L804"/>
      <c r="M804"/>
    </row>
    <row r="805" spans="1:13">
      <c r="A805" t="e">
        <f>IF(#REF!="~  ENTER DESCRIPTION OF ADDITIONAL EARNINGS  ~","Additional Earnings Type 2",CONCATENATE(#REF!," Earnings"))</f>
        <v>#REF!</v>
      </c>
      <c r="B805" s="83"/>
      <c r="C805" s="112"/>
      <c r="D805"/>
      <c r="E805"/>
      <c r="F805"/>
      <c r="G805"/>
      <c r="H805"/>
      <c r="I805"/>
      <c r="J805"/>
      <c r="K805"/>
      <c r="L805"/>
      <c r="M805"/>
    </row>
    <row r="806" spans="1:13">
      <c r="A806" t="s">
        <v>320</v>
      </c>
      <c r="B806" s="83"/>
      <c r="C806" s="112"/>
      <c r="D806" t="e">
        <f>IF(AND(E731=0,E732=0,E733=0),"Variances in earnings not determined.",C743)</f>
        <v>#REF!</v>
      </c>
      <c r="E806"/>
      <c r="F806"/>
      <c r="G806"/>
      <c r="H806"/>
      <c r="I806"/>
      <c r="J806"/>
      <c r="K806"/>
      <c r="L806"/>
      <c r="M806"/>
    </row>
    <row r="807" spans="1:13">
      <c r="A807"/>
      <c r="B807" s="83"/>
      <c r="C807" s="112"/>
      <c r="D807"/>
      <c r="E807"/>
      <c r="F807"/>
      <c r="G807"/>
      <c r="H807"/>
      <c r="I807"/>
      <c r="J807"/>
      <c r="K807"/>
      <c r="L807"/>
      <c r="M807"/>
    </row>
    <row r="808" spans="1:13">
      <c r="A808" t="e">
        <f>IF(#REF!="~  ENTER DESCRIPTION OF ADDITIONAL EARNINGS  ~","Additional Earnings Type 3",CONCATENATE(#REF!," Earnings"))</f>
        <v>#REF!</v>
      </c>
      <c r="B808" s="83"/>
      <c r="C808" s="112"/>
      <c r="D808"/>
      <c r="E808"/>
      <c r="F808"/>
      <c r="G808"/>
      <c r="H808"/>
      <c r="I808"/>
      <c r="J808"/>
      <c r="K808"/>
      <c r="L808"/>
      <c r="M808"/>
    </row>
    <row r="809" spans="1:13">
      <c r="A809" t="s">
        <v>320</v>
      </c>
      <c r="B809" s="83"/>
      <c r="C809" s="112"/>
      <c r="D809" t="e">
        <f>IF(AND(E749=0,E750=0,E751=0),"Variances in earnings not determined.",C761)</f>
        <v>#REF!</v>
      </c>
      <c r="E809"/>
      <c r="F809"/>
      <c r="G809"/>
      <c r="H809"/>
      <c r="I809"/>
      <c r="J809"/>
      <c r="K809"/>
      <c r="L809"/>
      <c r="M809"/>
    </row>
    <row r="810" spans="1:13">
      <c r="A810"/>
      <c r="B810"/>
      <c r="C810"/>
      <c r="D810"/>
      <c r="E810"/>
      <c r="F810"/>
      <c r="G810"/>
      <c r="H810"/>
      <c r="I810"/>
      <c r="J810"/>
      <c r="K810"/>
      <c r="L810"/>
      <c r="M810"/>
    </row>
    <row r="811" spans="1:13" ht="16.149999999999999" customHeight="1">
      <c r="A811" s="448" t="s">
        <v>343</v>
      </c>
      <c r="B811" s="448"/>
      <c r="C811" s="448"/>
      <c r="D811" s="448"/>
      <c r="E811" s="448"/>
      <c r="F811" s="448"/>
      <c r="G811" s="448"/>
      <c r="H811" s="448"/>
      <c r="I811" s="448"/>
      <c r="J811" s="448"/>
      <c r="K811" s="448"/>
    </row>
    <row r="813" spans="1:13">
      <c r="A813" s="1" t="s">
        <v>344</v>
      </c>
      <c r="C813" s="1" t="s">
        <v>345</v>
      </c>
    </row>
    <row r="814" spans="1:13">
      <c r="C814" s="1" t="s">
        <v>346</v>
      </c>
    </row>
    <row r="815" spans="1:13">
      <c r="C815" s="1" t="s">
        <v>347</v>
      </c>
    </row>
    <row r="816" spans="1:13">
      <c r="C816" s="1" t="s">
        <v>348</v>
      </c>
    </row>
    <row r="817" spans="1:11">
      <c r="C817" s="1" t="s">
        <v>349</v>
      </c>
    </row>
    <row r="818" spans="1:11">
      <c r="C818" s="1" t="s">
        <v>350</v>
      </c>
    </row>
    <row r="819" spans="1:11">
      <c r="C819" s="1" t="s">
        <v>351</v>
      </c>
    </row>
    <row r="820" spans="1:11">
      <c r="C820" s="1" t="s">
        <v>352</v>
      </c>
    </row>
    <row r="821" spans="1:11">
      <c r="C821" s="1" t="s">
        <v>353</v>
      </c>
    </row>
    <row r="822" spans="1:11">
      <c r="C822" s="1" t="s">
        <v>354</v>
      </c>
    </row>
    <row r="823" spans="1:11">
      <c r="C823" s="1" t="s">
        <v>355</v>
      </c>
    </row>
    <row r="824" spans="1:11">
      <c r="C824" s="1" t="s">
        <v>356</v>
      </c>
    </row>
    <row r="825" spans="1:11">
      <c r="C825" s="1" t="s">
        <v>357</v>
      </c>
    </row>
    <row r="826" spans="1:11">
      <c r="C826" s="1" t="s">
        <v>358</v>
      </c>
    </row>
    <row r="827" spans="1:11">
      <c r="C827" s="1" t="s">
        <v>359</v>
      </c>
    </row>
    <row r="828" spans="1:11">
      <c r="C828" s="1" t="s">
        <v>360</v>
      </c>
    </row>
    <row r="830" spans="1:11">
      <c r="A830" s="422" t="s">
        <v>171</v>
      </c>
      <c r="B830" s="422"/>
      <c r="C830" s="422"/>
      <c r="D830" s="422"/>
      <c r="E830" s="422"/>
      <c r="F830" s="422"/>
      <c r="G830" s="422"/>
      <c r="H830" s="422"/>
      <c r="I830" s="422"/>
      <c r="J830" s="422"/>
      <c r="K830" s="422"/>
    </row>
    <row r="831" spans="1:11">
      <c r="A831" s="72">
        <v>1</v>
      </c>
      <c r="B831" s="72">
        <v>2</v>
      </c>
      <c r="C831" s="72">
        <v>3</v>
      </c>
      <c r="D831" s="71">
        <v>4</v>
      </c>
      <c r="E831" s="73">
        <v>5</v>
      </c>
      <c r="F831" s="74"/>
      <c r="G831" s="74"/>
      <c r="H831" s="74"/>
      <c r="I831" s="74"/>
      <c r="J831" s="74"/>
      <c r="K831" s="78"/>
    </row>
    <row r="832" spans="1:11">
      <c r="A832" s="53" t="s">
        <v>174</v>
      </c>
      <c r="B832" s="53" t="s">
        <v>175</v>
      </c>
      <c r="C832" s="53" t="s">
        <v>176</v>
      </c>
      <c r="D832" s="53" t="s">
        <v>177</v>
      </c>
      <c r="E832" s="75" t="s">
        <v>227</v>
      </c>
      <c r="F832" s="76"/>
      <c r="G832" s="76"/>
      <c r="H832" s="76"/>
      <c r="I832" s="76"/>
      <c r="J832" s="76"/>
      <c r="K832" s="79"/>
    </row>
    <row r="833" spans="1:11">
      <c r="A833" s="58" t="str">
        <f>$C$54</f>
        <v>Annually (1)</v>
      </c>
      <c r="B833" s="56">
        <f>$E$49</f>
        <v>1</v>
      </c>
      <c r="C833" s="59">
        <f>$F$49</f>
        <v>2080</v>
      </c>
      <c r="D833" s="58" t="str">
        <f>$G$49</f>
        <v>annually</v>
      </c>
      <c r="E833" s="77" t="e">
        <f>IF(D846=0,"N/A",CONCATENATE("Working full-time at current rate of pay (",DOLLAR(D844,0)," annually), borrower's YTD earnings would need to reflect ",DOLLAR(D894,0)," as the total amount of base earnings from ",MONTH(C855),"/",DAY(C855),"/",YEAR(C855)," to ",MONTH(D855),"/",DAY(D855),"/",YEAR(D855)," (excluding bonus, commissions, differential, incentive, overtime, etc.)."))</f>
        <v>#REF!</v>
      </c>
      <c r="F833" s="76"/>
      <c r="G833" s="76"/>
      <c r="H833" s="76"/>
      <c r="I833" s="76"/>
      <c r="J833" s="76"/>
      <c r="K833" s="80"/>
    </row>
    <row r="834" spans="1:11">
      <c r="A834" s="245" t="str">
        <f>$C$51</f>
        <v>Bi-Weekly (26)</v>
      </c>
      <c r="B834" s="56">
        <f>$E$50</f>
        <v>26</v>
      </c>
      <c r="C834" s="59">
        <f>$F$50</f>
        <v>80</v>
      </c>
      <c r="D834" s="58" t="str">
        <f>$G$50</f>
        <v>bi-weekly</v>
      </c>
      <c r="E834" s="77" t="e">
        <f>IF(D846=0,"N/A",CONCATENATE("Working full-time at current rate of pay (",DOLLAR(D844,0)," bi-weekly), borrower's YTD earnings would need to reflect ",DOLLAR(D894,0)," as the total amount of base earnings from ",MONTH(C855),"/",DAY(C855),"/",YEAR(C855)," to ",MONTH(D855),"/",DAY(D855),"/",YEAR(D855)," (excluding bonus, commissions, differential, incentive, overtime, etc.)."))</f>
        <v>#REF!</v>
      </c>
      <c r="F834" s="76"/>
      <c r="G834" s="76"/>
      <c r="H834" s="76"/>
      <c r="I834" s="76"/>
      <c r="J834" s="76"/>
      <c r="K834" s="80"/>
    </row>
    <row r="835" spans="1:11">
      <c r="A835" s="58" t="str">
        <f>$C$49</f>
        <v>Hourly (H)</v>
      </c>
      <c r="B835" s="56">
        <f>$E$51</f>
        <v>2080</v>
      </c>
      <c r="C835" s="59">
        <f>$F$51</f>
        <v>1</v>
      </c>
      <c r="D835" s="58" t="str">
        <f>$G$51</f>
        <v>hourly</v>
      </c>
      <c r="E835" s="77" t="e">
        <f>IF(D846=0,"N/A",CONCATENATE("Working full-time at current rate of pay (",DOLLAR(D844,2)," hourly), borrower's YTD earnings would need to reflect ",DOLLAR(D894,0)," as the total amount of base earnings from ",MONTH(C855),"/",DAY(C855),"/",YEAR(C855)," to ",MONTH(D855),"/",DAY(D855),"/",YEAR(D855)," (excluding bonus, commissions, differential, incentive, overtime, etc.)."))</f>
        <v>#REF!</v>
      </c>
      <c r="F835" s="76"/>
      <c r="G835" s="76"/>
      <c r="H835" s="76"/>
      <c r="I835" s="76"/>
      <c r="J835" s="76"/>
      <c r="K835" s="80"/>
    </row>
    <row r="836" spans="1:11">
      <c r="A836" s="58" t="str">
        <f>$C$53</f>
        <v>Monthly (12)</v>
      </c>
      <c r="B836" s="56">
        <f>$E$52</f>
        <v>12</v>
      </c>
      <c r="C836" s="59">
        <f>$F$52</f>
        <v>173.333333333333</v>
      </c>
      <c r="D836" s="243" t="str">
        <f>$G$52</f>
        <v>monthly</v>
      </c>
      <c r="E836" s="77" t="e">
        <f>IF(D846=0,"N/A",CONCATENATE("Working full-time at current rate of pay (",DOLLAR(D844,0)," monthly), borrower's YTD earnings would need to reflect ",DOLLAR(D894,0)," as the total amount of base earnings from ",MONTH(C855),"/",DAY(C855),"/",YEAR(C855)," to ",MONTH(D855),"/",DAY(D855),"/",YEAR(D855)," (excluding bonus, commissions, differential, incentive, overtime, etc.)."))</f>
        <v>#REF!</v>
      </c>
      <c r="F836" s="76"/>
      <c r="G836" s="76"/>
      <c r="H836" s="76"/>
      <c r="I836" s="76"/>
      <c r="J836" s="76"/>
      <c r="K836" s="80"/>
    </row>
    <row r="837" spans="1:11">
      <c r="A837" s="58" t="str">
        <f>$C$55</f>
        <v>Part-Time</v>
      </c>
      <c r="B837" s="56">
        <f>$E$53</f>
        <v>0</v>
      </c>
      <c r="C837" s="59">
        <f>$F$53</f>
        <v>0</v>
      </c>
      <c r="D837" s="58" t="str">
        <f>$G$53</f>
        <v>part-time</v>
      </c>
      <c r="E837" s="77" t="e">
        <f>IF(D846=0,"N/A",CONCATENATE("Working Part-Time at averaged monthly pay, borrower's YTD earnings would need to reflect approximately ",DOLLAR(D894,0)," as the total amount of base earnings from ",MONTH(C855),"/",DAY(C855),"/",YEAR(C855)," to ",MONTH(D855),"/",DAY(D855),"/",YEAR(D855)," (excluding bonus, commissions, differential, incentive, overtime, etc.)."))</f>
        <v>#REF!</v>
      </c>
      <c r="F837" s="76"/>
      <c r="G837" s="76"/>
      <c r="H837" s="76"/>
      <c r="I837" s="76"/>
      <c r="J837" s="76"/>
      <c r="K837" s="80"/>
    </row>
    <row r="838" spans="1:11">
      <c r="A838" s="58" t="str">
        <f>$C$56</f>
        <v>Seasonal</v>
      </c>
      <c r="B838" s="56">
        <f>$E$54</f>
        <v>0</v>
      </c>
      <c r="C838" s="59">
        <f>$F$54</f>
        <v>0</v>
      </c>
      <c r="D838" s="58" t="str">
        <f>$G$54</f>
        <v>seasonal</v>
      </c>
      <c r="E838" s="77" t="e">
        <f>IF(D846=0,"N/A",CONCATENATE("Working Seasonal at averaged monthly pay, borrower's YTD earnings would need to reflect approximately ",DOLLAR(D894,0)," as the total amount of base earnings from ",MONTH(C855),"/",DAY(C855),"/",YEAR(C855)," to ",MONTH(D855),"/",DAY(D855),"/",YEAR(D855)," (excluding bonus, commissions, differential, incentive, overtime, etc.)."))</f>
        <v>#REF!</v>
      </c>
      <c r="F838" s="76"/>
      <c r="G838" s="76"/>
      <c r="H838" s="76"/>
      <c r="I838" s="76"/>
      <c r="J838" s="76"/>
      <c r="K838" s="80"/>
    </row>
    <row r="839" spans="1:11">
      <c r="A839" s="58" t="str">
        <f>$C$52</f>
        <v>Semi-Monthly (24)</v>
      </c>
      <c r="B839" s="56">
        <f>$E$55</f>
        <v>24</v>
      </c>
      <c r="C839" s="59">
        <f>$F$55</f>
        <v>86.6666666666667</v>
      </c>
      <c r="D839" s="58" t="str">
        <f>$G$55</f>
        <v>semi-monthly</v>
      </c>
      <c r="E839" s="77" t="e">
        <f>IF(D846=0,"N/A",CONCATENATE("Working full-time at current rate of pay (",DOLLAR(D844,2)," semi-monthly), borrower's YTD earnings would need to reflect ",DOLLAR(D894,0)," as the total amount of base earnings from ",MONTH(C855),"/",DAY(C855),"/",YEAR(C855)," to ",MONTH(D855),"/",DAY(D855),"/",YEAR(D855)," (excluding bonus, commissions, differential, incentive, overtime, etc.)."))</f>
        <v>#REF!</v>
      </c>
      <c r="F839" s="76"/>
      <c r="G839" s="76"/>
      <c r="H839" s="76"/>
      <c r="I839" s="76"/>
      <c r="J839" s="76"/>
      <c r="K839" s="80"/>
    </row>
    <row r="840" spans="1:11">
      <c r="A840" s="58" t="str">
        <f>$C$57</f>
        <v>Varies / Averaged</v>
      </c>
      <c r="B840" s="56">
        <f>$E$56</f>
        <v>0</v>
      </c>
      <c r="C840" s="59">
        <f>$F$56</f>
        <v>0</v>
      </c>
      <c r="D840" s="58" t="str">
        <f>$G$56</f>
        <v>varies</v>
      </c>
      <c r="E840" s="77" t="e">
        <f>IF(D846=0,"N/A",CONCATENATE("Based on calculated averaged monthly earnings, borrower's YTD earnings should reflect approximately ",DOLLAR(D894,0)," as the total amount of base income earned from ",MONTH(C855),"/",DAY(C855),"/",YEAR(C855)," to ",MONTH(D855),"/",DAY(D855),"/",YEAR(D855)," (excluding bonus, commissions, differential, incentive, overtime, etc.)."))</f>
        <v>#REF!</v>
      </c>
      <c r="F840" s="76"/>
      <c r="G840" s="76"/>
      <c r="H840" s="76"/>
      <c r="I840" s="76"/>
      <c r="J840" s="76"/>
      <c r="K840" s="80"/>
    </row>
    <row r="841" spans="1:11">
      <c r="A841" s="58" t="str">
        <f>$C$50</f>
        <v>Weekly (52)</v>
      </c>
      <c r="B841" s="56">
        <f>$E$57</f>
        <v>52</v>
      </c>
      <c r="C841" s="59">
        <f>$F$57</f>
        <v>40</v>
      </c>
      <c r="D841" s="58" t="str">
        <f>$G$57</f>
        <v>weekly</v>
      </c>
      <c r="E841" s="77" t="e">
        <f>IF(D846=0,"N/A",CONCATENATE("Working full-time at current rate of pay (",DOLLAR(D844,2)," weekly), borrower's YTD earnings would need to reflect ",DOLLAR(D894,0)," as the total amount of base earnings from ",MONTH(C855),"/",DAY(C855),"/",YEAR(C855)," to ",MONTH(D855),"/",DAY(D855),"/",YEAR(D855)," (excluding bonus, commissions, differential, incentive, overtime, etc.)."))</f>
        <v>#REF!</v>
      </c>
      <c r="F841" s="76"/>
      <c r="G841" s="76"/>
      <c r="H841" s="76"/>
      <c r="I841" s="76"/>
      <c r="J841" s="76"/>
      <c r="K841" s="80"/>
    </row>
    <row r="843" spans="1:11">
      <c r="A843" t="s">
        <v>228</v>
      </c>
      <c r="B843"/>
      <c r="C843"/>
      <c r="D843" s="81" t="e">
        <f>IF(#REF!="","",#REF!)</f>
        <v>#REF!</v>
      </c>
      <c r="E843"/>
      <c r="F843" s="82"/>
      <c r="G843" s="246" t="s">
        <v>229</v>
      </c>
      <c r="H843" s="82"/>
      <c r="I843" s="82"/>
      <c r="J843" s="82"/>
      <c r="K843"/>
    </row>
    <row r="844" spans="1:11">
      <c r="A844" t="s">
        <v>230</v>
      </c>
      <c r="B844"/>
      <c r="C844"/>
      <c r="D844" s="83" t="e">
        <f>IF(OR(#REF!=0,#REF!=""),0,#REF!)</f>
        <v>#REF!</v>
      </c>
      <c r="E844"/>
      <c r="F844" s="82"/>
      <c r="G844" s="246" t="s">
        <v>231</v>
      </c>
      <c r="H844" s="82"/>
      <c r="I844" s="82"/>
      <c r="J844" s="82"/>
      <c r="K844"/>
    </row>
    <row r="845" spans="1:11">
      <c r="A845" t="s">
        <v>232</v>
      </c>
      <c r="B845"/>
      <c r="C845"/>
      <c r="D845" s="83" t="e">
        <f>IF(D846=A837,"Hourly Rate of Pay (part-time)","Rate of Pay")</f>
        <v>#REF!</v>
      </c>
      <c r="E845"/>
      <c r="F845" s="82"/>
      <c r="G845" s="82"/>
      <c r="H845" s="82"/>
      <c r="I845" s="82"/>
      <c r="J845" s="82"/>
      <c r="K845"/>
    </row>
    <row r="846" spans="1:11">
      <c r="A846" t="s">
        <v>233</v>
      </c>
      <c r="B846"/>
      <c r="C846"/>
      <c r="D846" s="84" t="e">
        <f>#REF!</f>
        <v>#REF!</v>
      </c>
      <c r="E846"/>
      <c r="F846" s="82"/>
      <c r="G846" s="246" t="s">
        <v>234</v>
      </c>
      <c r="H846" s="82"/>
      <c r="I846" s="82"/>
      <c r="J846" s="82"/>
      <c r="K846"/>
    </row>
    <row r="847" spans="1:11">
      <c r="A847" t="s">
        <v>235</v>
      </c>
      <c r="B847"/>
      <c r="C847"/>
      <c r="D847" s="83" t="e">
        <f>#REF!</f>
        <v>#REF!</v>
      </c>
      <c r="E847"/>
      <c r="F847" s="82"/>
      <c r="G847" s="246" t="s">
        <v>236</v>
      </c>
      <c r="H847" s="82"/>
      <c r="I847" s="82"/>
      <c r="J847" s="82"/>
      <c r="K847"/>
    </row>
    <row r="848" spans="1:11">
      <c r="A848" t="s">
        <v>237</v>
      </c>
      <c r="B848"/>
      <c r="C848"/>
      <c r="D848" s="83" t="e">
        <f>IF(OR(D844=0,D846=0),"",IF(D846="Hourly (H)",(D844*D847)*52,D844*VLOOKUP(D846,A833:E841,2)))</f>
        <v>#REF!</v>
      </c>
      <c r="E848"/>
      <c r="F848" s="82"/>
      <c r="G848" s="246" t="s">
        <v>238</v>
      </c>
      <c r="H848" s="82"/>
      <c r="I848" s="82"/>
      <c r="J848" s="82"/>
      <c r="K848"/>
    </row>
    <row r="849" spans="1:13">
      <c r="A849" t="s">
        <v>239</v>
      </c>
      <c r="B849"/>
      <c r="C849"/>
      <c r="D849" s="86" t="e">
        <f>IF(OR(D844=0,D846=0),"",IF(OR(D846=A837,D846=A838,D846=A840),J857,ROUND(D848/12,0)))</f>
        <v>#REF!</v>
      </c>
      <c r="E849"/>
      <c r="F849" s="82"/>
      <c r="G849" s="246" t="s">
        <v>240</v>
      </c>
      <c r="H849" s="82"/>
      <c r="I849" s="82"/>
      <c r="J849" s="82"/>
      <c r="K849"/>
    </row>
    <row r="850" spans="1:13">
      <c r="A850" t="s">
        <v>241</v>
      </c>
      <c r="B850"/>
      <c r="C850"/>
      <c r="D850" t="b">
        <v>0</v>
      </c>
      <c r="E850"/>
      <c r="F850" s="82"/>
      <c r="G850" s="246" t="s">
        <v>242</v>
      </c>
      <c r="H850" s="82"/>
      <c r="I850" s="82"/>
      <c r="J850" s="82"/>
      <c r="K850"/>
    </row>
    <row r="851" spans="1:13">
      <c r="A851"/>
      <c r="B851"/>
      <c r="C851"/>
      <c r="D851"/>
      <c r="E851"/>
      <c r="F851"/>
      <c r="G851"/>
      <c r="H851"/>
      <c r="I851"/>
      <c r="J851"/>
      <c r="K851"/>
    </row>
    <row r="852" spans="1:13">
      <c r="A852" s="449" t="s">
        <v>243</v>
      </c>
      <c r="B852" s="450"/>
      <c r="C852" s="450"/>
      <c r="D852" s="450"/>
      <c r="E852" s="450"/>
      <c r="F852" s="450"/>
      <c r="G852" s="451"/>
      <c r="H852" s="449" t="s">
        <v>244</v>
      </c>
      <c r="I852" s="450"/>
      <c r="J852" s="451"/>
      <c r="K852" s="449" t="s">
        <v>245</v>
      </c>
      <c r="L852" s="450"/>
      <c r="M852" s="451"/>
    </row>
    <row r="853" spans="1:13">
      <c r="A853" s="128" t="s">
        <v>246</v>
      </c>
      <c r="B853" s="128" t="s">
        <v>164</v>
      </c>
      <c r="C853" s="128" t="s">
        <v>247</v>
      </c>
      <c r="D853" s="128" t="s">
        <v>248</v>
      </c>
      <c r="E853" s="128" t="s">
        <v>5</v>
      </c>
      <c r="F853" s="128" t="s">
        <v>4</v>
      </c>
      <c r="G853" s="128" t="s">
        <v>1</v>
      </c>
      <c r="H853" s="128" t="s">
        <v>154</v>
      </c>
      <c r="I853" s="128" t="s">
        <v>4</v>
      </c>
      <c r="J853" s="128" t="s">
        <v>5</v>
      </c>
      <c r="K853" s="128" t="s">
        <v>249</v>
      </c>
      <c r="L853" s="128" t="s">
        <v>250</v>
      </c>
      <c r="M853" s="128" t="s">
        <v>251</v>
      </c>
    </row>
    <row r="854" spans="1:13">
      <c r="A854" s="88" t="b">
        <v>1</v>
      </c>
      <c r="B854" s="89" t="e">
        <f>#REF!</f>
        <v>#REF!</v>
      </c>
      <c r="C854" s="90" t="e">
        <f>#REF!</f>
        <v>#REF!</v>
      </c>
      <c r="D854" s="90" t="e">
        <f>#REF!</f>
        <v>#REF!</v>
      </c>
      <c r="E854" s="91" t="e">
        <f>IF(#REF!="",0,#REF!)</f>
        <v>#REF!</v>
      </c>
      <c r="F854" s="92" t="e">
        <f>IF(OR(E854="",E854=0),"",ROUND((((D854-C854)+1)/365)*12,1))</f>
        <v>#REF!</v>
      </c>
      <c r="G854" s="93" t="e">
        <f>IF(OR(E854="",E854=0),"",ROUND(E854/F854,0))</f>
        <v>#REF!</v>
      </c>
      <c r="H854" s="93" t="e">
        <f>IF(A854=TRUE,E854,0)</f>
        <v>#REF!</v>
      </c>
      <c r="I854" s="118" t="e">
        <f>IF(A854=TRUE,F854,0)</f>
        <v>#REF!</v>
      </c>
      <c r="J854" s="93" t="e">
        <f>IF(OR(A854=FALSE,H854=0,I854=0),0,ROUND(H854/I854,0))</f>
        <v>#REF!</v>
      </c>
      <c r="K854" s="92" t="e">
        <f>IF(OR(G854="",G854=0,G855="",G855=0),100,IF(G854&gt;G855,((G854-G855)/G855)*100,((G855-G854)/G855)*100))</f>
        <v>#REF!</v>
      </c>
      <c r="L854" s="54" t="e">
        <f>IF(G854&gt;G855,"Increase","Decrease")</f>
        <v>#REF!</v>
      </c>
      <c r="M854" s="54" t="e">
        <f>IF(AND(A854=TRUE,E854&gt;0),TRUE,FALSE)</f>
        <v>#REF!</v>
      </c>
    </row>
    <row r="855" spans="1:13">
      <c r="A855" s="57" t="b">
        <v>1</v>
      </c>
      <c r="B855" s="94" t="e">
        <f>#REF!</f>
        <v>#REF!</v>
      </c>
      <c r="C855" s="95" t="e">
        <f>#REF!</f>
        <v>#REF!</v>
      </c>
      <c r="D855" s="96" t="e">
        <f>#REF!</f>
        <v>#REF!</v>
      </c>
      <c r="E855" s="91" t="e">
        <f>IF(#REF!="",0,#REF!)</f>
        <v>#REF!</v>
      </c>
      <c r="F855" s="92" t="e">
        <f>IF(OR(E855="",E855=0),"",ROUND((((D855-C855)+1)/365)*12,1))</f>
        <v>#REF!</v>
      </c>
      <c r="G855" s="93" t="e">
        <f>IF(OR(E855="",E855=0),"",ROUND(E855/F855,0))</f>
        <v>#REF!</v>
      </c>
      <c r="H855" s="93" t="e">
        <f>IF(A855=TRUE,E855,0)</f>
        <v>#REF!</v>
      </c>
      <c r="I855" s="118" t="e">
        <f>IF(A855=TRUE,F855,0)</f>
        <v>#REF!</v>
      </c>
      <c r="J855" s="93" t="e">
        <f>IF(OR(A855=FALSE,H855=0,I855=0),0,ROUND(H855/I855,0))</f>
        <v>#REF!</v>
      </c>
      <c r="K855" s="92" t="e">
        <f>IF(OR(G855="",G855=0,G856="",G856=0),100,IF(G855&gt;G856,((G855-G856)/G856)*100,((G856-G855)/G856)*100))</f>
        <v>#REF!</v>
      </c>
      <c r="L855" s="54" t="e">
        <f>IF(G855&gt;G856,"Increase","Decrease")</f>
        <v>#REF!</v>
      </c>
      <c r="M855" s="54" t="e">
        <f>IF(AND(A855=TRUE,E855&gt;0),TRUE,FALSE)</f>
        <v>#REF!</v>
      </c>
    </row>
    <row r="856" spans="1:13">
      <c r="A856" s="57" t="b">
        <v>1</v>
      </c>
      <c r="B856" s="94" t="e">
        <f>#REF!</f>
        <v>#REF!</v>
      </c>
      <c r="C856" s="95" t="e">
        <f>#REF!</f>
        <v>#REF!</v>
      </c>
      <c r="D856" s="96" t="e">
        <f>#REF!</f>
        <v>#REF!</v>
      </c>
      <c r="E856" s="91" t="e">
        <f>IF(#REF!="",0,#REF!)</f>
        <v>#REF!</v>
      </c>
      <c r="F856" s="92" t="e">
        <f>IF(OR(E856="",E856=0),"",ROUND((((D856-C856)+1)/365)*12,1))</f>
        <v>#REF!</v>
      </c>
      <c r="G856" s="93" t="e">
        <f>IF(OR(E856="",E856=0),"",ROUND(E856/F856,0))</f>
        <v>#REF!</v>
      </c>
      <c r="H856" s="93" t="e">
        <f>IF(A856=TRUE,E856,0)</f>
        <v>#REF!</v>
      </c>
      <c r="I856" s="118" t="e">
        <f>IF(A856=TRUE,F856,0)</f>
        <v>#REF!</v>
      </c>
      <c r="J856" s="93" t="e">
        <f>IF(OR(A856=FALSE,H856=0,I856=0),0,ROUND(H856/I856,0))</f>
        <v>#REF!</v>
      </c>
      <c r="K856" s="92" t="e">
        <f>IF(OR(G854="",G854=0,G856="",G856=0),100,IF(G854&gt;G856,((G854-G856)/G856)*100,((G856-G854)/G856)*100))</f>
        <v>#REF!</v>
      </c>
      <c r="L856" s="54" t="e">
        <f>IF(G854&gt;G856,"Increase","Decrease")</f>
        <v>#REF!</v>
      </c>
      <c r="M856" s="54" t="e">
        <f>IF(AND(A856=TRUE,E856&gt;0),TRUE,FALSE)</f>
        <v>#REF!</v>
      </c>
    </row>
    <row r="857" spans="1:13">
      <c r="A857" s="51" t="s">
        <v>252</v>
      </c>
      <c r="B857" s="98"/>
      <c r="C857" s="99"/>
      <c r="D857" s="99"/>
      <c r="E857" s="100" t="e">
        <f>SUM(E854:E856)</f>
        <v>#REF!</v>
      </c>
      <c r="F857" s="101" t="e">
        <f>SUM(F854:F856)</f>
        <v>#REF!</v>
      </c>
      <c r="G857" s="102" t="e">
        <f>IF(AND(D844=0,D846=0),0,IF(D850=TRUE,D849,IF(OR(D846=A837,D846=A838,D846=A840,F854=FALSE,F855=FALSE,F856=FALSE),J857,IF(D850=FALSE,MIN(D849,G854),J857))))</f>
        <v>#REF!</v>
      </c>
      <c r="H857" s="97" t="e">
        <f>IF(SUM(E854:E856)=0,0,ROUND(SUM(H854:H856),0))</f>
        <v>#REF!</v>
      </c>
      <c r="I857" s="119" t="e">
        <f>IF(SUM(F854:F856)=0,0,ROUND(SUM(I854:I856),1))</f>
        <v>#REF!</v>
      </c>
      <c r="J857" s="97" t="e">
        <f>IF(I857=0,0,ROUND(H857/I857,0))</f>
        <v>#REF!</v>
      </c>
      <c r="K857" s="99"/>
      <c r="L857" s="99"/>
      <c r="M857" s="99"/>
    </row>
    <row r="858" spans="1:13">
      <c r="A858"/>
      <c r="B858"/>
      <c r="C858"/>
      <c r="D858"/>
      <c r="E858"/>
      <c r="F858"/>
      <c r="G858"/>
      <c r="H858"/>
      <c r="I858"/>
      <c r="J858"/>
      <c r="K858"/>
    </row>
    <row r="859" spans="1:13">
      <c r="A859" t="s">
        <v>361</v>
      </c>
      <c r="B859" s="39" t="e">
        <f>CONCATENATE(B856," – ",B855)</f>
        <v>#REF!</v>
      </c>
      <c r="C859" s="39"/>
      <c r="D859" t="e">
        <f>IF(AND(E855=0,E856=0),CONCATENATE(B856," to ",B855," = N/A +/–"),IF(AND(E855=0,E856&gt;0),CONCATENATE(B856," to ",B855," = 100% Decrease"),IF(AND(E855&gt;0,E856=0),CONCATENATE(B856," to ",B855," = 100% Increase"),IF(AND(E855&gt;0,E856&gt;0),CONCATENATE(B856," to ",B855," = ",ABS(FIXED(K855,1)),"% ",IF(G855&gt;G856,"Increase","Decrease"))))))</f>
        <v>#REF!</v>
      </c>
      <c r="E859"/>
      <c r="F859"/>
      <c r="G859" s="246" t="s">
        <v>362</v>
      </c>
      <c r="H859"/>
      <c r="I859"/>
      <c r="J859"/>
      <c r="K859"/>
    </row>
    <row r="860" spans="1:13">
      <c r="A860" t="s">
        <v>363</v>
      </c>
      <c r="B860" s="39" t="e">
        <f>CONCATENATE(B855," – ",B854)</f>
        <v>#REF!</v>
      </c>
      <c r="C860" s="39"/>
      <c r="D860" t="e">
        <f>IF(AND(E854=0,E856=0),CONCATENATE(B855," to ",B854," = N/A +/–"),IF(AND(E854=0,E855&gt;0),CONCATENATE(B855," to ",B854," = 100% Decrease"),IF(AND(E854&gt;0,E855=0),CONCATENATE(B855," to ",B854," = 100% Increase"),IF(AND(E854&gt;0,E855&gt;0),CONCATENATE(B855," to ",B854," = ",ABS(FIXED(K854,1)),"% ",IF(G854&gt;G855,"Increase","Decrease"))))))</f>
        <v>#REF!</v>
      </c>
      <c r="E860"/>
      <c r="F860"/>
      <c r="G860" s="246" t="s">
        <v>362</v>
      </c>
      <c r="H860"/>
      <c r="I860"/>
      <c r="J860"/>
      <c r="K860"/>
    </row>
    <row r="861" spans="1:13">
      <c r="A861" t="s">
        <v>364</v>
      </c>
      <c r="B861" s="39" t="e">
        <f>CONCATENATE(B856," – ",B854)</f>
        <v>#REF!</v>
      </c>
      <c r="C861" s="39"/>
      <c r="D861" t="e">
        <f>IF(OR(E854=0,E856=0),CONCATENATE(B856," to ",B854," = N/A +/–"),IF(AND(E854=0,E856&gt;0),CONCATENATE(B856," to ",B854," = 100% Decrease"),IF(AND(E854&gt;0,E856=0),CONCATENATE(B856," to ",B854," = 100% Increase"),IF(AND(E854&gt;0,E856&gt;0),CONCATENATE(B856," to ",B854," = ",ABS(FIXED(K856,1)),"% ",IF(G854&gt;G856,"Increase","Decrease"))))))</f>
        <v>#REF!</v>
      </c>
      <c r="E861"/>
      <c r="F861"/>
      <c r="G861" s="246" t="s">
        <v>362</v>
      </c>
      <c r="H861"/>
      <c r="I861"/>
      <c r="J861"/>
      <c r="K861"/>
    </row>
    <row r="862" spans="1:13">
      <c r="A862"/>
      <c r="B862"/>
      <c r="C862"/>
      <c r="D862"/>
      <c r="E862"/>
      <c r="F862"/>
      <c r="G862"/>
      <c r="H862"/>
      <c r="I862"/>
      <c r="J862"/>
      <c r="K862"/>
    </row>
    <row r="863" spans="1:13">
      <c r="A863" t="s">
        <v>365</v>
      </c>
      <c r="B863"/>
      <c r="C863"/>
      <c r="D863" s="86" t="e">
        <f>IF(OR(A854=FALSE,E854=""),0,E854)</f>
        <v>#REF!</v>
      </c>
      <c r="E863"/>
      <c r="F863" s="86"/>
      <c r="G863" s="246" t="s">
        <v>287</v>
      </c>
      <c r="H863"/>
      <c r="I863"/>
      <c r="J863"/>
      <c r="K863"/>
    </row>
    <row r="864" spans="1:13">
      <c r="A864" t="s">
        <v>288</v>
      </c>
      <c r="B864"/>
      <c r="C864"/>
      <c r="D864" s="120" t="e">
        <f>IF(OR(A854=FALSE,E854="",E854=0,F854=0),"",F854)</f>
        <v>#REF!</v>
      </c>
      <c r="E864"/>
      <c r="F864" s="112"/>
      <c r="G864" s="246" t="s">
        <v>289</v>
      </c>
      <c r="H864"/>
      <c r="I864"/>
      <c r="J864"/>
      <c r="K864"/>
    </row>
    <row r="865" spans="1:11">
      <c r="A865" t="s">
        <v>230</v>
      </c>
      <c r="B865"/>
      <c r="C865"/>
      <c r="D865" s="121" t="e">
        <f>D844</f>
        <v>#REF!</v>
      </c>
      <c r="E865"/>
      <c r="F865" s="83"/>
      <c r="G865" s="246" t="s">
        <v>231</v>
      </c>
      <c r="H865" s="122"/>
      <c r="I865" s="122"/>
      <c r="J865" s="122"/>
      <c r="K865"/>
    </row>
    <row r="866" spans="1:11">
      <c r="A866" t="s">
        <v>290</v>
      </c>
      <c r="B866"/>
      <c r="C866"/>
      <c r="D866" s="83" t="e">
        <f>IF(OR(D863=0,D864=0,),0,D863/D864)</f>
        <v>#REF!</v>
      </c>
      <c r="E866"/>
      <c r="F866" s="83"/>
      <c r="G866" s="246" t="s">
        <v>291</v>
      </c>
      <c r="H866" s="122"/>
      <c r="I866" s="122"/>
      <c r="J866" s="122"/>
      <c r="K866"/>
    </row>
    <row r="867" spans="1:11">
      <c r="A867" t="s">
        <v>366</v>
      </c>
      <c r="B867"/>
      <c r="C867"/>
      <c r="D867" s="83" t="e">
        <f>H857</f>
        <v>#REF!</v>
      </c>
      <c r="E867"/>
      <c r="F867" s="83"/>
      <c r="G867" s="246" t="s">
        <v>293</v>
      </c>
      <c r="H867" s="122"/>
      <c r="I867" s="122"/>
      <c r="J867" s="122"/>
      <c r="K867"/>
    </row>
    <row r="868" spans="1:11">
      <c r="A868"/>
      <c r="B868"/>
      <c r="C868"/>
      <c r="D868" s="83"/>
      <c r="E868"/>
      <c r="F868" s="83"/>
      <c r="G868" s="122"/>
      <c r="H868" s="122"/>
      <c r="I868" s="122"/>
      <c r="J868" s="122"/>
      <c r="K868"/>
    </row>
    <row r="869" spans="1:11">
      <c r="A869" t="s">
        <v>294</v>
      </c>
      <c r="B869"/>
      <c r="C869"/>
      <c r="D869" s="83"/>
      <c r="E869"/>
      <c r="F869" s="83"/>
      <c r="G869" s="122"/>
      <c r="H869" s="122"/>
      <c r="I869" s="122"/>
      <c r="J869" s="122"/>
      <c r="K869"/>
    </row>
    <row r="870" spans="1:11">
      <c r="A870" s="123" t="s">
        <v>295</v>
      </c>
      <c r="B870"/>
      <c r="C870"/>
      <c r="D870" s="83" t="e">
        <f>D866</f>
        <v>#REF!</v>
      </c>
      <c r="E870"/>
      <c r="F870" s="83"/>
      <c r="G870" s="122"/>
      <c r="H870" s="122"/>
      <c r="I870" s="122"/>
      <c r="J870" s="122"/>
      <c r="K870"/>
    </row>
    <row r="871" spans="1:11">
      <c r="A871" s="123" t="s">
        <v>296</v>
      </c>
      <c r="B871"/>
      <c r="C871"/>
      <c r="D871" s="83" t="e">
        <f>D870*12</f>
        <v>#REF!</v>
      </c>
      <c r="E871"/>
      <c r="F871" s="83"/>
      <c r="G871" s="122"/>
      <c r="H871" s="122"/>
      <c r="I871" s="122"/>
      <c r="J871" s="122"/>
      <c r="K871"/>
    </row>
    <row r="872" spans="1:11">
      <c r="A872" s="123" t="s">
        <v>297</v>
      </c>
      <c r="B872"/>
      <c r="C872"/>
      <c r="D872" s="83" t="e">
        <f>D871/52</f>
        <v>#REF!</v>
      </c>
      <c r="E872"/>
      <c r="F872" s="83"/>
      <c r="G872" s="122"/>
      <c r="H872" s="122"/>
      <c r="I872" s="122"/>
      <c r="J872" s="122"/>
      <c r="K872"/>
    </row>
    <row r="873" spans="1:11">
      <c r="A873" s="123" t="s">
        <v>298</v>
      </c>
      <c r="B873"/>
      <c r="C873"/>
      <c r="D873" s="83" t="e">
        <f>D844</f>
        <v>#REF!</v>
      </c>
      <c r="E873"/>
      <c r="F873" s="83"/>
      <c r="G873" s="122"/>
      <c r="H873" s="122"/>
      <c r="I873" s="122"/>
      <c r="J873" s="122"/>
      <c r="K873"/>
    </row>
    <row r="874" spans="1:11">
      <c r="A874" s="123" t="s">
        <v>299</v>
      </c>
      <c r="B874"/>
      <c r="C874"/>
      <c r="D874" s="83" t="e">
        <f>IF(D873=0,0,IF((D872/D873)&gt;40,40,D872/D873))</f>
        <v>#REF!</v>
      </c>
      <c r="E874"/>
      <c r="F874" s="83"/>
      <c r="G874" s="122"/>
      <c r="H874" s="122"/>
      <c r="I874" s="122"/>
      <c r="J874" s="122"/>
      <c r="K874"/>
    </row>
    <row r="875" spans="1:11">
      <c r="A875" s="123" t="s">
        <v>300</v>
      </c>
      <c r="B875"/>
      <c r="C875"/>
      <c r="D875" s="84" t="e">
        <f>IF(D846="Hourly (H)",D874,"N/A")</f>
        <v>#REF!</v>
      </c>
      <c r="E875"/>
      <c r="F875" s="83"/>
      <c r="G875" s="122"/>
      <c r="H875" s="122"/>
      <c r="I875" s="122"/>
      <c r="J875" s="122"/>
      <c r="K875"/>
    </row>
    <row r="876" spans="1:11">
      <c r="A876" s="123" t="s">
        <v>301</v>
      </c>
      <c r="B876"/>
      <c r="C876"/>
      <c r="D876" s="83" t="e">
        <f>IF(D873=0,"Weekly",IF(OR(D846&lt;&gt;"Hourly (H)",(D872/D873)&gt;40),"Weekly","Average Weekly"))</f>
        <v>#REF!</v>
      </c>
      <c r="E876"/>
      <c r="F876" s="83"/>
      <c r="G876" s="122"/>
      <c r="H876" s="122"/>
      <c r="I876" s="122"/>
      <c r="J876" s="122"/>
      <c r="K876"/>
    </row>
    <row r="877" spans="1:11">
      <c r="A877"/>
      <c r="B877"/>
      <c r="C877"/>
      <c r="D877" s="83"/>
      <c r="E877"/>
      <c r="F877" s="83"/>
      <c r="G877" s="122"/>
      <c r="H877" s="122"/>
      <c r="I877" s="122"/>
      <c r="J877" s="122"/>
      <c r="K877"/>
    </row>
    <row r="878" spans="1:11">
      <c r="A878" t="e">
        <f>CONCATENATE("Total days (",B854," YTD)")</f>
        <v>#REF!</v>
      </c>
      <c r="B878"/>
      <c r="C878"/>
      <c r="D878" s="83" t="e">
        <f>IF(D854="",0,ROUND(D854-C854,0))</f>
        <v>#REF!</v>
      </c>
      <c r="E878"/>
      <c r="F878" s="83"/>
      <c r="G878" s="246" t="s">
        <v>302</v>
      </c>
      <c r="H878" s="122"/>
      <c r="I878" s="122"/>
      <c r="J878" s="122"/>
      <c r="K878"/>
    </row>
    <row r="879" spans="1:11">
      <c r="A879" t="e">
        <f>CONCATENATE("Total days (",B855,")")</f>
        <v>#REF!</v>
      </c>
      <c r="B879"/>
      <c r="C879"/>
      <c r="D879" s="83" t="e">
        <f>IF(OR(D846=A837,D846=A838,D846=A840),ROUND(D855-C855,0),0)</f>
        <v>#REF!</v>
      </c>
      <c r="E879"/>
      <c r="F879" s="83"/>
      <c r="G879" s="246" t="s">
        <v>302</v>
      </c>
      <c r="H879" s="122"/>
      <c r="I879" s="122"/>
      <c r="J879" s="122"/>
      <c r="K879"/>
    </row>
    <row r="880" spans="1:11">
      <c r="A880" t="e">
        <f>CONCATENATE("Total days (",B856,")")</f>
        <v>#REF!</v>
      </c>
      <c r="B880"/>
      <c r="C880"/>
      <c r="D880" s="83" t="e">
        <f>IF(OR(D846=A837,D846=A838,D846=A840),ROUND(D856-C856,0),0)</f>
        <v>#REF!</v>
      </c>
      <c r="E880"/>
      <c r="F880" s="83"/>
      <c r="G880" s="246" t="s">
        <v>302</v>
      </c>
      <c r="H880" s="122"/>
      <c r="I880" s="122"/>
      <c r="J880" s="122"/>
      <c r="K880"/>
    </row>
    <row r="881" spans="1:11">
      <c r="A881" t="s">
        <v>367</v>
      </c>
      <c r="B881"/>
      <c r="C881"/>
      <c r="D881" s="83" t="e">
        <f>SUM(D878:D880)</f>
        <v>#REF!</v>
      </c>
      <c r="E881"/>
      <c r="F881" s="83"/>
      <c r="G881" s="246" t="s">
        <v>304</v>
      </c>
      <c r="H881" s="122"/>
      <c r="I881" s="122"/>
      <c r="J881" s="122"/>
      <c r="K881"/>
    </row>
    <row r="882" spans="1:11">
      <c r="A882"/>
      <c r="B882"/>
      <c r="C882"/>
      <c r="D882" s="83"/>
      <c r="E882"/>
      <c r="F882" s="83"/>
      <c r="G882" s="122"/>
      <c r="H882" s="122"/>
      <c r="I882" s="122"/>
      <c r="J882" s="122"/>
      <c r="K882"/>
    </row>
    <row r="883" spans="1:11">
      <c r="A883" t="e">
        <f>CONCATENATE("Total weeks (",B854," YTD)")</f>
        <v>#REF!</v>
      </c>
      <c r="B883"/>
      <c r="C883"/>
      <c r="D883" s="83" t="e">
        <f>ROUND(D878/7,0)</f>
        <v>#REF!</v>
      </c>
      <c r="E883"/>
      <c r="F883" s="83"/>
      <c r="G883" s="246" t="s">
        <v>305</v>
      </c>
      <c r="H883" s="122"/>
      <c r="I883" s="122"/>
      <c r="J883" s="122"/>
      <c r="K883"/>
    </row>
    <row r="884" spans="1:11">
      <c r="A884" t="e">
        <f>CONCATENATE("Total weeks (",B855,")")</f>
        <v>#REF!</v>
      </c>
      <c r="B884"/>
      <c r="C884"/>
      <c r="D884" s="83" t="e">
        <f>IF(OR(D846=A837,D846=A838,D846=A840),ROUND(D879/7,0),0)</f>
        <v>#REF!</v>
      </c>
      <c r="E884"/>
      <c r="F884" s="83"/>
      <c r="G884" s="246" t="s">
        <v>305</v>
      </c>
      <c r="H884" s="122"/>
      <c r="I884" s="122"/>
      <c r="J884" s="122"/>
      <c r="K884"/>
    </row>
    <row r="885" spans="1:11">
      <c r="A885" t="e">
        <f>CONCATENATE("Total weeks (",B856,")")</f>
        <v>#REF!</v>
      </c>
      <c r="B885"/>
      <c r="C885"/>
      <c r="D885" s="83" t="e">
        <f>IF(OR(D846=A837,D846=A838,D846=A840),ROUND(D880/7,0),0)</f>
        <v>#REF!</v>
      </c>
      <c r="E885"/>
      <c r="F885" s="83"/>
      <c r="G885" s="246" t="s">
        <v>305</v>
      </c>
      <c r="H885" s="122"/>
      <c r="I885" s="122"/>
      <c r="J885" s="122"/>
      <c r="K885"/>
    </row>
    <row r="886" spans="1:11">
      <c r="A886" t="s">
        <v>368</v>
      </c>
      <c r="B886"/>
      <c r="C886"/>
      <c r="D886" s="83" t="e">
        <f>SUM(D883:D885)</f>
        <v>#REF!</v>
      </c>
      <c r="E886"/>
      <c r="F886" s="83"/>
      <c r="G886" s="246" t="s">
        <v>307</v>
      </c>
      <c r="H886" s="122"/>
      <c r="I886" s="122"/>
      <c r="J886" s="122"/>
      <c r="K886"/>
    </row>
    <row r="887" spans="1:11">
      <c r="A887"/>
      <c r="B887"/>
      <c r="C887"/>
      <c r="D887" s="83"/>
      <c r="E887"/>
      <c r="F887" s="83"/>
      <c r="G887" s="122"/>
      <c r="H887" s="122"/>
      <c r="I887" s="122"/>
      <c r="J887" s="122"/>
      <c r="K887"/>
    </row>
    <row r="888" spans="1:11">
      <c r="A888" t="s">
        <v>308</v>
      </c>
      <c r="B888"/>
      <c r="C888"/>
      <c r="D888" s="83" t="e">
        <f>IF(OR(D886=0,D883=0),0,IF(OR(D846=A837,D846=A838,D846=A840),E857/D886,D863/D883))</f>
        <v>#REF!</v>
      </c>
      <c r="E888"/>
      <c r="F888" s="83"/>
      <c r="G888" s="246" t="s">
        <v>309</v>
      </c>
      <c r="H888" s="122"/>
      <c r="I888" s="122"/>
      <c r="J888" s="122"/>
      <c r="K888"/>
    </row>
    <row r="889" spans="1:11">
      <c r="A889" t="s">
        <v>310</v>
      </c>
      <c r="B889"/>
      <c r="C889"/>
      <c r="D889" s="83" t="e">
        <f>IF(D888=0,0,IF(OR(D846=A837,D846=A838,D846=A840),D844,D844/VLOOKUP(D846,A833:E841,3)))</f>
        <v>#REF!</v>
      </c>
      <c r="E889"/>
      <c r="F889" s="83"/>
      <c r="G889" s="246" t="s">
        <v>311</v>
      </c>
      <c r="H889" s="122"/>
      <c r="I889" s="122"/>
      <c r="J889" s="122"/>
      <c r="K889"/>
    </row>
    <row r="890" spans="1:11">
      <c r="A890" t="s">
        <v>312</v>
      </c>
      <c r="B890"/>
      <c r="C890"/>
      <c r="D890" s="120" t="e">
        <f>IF(D889=0,0,ROUND(D888/D889,1))</f>
        <v>#REF!</v>
      </c>
      <c r="E890" s="83"/>
      <c r="F890" s="83"/>
      <c r="G890" s="246" t="s">
        <v>313</v>
      </c>
      <c r="H890"/>
      <c r="I890"/>
      <c r="J890"/>
      <c r="K890" s="83"/>
    </row>
    <row r="891" spans="1:11">
      <c r="A891"/>
      <c r="B891"/>
      <c r="C891"/>
      <c r="D891"/>
      <c r="E891"/>
      <c r="F891"/>
      <c r="G891"/>
      <c r="H891"/>
      <c r="I891"/>
      <c r="J891"/>
      <c r="K891"/>
    </row>
    <row r="892" spans="1:11">
      <c r="A892" t="s">
        <v>369</v>
      </c>
      <c r="B892"/>
      <c r="C892"/>
      <c r="D892" s="121" t="e">
        <f>MIN(G854,G857)</f>
        <v>#REF!</v>
      </c>
      <c r="E892"/>
      <c r="F892"/>
      <c r="G892" s="246" t="s">
        <v>315</v>
      </c>
      <c r="H892"/>
      <c r="I892"/>
      <c r="J892"/>
      <c r="K892"/>
    </row>
    <row r="893" spans="1:11">
      <c r="A893" t="s">
        <v>288</v>
      </c>
      <c r="B893"/>
      <c r="C893"/>
      <c r="D893" s="121" t="e">
        <f>IF(OR(E854="",E854=0,A854=FALSE),"",ROUND(((D854-C854)/365)*12,1))</f>
        <v>#REF!</v>
      </c>
      <c r="E893"/>
      <c r="F893" t="e">
        <f>VLOOKUP(D846,#REF!,4)</f>
        <v>#REF!</v>
      </c>
      <c r="G893" s="246" t="s">
        <v>316</v>
      </c>
      <c r="H893"/>
      <c r="I893"/>
      <c r="J893"/>
      <c r="K893"/>
    </row>
    <row r="894" spans="1:11">
      <c r="A894" t="s">
        <v>317</v>
      </c>
      <c r="B894"/>
      <c r="C894"/>
      <c r="D894" s="83" t="e">
        <f>IF(OR(D892=0,D892="",D893=0,D893=""),0,ROUND(D892*D893,0))</f>
        <v>#REF!</v>
      </c>
      <c r="E894"/>
      <c r="F894"/>
      <c r="G894" s="246" t="s">
        <v>318</v>
      </c>
      <c r="H894"/>
      <c r="I894"/>
      <c r="J894"/>
      <c r="K894"/>
    </row>
    <row r="895" spans="1:11">
      <c r="A895"/>
      <c r="B895"/>
      <c r="C895"/>
      <c r="D895"/>
      <c r="E895"/>
      <c r="F895"/>
      <c r="G895"/>
      <c r="H895"/>
      <c r="I895"/>
      <c r="J895"/>
      <c r="K895"/>
    </row>
    <row r="896" spans="1:11">
      <c r="A896" s="422" t="s">
        <v>262</v>
      </c>
      <c r="B896" s="422"/>
      <c r="C896" s="422"/>
      <c r="D896" s="422"/>
      <c r="E896" s="422"/>
      <c r="F896" s="422"/>
      <c r="G896" s="422"/>
      <c r="H896" s="422"/>
      <c r="I896" s="422"/>
      <c r="J896" s="422"/>
      <c r="K896" s="422"/>
    </row>
    <row r="897" spans="1:11">
      <c r="A897"/>
      <c r="B897"/>
      <c r="C897"/>
      <c r="D897"/>
      <c r="E897"/>
      <c r="F897"/>
      <c r="G897"/>
      <c r="H897"/>
      <c r="I897"/>
      <c r="J897"/>
      <c r="K897"/>
    </row>
    <row r="898" spans="1:11">
      <c r="A898" s="128" t="s">
        <v>263</v>
      </c>
      <c r="B898" s="128" t="s">
        <v>164</v>
      </c>
      <c r="C898" s="128" t="s">
        <v>264</v>
      </c>
      <c r="D898" s="128" t="s">
        <v>167</v>
      </c>
      <c r="E898" s="128" t="s">
        <v>265</v>
      </c>
      <c r="F898" s="128" t="s">
        <v>266</v>
      </c>
      <c r="G898" s="128" t="s">
        <v>5</v>
      </c>
      <c r="H898" s="128" t="s">
        <v>4</v>
      </c>
      <c r="I898" s="128"/>
      <c r="J898" s="128"/>
      <c r="K898" s="128" t="s">
        <v>267</v>
      </c>
    </row>
    <row r="899" spans="1:11">
      <c r="A899" s="108" t="b">
        <v>1</v>
      </c>
      <c r="B899" s="56" t="e">
        <f>#REF!</f>
        <v>#REF!</v>
      </c>
      <c r="C899" s="109" t="e">
        <f>#REF!</f>
        <v>#REF!</v>
      </c>
      <c r="D899" s="110" t="e">
        <f>#REF!</f>
        <v>#REF!</v>
      </c>
      <c r="E899" s="111" t="e">
        <f>#REF!</f>
        <v>#REF!</v>
      </c>
      <c r="F899" s="100" t="e">
        <f>IF(OR(A899=FALSE,C899=0,E899=0),0,E899*VLOOKUP(B899,$C$37:$D$42,2))</f>
        <v>#REF!</v>
      </c>
      <c r="G899" s="100" t="e">
        <f>IF(AND(C899&lt;&gt;0,D899&lt;&gt;0),0,IF(D899&lt;&gt;0,C899-D899,C899-F899))</f>
        <v>#REF!</v>
      </c>
      <c r="H899" s="101" t="e">
        <f>#REF!</f>
        <v>#REF!</v>
      </c>
      <c r="I899" s="101"/>
      <c r="J899" s="101"/>
      <c r="K899" s="100" t="e">
        <f>IF(A899=FALSE,"",IF(AND(D899&gt;0,E899&gt;0),"Error Dep &amp; Buss",IF(OR(H899=0,H899=""),0,ROUND(G899/H899,0))))</f>
        <v>#REF!</v>
      </c>
    </row>
    <row r="900" spans="1:11">
      <c r="A900" s="57" t="b">
        <v>1</v>
      </c>
      <c r="B900" s="56" t="e">
        <f>#REF!</f>
        <v>#REF!</v>
      </c>
      <c r="C900" s="109" t="e">
        <f>#REF!</f>
        <v>#REF!</v>
      </c>
      <c r="D900" s="110" t="e">
        <f>#REF!</f>
        <v>#REF!</v>
      </c>
      <c r="E900" s="111" t="e">
        <f>#REF!</f>
        <v>#REF!</v>
      </c>
      <c r="F900" s="100" t="e">
        <f>IF(OR(A900=FALSE,C900=0,E900=0),0,E900*VLOOKUP(B900,$C$37:$D$42,2))</f>
        <v>#REF!</v>
      </c>
      <c r="G900" s="100" t="e">
        <f>IF(AND(C900&lt;&gt;0,D900&lt;&gt;0),0,IF(D900&lt;&gt;0,C900-D900,C900-F900))</f>
        <v>#REF!</v>
      </c>
      <c r="H900" s="101" t="e">
        <f>#REF!</f>
        <v>#REF!</v>
      </c>
      <c r="I900" s="101"/>
      <c r="J900" s="101"/>
      <c r="K900" s="100" t="e">
        <f>IF(A900=FALSE,"",IF(AND(D900&gt;0,E900&gt;0),"Error Dep &amp; Buss",IF(OR(H900=0,H900=""),0,ROUND(G900/H900,0))))</f>
        <v>#REF!</v>
      </c>
    </row>
    <row r="901" spans="1:11">
      <c r="A901" s="51" t="s">
        <v>252</v>
      </c>
      <c r="B901" s="98"/>
      <c r="C901" s="99"/>
      <c r="D901" s="99"/>
      <c r="E901" s="111" t="e">
        <f>SUM(E899:E900)</f>
        <v>#REF!</v>
      </c>
      <c r="F901" s="100" t="e">
        <f>SUM(F899:F900)</f>
        <v>#REF!</v>
      </c>
      <c r="G901" s="100" t="e">
        <f>SUM(G899:G900)</f>
        <v>#REF!</v>
      </c>
      <c r="H901" s="101" t="e">
        <f>SUM(H899:H900)</f>
        <v>#REF!</v>
      </c>
      <c r="I901" s="101"/>
      <c r="J901" s="101"/>
      <c r="K901" s="100">
        <f>IF(ISERROR(G901/H901),0,IF(AND(A899=TRUE,A900=TRUE),ROUND(G901/H901,0),IF(AND(A899=TRUE,A900=FALSE),K899,IF(AND(A899=FALSE,A900=TRUE),K900,0))))</f>
        <v>0</v>
      </c>
    </row>
    <row r="902" spans="1:11">
      <c r="A902"/>
      <c r="B902"/>
      <c r="C902"/>
      <c r="D902"/>
      <c r="E902"/>
      <c r="F902"/>
      <c r="G902"/>
      <c r="H902"/>
      <c r="I902"/>
      <c r="J902"/>
      <c r="K902"/>
    </row>
    <row r="903" spans="1:11">
      <c r="A903" t="s">
        <v>268</v>
      </c>
      <c r="B903"/>
      <c r="C903"/>
      <c r="D903" t="b">
        <v>1</v>
      </c>
      <c r="E903"/>
      <c r="F903"/>
      <c r="G903" s="246" t="s">
        <v>269</v>
      </c>
      <c r="H903"/>
      <c r="I903"/>
      <c r="J903"/>
      <c r="K903"/>
    </row>
    <row r="904" spans="1:11">
      <c r="A904"/>
      <c r="B904"/>
      <c r="C904"/>
      <c r="D904"/>
      <c r="E904"/>
      <c r="F904"/>
      <c r="G904"/>
      <c r="H904"/>
      <c r="I904"/>
      <c r="J904"/>
      <c r="K904"/>
    </row>
    <row r="905" spans="1:11">
      <c r="A905" s="422" t="s">
        <v>370</v>
      </c>
      <c r="B905" s="422"/>
      <c r="C905" s="422"/>
      <c r="D905" s="422"/>
      <c r="E905" s="422"/>
      <c r="F905" s="422"/>
      <c r="G905" s="422"/>
      <c r="H905" s="422"/>
      <c r="I905" s="422"/>
      <c r="J905" s="422"/>
      <c r="K905" s="422"/>
    </row>
    <row r="906" spans="1:11">
      <c r="A906"/>
      <c r="B906"/>
      <c r="C906"/>
      <c r="D906"/>
      <c r="E906"/>
      <c r="F906"/>
      <c r="G906"/>
      <c r="H906"/>
      <c r="I906"/>
      <c r="J906"/>
      <c r="K906"/>
    </row>
    <row r="907" spans="1:11">
      <c r="A907"/>
      <c r="B907"/>
      <c r="C907"/>
      <c r="D907" s="39">
        <v>2016</v>
      </c>
      <c r="E907"/>
      <c r="F907"/>
      <c r="G907"/>
      <c r="H907"/>
      <c r="I907"/>
      <c r="J907"/>
      <c r="K907"/>
    </row>
    <row r="908" spans="1:11">
      <c r="A908" t="s">
        <v>371</v>
      </c>
      <c r="B908"/>
      <c r="C908"/>
      <c r="D908">
        <v>253.63</v>
      </c>
      <c r="E908"/>
      <c r="F908"/>
      <c r="G908" s="82"/>
      <c r="H908"/>
      <c r="I908"/>
      <c r="J908"/>
      <c r="K908"/>
    </row>
    <row r="909" spans="1:11">
      <c r="A909" t="s">
        <v>372</v>
      </c>
      <c r="B909"/>
      <c r="C909"/>
      <c r="D909">
        <v>368.29</v>
      </c>
      <c r="E909"/>
      <c r="F909"/>
      <c r="G909" s="82"/>
      <c r="H909"/>
      <c r="I909"/>
      <c r="J909"/>
      <c r="K909"/>
    </row>
    <row r="910" spans="1:11">
      <c r="A910"/>
      <c r="B910"/>
      <c r="C910"/>
      <c r="D910"/>
      <c r="E910"/>
      <c r="F910"/>
      <c r="G910" s="82"/>
      <c r="H910"/>
      <c r="I910"/>
      <c r="J910"/>
      <c r="K910"/>
    </row>
    <row r="911" spans="1:11">
      <c r="A911" t="s">
        <v>373</v>
      </c>
      <c r="B911"/>
      <c r="C911"/>
      <c r="D911" s="83" t="e">
        <f>#REF!</f>
        <v>#REF!</v>
      </c>
      <c r="E911"/>
      <c r="F911"/>
      <c r="G911" s="82"/>
      <c r="H911"/>
      <c r="I911"/>
      <c r="J911"/>
      <c r="K911"/>
    </row>
    <row r="912" spans="1:11">
      <c r="A912"/>
      <c r="B912"/>
      <c r="C912"/>
      <c r="D912" s="83"/>
      <c r="E912"/>
      <c r="F912"/>
      <c r="G912" s="82"/>
      <c r="H912"/>
      <c r="I912"/>
      <c r="J912"/>
      <c r="K912"/>
    </row>
    <row r="913" spans="1:11">
      <c r="A913" t="s">
        <v>374</v>
      </c>
      <c r="B913"/>
      <c r="C913"/>
      <c r="D913" t="e">
        <f ca="1">IF(D911=0,CONCATENATE("BAS rate for year ",YEAR(TODAY())),IF(D911&lt;350,CONCATENATE("BAS rate for Officers for year ",YEAR(TODAY())),CONCATENATE("BAS rate for Enlisted Personnal for year ",YEAR(TODAY()))))</f>
        <v>#REF!</v>
      </c>
      <c r="E913"/>
      <c r="F913"/>
      <c r="G913"/>
      <c r="H913"/>
      <c r="I913"/>
      <c r="J913"/>
      <c r="K913"/>
    </row>
    <row r="914" spans="1:11">
      <c r="A914"/>
      <c r="B914"/>
      <c r="C914"/>
      <c r="D914"/>
      <c r="E914"/>
      <c r="F914"/>
      <c r="G914"/>
      <c r="H914"/>
      <c r="I914"/>
      <c r="J914"/>
      <c r="K914"/>
    </row>
    <row r="915" spans="1:11">
      <c r="A915" s="422" t="s">
        <v>270</v>
      </c>
      <c r="B915" s="422"/>
      <c r="C915" s="422"/>
      <c r="D915" s="422"/>
      <c r="E915" s="422"/>
      <c r="F915" s="422"/>
      <c r="G915" s="422"/>
      <c r="H915" s="422"/>
      <c r="I915" s="422"/>
      <c r="J915" s="422"/>
      <c r="K915" s="422"/>
    </row>
    <row r="916" spans="1:11">
      <c r="A916"/>
      <c r="B916"/>
      <c r="C916"/>
      <c r="D916"/>
      <c r="E916"/>
      <c r="F916"/>
      <c r="G916"/>
      <c r="H916"/>
      <c r="I916"/>
      <c r="J916"/>
      <c r="K916"/>
    </row>
    <row r="917" spans="1:11">
      <c r="A917" t="s">
        <v>271</v>
      </c>
      <c r="B917"/>
      <c r="C917"/>
      <c r="D917" s="86" t="e">
        <f>G857</f>
        <v>#REF!</v>
      </c>
      <c r="E917"/>
      <c r="F917" t="e">
        <f>IF(OR(D856=A847,D856=A848,D856=A850),CONCATENATE("total average earnings for the past ",I857," months"),"(lower of Current Rate or YTD avg, or explanation provided)")</f>
        <v>#REF!</v>
      </c>
      <c r="G917"/>
      <c r="H917"/>
      <c r="I917"/>
      <c r="J917"/>
      <c r="K917"/>
    </row>
    <row r="918" spans="1:11">
      <c r="A918" t="s">
        <v>375</v>
      </c>
      <c r="B918"/>
      <c r="C918"/>
      <c r="D918" s="86" t="e">
        <f>ROUND(#REF!+(#REF!*#REF!),0)</f>
        <v>#REF!</v>
      </c>
      <c r="E918"/>
      <c r="F918"/>
      <c r="G918"/>
      <c r="H918"/>
      <c r="I918"/>
      <c r="J918"/>
      <c r="K918"/>
    </row>
    <row r="919" spans="1:11">
      <c r="A919" t="s">
        <v>376</v>
      </c>
      <c r="B919"/>
      <c r="C919"/>
      <c r="D919" s="86" t="e">
        <f>ROUND(#REF!+(#REF!*#REF!),0)</f>
        <v>#REF!</v>
      </c>
      <c r="E919"/>
      <c r="F919"/>
      <c r="G919"/>
      <c r="H919"/>
      <c r="I919"/>
      <c r="J919"/>
      <c r="K919"/>
    </row>
    <row r="920" spans="1:11">
      <c r="A920" t="s">
        <v>272</v>
      </c>
      <c r="B920"/>
      <c r="C920"/>
      <c r="D920" s="86">
        <f>IF(K901=0,0,IF(D903=TRUE,K901,0))</f>
        <v>0</v>
      </c>
      <c r="E920"/>
      <c r="F920"/>
      <c r="G920"/>
      <c r="H920"/>
      <c r="I920"/>
      <c r="J920"/>
      <c r="K920"/>
    </row>
    <row r="921" spans="1:11">
      <c r="A921" t="s">
        <v>273</v>
      </c>
      <c r="B921"/>
      <c r="C921"/>
      <c r="D921" s="86" t="e">
        <f>#REF!</f>
        <v>#REF!</v>
      </c>
      <c r="E921"/>
      <c r="F921"/>
      <c r="G921"/>
      <c r="H921"/>
      <c r="I921"/>
      <c r="J921"/>
      <c r="K921"/>
    </row>
    <row r="922" spans="1:11">
      <c r="A922" t="s">
        <v>274</v>
      </c>
      <c r="B922"/>
      <c r="C922"/>
      <c r="D922" s="86" t="e">
        <f>SUM(D917:D921)</f>
        <v>#REF!</v>
      </c>
      <c r="E922"/>
      <c r="F922"/>
      <c r="G922"/>
      <c r="H922"/>
      <c r="I922"/>
      <c r="J922"/>
      <c r="K922"/>
    </row>
    <row r="923" spans="1:11">
      <c r="A923"/>
      <c r="B923" s="83"/>
      <c r="C923" s="112"/>
      <c r="D923" s="113"/>
      <c r="E923"/>
      <c r="F923"/>
      <c r="G923"/>
      <c r="H923"/>
      <c r="I923"/>
      <c r="J923"/>
      <c r="K923"/>
    </row>
    <row r="924" spans="1:11">
      <c r="A924" s="422" t="s">
        <v>319</v>
      </c>
      <c r="B924" s="422"/>
      <c r="C924" s="422"/>
      <c r="D924" s="422"/>
      <c r="E924" s="422"/>
      <c r="F924" s="422"/>
      <c r="G924" s="422"/>
      <c r="H924" s="422"/>
      <c r="I924" s="422"/>
      <c r="J924" s="422"/>
      <c r="K924" s="422"/>
    </row>
    <row r="925" spans="1:11">
      <c r="A925"/>
      <c r="B925" s="83"/>
      <c r="C925" s="112"/>
      <c r="D925" s="113"/>
      <c r="E925"/>
      <c r="F925"/>
      <c r="G925"/>
      <c r="H925"/>
      <c r="I925"/>
      <c r="J925"/>
      <c r="K925"/>
    </row>
    <row r="926" spans="1:11">
      <c r="A926" t="s">
        <v>320</v>
      </c>
      <c r="B926" s="83"/>
      <c r="C926" s="112"/>
      <c r="D926" t="e">
        <f>IF(AND(E854=0,E855=0,E856=0),"Variances in annual earnings to be determined",IF(AND(E854&gt;0,E855&gt;0,E856&gt;0),CONCATENATE("Variances in annual earnings:  ",D859," &amp; ",D860),IF(AND(E854&gt;0,E855&gt;0,E856=0),CONCATENATE("Variances in annual earnings:  ",D860),IF(AND(E854=0,E855&gt;0,E856&gt;0),CONCATENATE("Variances in annual earnings:  ",D859),IF(AND(E854&gt;0,E855=0,E856&gt;0),CONCATENATE("Variances in annual earnings:  ",D861),"")))))</f>
        <v>#REF!</v>
      </c>
      <c r="E926"/>
      <c r="F926"/>
      <c r="G926"/>
      <c r="H926"/>
      <c r="I926"/>
      <c r="J926"/>
      <c r="K926"/>
    </row>
    <row r="927" spans="1:11">
      <c r="A927" t="s">
        <v>331</v>
      </c>
      <c r="B927"/>
      <c r="C927"/>
      <c r="D927" t="e">
        <f>IF(AND(E854=0,E855=0,E856=0),"Years included in Total Qualifying Income calculations to be determined",CONCATENATE("Total qualifying income determined with earnings from ",IF(AND(M854=TRUE,M855=TRUE,M856=TRUE),CONCATENATE("YTD ",B854,", Year ",B855,", and Year ",B856),IF(AND(M854=TRUE,M855=TRUE,M856=FALSE),CONCATENATE("YTD ",B854,", and Year ",B855),IF(AND(M854=TRUE,M855=FALSE,M856=TRUE),CONCATENATE("YTD ",B854," and Year ",B856),IF(AND(M854=FALSE,M855=TRUE,M856=TRUE),CONCATENATE("Year ",B855," and Year ",B856),IF(AND(M854=FALSE,M855=TRUE,M856=FALSE),CONCATENATE("Year ",B855),IF(AND(A854=FALSE,A855=FALSE,A856=TRUE),CONCATENATE("Year ",B856),))))))))</f>
        <v>#REF!</v>
      </c>
      <c r="E927"/>
      <c r="F927"/>
      <c r="G927"/>
      <c r="H927"/>
      <c r="I927"/>
      <c r="J927"/>
      <c r="K927"/>
    </row>
    <row r="928" spans="1:11">
      <c r="A928" t="s">
        <v>332</v>
      </c>
      <c r="B928"/>
      <c r="C928"/>
      <c r="D928" t="e">
        <f>IF(AND(E854=0,E855=0,E856=0),"Average weekly hours worked to be determined",IF(OR(D844=0,D844="",D846=A838,D846=A840),"Average weekly hours worked vary.",CONCATENATE("YTD earnings, at current rate of pay, reflect borrower is working an average of ",TEXT(D890,"##.0")," hours weekly.")))</f>
        <v>#REF!</v>
      </c>
      <c r="E928"/>
      <c r="F928"/>
      <c r="G928"/>
      <c r="H928"/>
      <c r="I928"/>
      <c r="J928"/>
      <c r="K928"/>
    </row>
    <row r="929" spans="1:11">
      <c r="A929" t="s">
        <v>333</v>
      </c>
      <c r="B929"/>
      <c r="C929"/>
      <c r="D929" t="e">
        <f>IF(OR(C854="",D894=0),"Expected amount of YTD earnings to be determined.",VLOOKUP(D846,A833:E841,5))</f>
        <v>#REF!</v>
      </c>
      <c r="E929"/>
      <c r="F929"/>
      <c r="G929"/>
      <c r="H929"/>
      <c r="I929"/>
      <c r="J929"/>
      <c r="K929"/>
    </row>
    <row r="930" spans="1:11">
      <c r="A930" t="s">
        <v>334</v>
      </c>
      <c r="B930" s="83"/>
      <c r="C930" s="112"/>
      <c r="D930" t="e">
        <f>IF(F857=0,"Total Average Base Earnings and period covered to be determined",CONCATENATE("Total Average Base Earnings For The Past ",Data_Income!I857," Months = ",DOLLAR(ROUND(J857,0),2)))</f>
        <v>#REF!</v>
      </c>
      <c r="E930"/>
      <c r="F930"/>
      <c r="G930"/>
      <c r="H930"/>
      <c r="I930"/>
      <c r="J930"/>
      <c r="K930"/>
    </row>
    <row r="932" spans="1:11" ht="16.149999999999999" customHeight="1">
      <c r="A932" s="448" t="s">
        <v>377</v>
      </c>
      <c r="B932" s="448"/>
      <c r="C932" s="448"/>
      <c r="D932" s="448"/>
      <c r="E932" s="448"/>
      <c r="F932" s="448"/>
      <c r="G932" s="448"/>
      <c r="H932" s="448"/>
      <c r="I932" s="448"/>
      <c r="J932" s="448"/>
      <c r="K932" s="448"/>
    </row>
    <row r="934" spans="1:11">
      <c r="A934" s="1" t="s">
        <v>378</v>
      </c>
    </row>
    <row r="936" spans="1:11" ht="16.149999999999999" customHeight="1">
      <c r="A936" s="448" t="s">
        <v>379</v>
      </c>
      <c r="B936" s="448"/>
      <c r="C936" s="448"/>
      <c r="D936" s="448"/>
      <c r="E936" s="448"/>
      <c r="F936" s="448"/>
      <c r="G936" s="448"/>
      <c r="H936" s="448"/>
      <c r="I936" s="448"/>
      <c r="J936" s="448"/>
      <c r="K936" s="448"/>
    </row>
    <row r="938" spans="1:11">
      <c r="A938" s="442" t="s">
        <v>380</v>
      </c>
      <c r="B938" s="443"/>
      <c r="C938" s="129" t="s">
        <v>381</v>
      </c>
    </row>
    <row r="939" spans="1:11">
      <c r="A939" s="444" t="s">
        <v>382</v>
      </c>
      <c r="B939" s="445"/>
      <c r="C939" s="130">
        <f>'Back-to-Work'!CK11</f>
        <v>0</v>
      </c>
    </row>
    <row r="940" spans="1:11">
      <c r="A940" s="446" t="s">
        <v>383</v>
      </c>
      <c r="B940" s="447"/>
      <c r="C940" s="130">
        <f>C939+1</f>
        <v>1</v>
      </c>
    </row>
    <row r="941" spans="1:11">
      <c r="A941" s="446" t="s">
        <v>384</v>
      </c>
      <c r="B941" s="447"/>
      <c r="C941" s="130">
        <f>EDATE(C940,6)</f>
        <v>183</v>
      </c>
    </row>
    <row r="943" spans="1:11">
      <c r="A943" s="129" t="s">
        <v>385</v>
      </c>
      <c r="B943" s="129" t="s">
        <v>386</v>
      </c>
      <c r="C943" s="129" t="s">
        <v>387</v>
      </c>
      <c r="D943" s="129" t="s">
        <v>4</v>
      </c>
      <c r="E943" s="129" t="s">
        <v>267</v>
      </c>
    </row>
    <row r="944" spans="1:11">
      <c r="A944" s="32" t="s">
        <v>388</v>
      </c>
      <c r="B944" s="131">
        <f>'Back-to-Work'!CK12</f>
        <v>0</v>
      </c>
      <c r="C944" s="131">
        <f>'Back-to-Work'!CK19</f>
        <v>0</v>
      </c>
      <c r="D944" s="132">
        <f>IF(OR(B944=0,C944=0),0,((C941-C939)/365)*12)</f>
        <v>0</v>
      </c>
      <c r="E944" s="131">
        <f>IF(OR(B944=0,C944=0),0,C944/D944)</f>
        <v>0</v>
      </c>
    </row>
    <row r="945" spans="1:11">
      <c r="A945" s="35" t="s">
        <v>389</v>
      </c>
      <c r="B945" s="131">
        <f>'Back-to-Work'!CK13</f>
        <v>0</v>
      </c>
      <c r="C945" s="131">
        <f>'Back-to-Work'!CK20</f>
        <v>0</v>
      </c>
      <c r="D945" s="132">
        <f>IF(OR(B945=0,C945=0),0,((C941-C939)/365)*12)</f>
        <v>0</v>
      </c>
      <c r="E945" s="131">
        <f>IF(OR(B945=0,C945=0),0,C945/D945)</f>
        <v>0</v>
      </c>
    </row>
    <row r="946" spans="1:11">
      <c r="A946" s="35" t="s">
        <v>252</v>
      </c>
      <c r="B946" s="133">
        <f>SUM(B944:B945)</f>
        <v>0</v>
      </c>
      <c r="C946" s="133">
        <f>SUM(C944:C945)</f>
        <v>0</v>
      </c>
      <c r="D946" s="134">
        <f>IF(OR(B946=0,C946=0),0,((C941-C939)/365)*12)</f>
        <v>0</v>
      </c>
      <c r="E946" s="131">
        <f>IF(OR(B946=0,C946=0),0,ROUND(C946/D946,0))</f>
        <v>0</v>
      </c>
      <c r="F946" s="116" t="str">
        <f>IF(OR(B946=0,C946=0)," ",(B946-E946)/B946)</f>
        <v/>
      </c>
    </row>
    <row r="948" spans="1:11">
      <c r="A948" s="1" t="s">
        <v>390</v>
      </c>
      <c r="B948" s="1" t="str">
        <f>IF(C939=""," ",CONCATENATE(" Borrower's total income beginning on ",MONTH(C940),"/",DAY(C940),"/",YEAR(C940)," and ending on ",MONTH(C941),"/",DAY(C941),"/",YEAR(C941)))</f>
        <v>Borrower's total income beginning on 1/1/1900 and ending on 7/1/1900</v>
      </c>
      <c r="G948" s="249" t="s">
        <v>391</v>
      </c>
      <c r="H948" s="135"/>
      <c r="I948" s="135"/>
      <c r="J948" s="135"/>
    </row>
    <row r="949" spans="1:11">
      <c r="A949" s="1" t="s">
        <v>392</v>
      </c>
      <c r="B949" s="1" t="str">
        <f>IF(C939=""," ",CONCATENATE(" Other household total income beginning on ",MONTH(C940),"/",DAY(C940),"/",YEAR(C940)," and ending on ",MONTH(C941),"/",DAY(C941),"/",YEAR(C941)))</f>
        <v>Other household total income beginning on 1/1/1900 and ending on 7/1/1900</v>
      </c>
      <c r="G949" s="249" t="s">
        <v>393</v>
      </c>
    </row>
    <row r="950" spans="1:11">
      <c r="A950" s="1" t="s">
        <v>394</v>
      </c>
      <c r="B950" s="1" t="str">
        <f>IF(C939=""," ",CONCATENATE(" Grand Total Household Income beginning on ",MONTH(C940),"/",DAY(C940),"/",YEAR(C940)," and ending on ",MONTH(C941),"/",DAY(C941),"/",YEAR(C941)))</f>
        <v>Grand Total Household Income beginning on 1/1/1900 and ending on 7/1/1900</v>
      </c>
      <c r="G950" s="249" t="s">
        <v>395</v>
      </c>
    </row>
    <row r="951" spans="1:11">
      <c r="A951" s="1" t="s">
        <v>396</v>
      </c>
      <c r="B951" s="1" t="str">
        <f>IF(C939=""," ",CONCATENATE(" Grand Total Household Monthly Income Average for the period of ",MONTH(C940),"/",DAY(C940),"/",YEAR(C940)," to ",MONTH(C941),"/",DAY(C941),"/",YEAR(C941)))</f>
        <v>Grand Total Household Monthly Income Average for the period of 1/1/1900 to 7/1/1900</v>
      </c>
      <c r="G951" s="249" t="s">
        <v>397</v>
      </c>
    </row>
    <row r="953" spans="1:11">
      <c r="A953" s="1" t="s">
        <v>398</v>
      </c>
      <c r="B953" s="1" t="str">
        <f>IF(F946=" "," ",CONCATENATE("Based on figures above, it appears the Economic Event caused a reduction in borrower's household income of ",ROUND(F946*100,1),"% for a period of ",ROUND(((C941-C939)/365)*12,1)," months following the economic event."))</f>
        <v/>
      </c>
      <c r="G953" s="249" t="s">
        <v>399</v>
      </c>
    </row>
    <row r="954" spans="1:11">
      <c r="A954" s="1" t="s">
        <v>400</v>
      </c>
      <c r="B954" s="1" t="str">
        <f>IF(F946=" "," ",IF(F946&gt;19.99%,B956,B957))</f>
        <v/>
      </c>
      <c r="G954" s="249" t="s">
        <v>401</v>
      </c>
    </row>
    <row r="956" spans="1:11">
      <c r="A956" s="1" t="s">
        <v>402</v>
      </c>
      <c r="B956" s="1" t="s">
        <v>403</v>
      </c>
    </row>
    <row r="957" spans="1:11">
      <c r="A957" s="1" t="s">
        <v>404</v>
      </c>
      <c r="B957" s="1" t="s">
        <v>405</v>
      </c>
    </row>
    <row r="959" spans="1:11" ht="15">
      <c r="A959" s="448" t="s">
        <v>406</v>
      </c>
      <c r="B959" s="448"/>
      <c r="C959" s="448"/>
      <c r="D959" s="448"/>
      <c r="E959" s="448"/>
      <c r="F959" s="448"/>
      <c r="G959" s="448"/>
      <c r="H959" s="448"/>
      <c r="I959" s="448"/>
      <c r="J959" s="448"/>
      <c r="K959" s="448"/>
    </row>
    <row r="961" spans="1:4">
      <c r="A961" s="1" t="s">
        <v>407</v>
      </c>
      <c r="C961" s="136" t="e">
        <f>#REF!</f>
        <v>#REF!</v>
      </c>
      <c r="D961" s="137" t="e">
        <f>#REF!</f>
        <v>#REF!</v>
      </c>
    </row>
    <row r="962" spans="1:4">
      <c r="A962" s="138" t="s">
        <v>408</v>
      </c>
      <c r="C962" s="139" t="e">
        <f>#REF!</f>
        <v>#REF!</v>
      </c>
      <c r="D962" s="139" t="e">
        <f>#REF!</f>
        <v>#REF!</v>
      </c>
    </row>
    <row r="963" spans="1:4">
      <c r="A963" s="138" t="s">
        <v>409</v>
      </c>
      <c r="C963" s="139" t="e">
        <f>#REF!+#REF!</f>
        <v>#REF!</v>
      </c>
      <c r="D963" s="139" t="e">
        <f>#REF!+#REF!</f>
        <v>#REF!</v>
      </c>
    </row>
    <row r="964" spans="1:4">
      <c r="A964" s="138" t="s">
        <v>410</v>
      </c>
      <c r="C964" s="139" t="e">
        <f>(SUM(#REF!)+#REF!+#REF!)-#REF!</f>
        <v>#REF!</v>
      </c>
      <c r="D964" s="139" t="e">
        <f>(SUM(#REF!)+#REF!+#REF!)-#REF!</f>
        <v>#REF!</v>
      </c>
    </row>
    <row r="965" spans="1:4">
      <c r="A965" s="138" t="s">
        <v>411</v>
      </c>
      <c r="C965" s="139" t="e">
        <f>#REF!</f>
        <v>#REF!</v>
      </c>
      <c r="D965" s="139" t="e">
        <f>#REF!</f>
        <v>#REF!</v>
      </c>
    </row>
    <row r="966" spans="1:4">
      <c r="A966" s="138" t="s">
        <v>412</v>
      </c>
      <c r="C966" s="139" t="e">
        <f>(#REF!+#REF!)-#REF!</f>
        <v>#REF!</v>
      </c>
      <c r="D966" s="139" t="e">
        <f>(#REF!+#REF!)-#REF!</f>
        <v>#REF!</v>
      </c>
    </row>
    <row r="967" spans="1:4">
      <c r="A967" s="138" t="s">
        <v>413</v>
      </c>
      <c r="C967" s="139" t="e">
        <f>SUM(#REF!)</f>
        <v>#REF!</v>
      </c>
      <c r="D967" s="139" t="e">
        <f>SUM(#REF!)</f>
        <v>#REF!</v>
      </c>
    </row>
    <row r="968" spans="1:4">
      <c r="A968" s="138"/>
      <c r="C968" s="139"/>
      <c r="D968" s="139"/>
    </row>
    <row r="969" spans="1:4">
      <c r="A969" s="138" t="s">
        <v>414</v>
      </c>
      <c r="C969" s="139" t="e">
        <f>SUM(#REF!)</f>
        <v>#REF!</v>
      </c>
      <c r="D969" s="139" t="e">
        <f>SUM(#REF!)</f>
        <v>#REF!</v>
      </c>
    </row>
    <row r="970" spans="1:4">
      <c r="A970" s="138"/>
      <c r="C970" s="139"/>
      <c r="D970" s="139"/>
    </row>
    <row r="971" spans="1:4">
      <c r="A971" s="138" t="s">
        <v>415</v>
      </c>
      <c r="C971" s="139" t="e">
        <f>SUM(#REF!)-(#REF!+#REF!)</f>
        <v>#REF!</v>
      </c>
      <c r="D971" s="139" t="e">
        <f>SUM(#REF!)-(#REF!+#REF!)</f>
        <v>#REF!</v>
      </c>
    </row>
    <row r="972" spans="1:4">
      <c r="A972" s="138" t="s">
        <v>416</v>
      </c>
      <c r="C972" s="140" t="e">
        <f>#REF!</f>
        <v>#REF!</v>
      </c>
      <c r="D972" s="140" t="e">
        <f>#REF!</f>
        <v>#REF!</v>
      </c>
    </row>
    <row r="973" spans="1:4">
      <c r="A973" s="138" t="s">
        <v>417</v>
      </c>
      <c r="C973" s="139" t="e">
        <f>C971*C972</f>
        <v>#REF!</v>
      </c>
      <c r="D973" s="139" t="e">
        <f>D971*D972</f>
        <v>#REF!</v>
      </c>
    </row>
    <row r="974" spans="1:4">
      <c r="A974" s="138"/>
      <c r="C974" s="139"/>
      <c r="D974" s="139"/>
    </row>
    <row r="975" spans="1:4">
      <c r="A975" s="138" t="s">
        <v>418</v>
      </c>
      <c r="C975" s="139" t="e">
        <f>#REF!+#REF!</f>
        <v>#REF!</v>
      </c>
      <c r="D975" s="139" t="e">
        <f>#REF!+#REF!</f>
        <v>#REF!</v>
      </c>
    </row>
    <row r="976" spans="1:4">
      <c r="A976" s="138"/>
      <c r="C976" s="139"/>
      <c r="D976" s="139"/>
    </row>
    <row r="977" spans="1:9">
      <c r="A977" s="138" t="s">
        <v>419</v>
      </c>
      <c r="C977" s="139" t="e">
        <f>SUM(#REF!)-(#REF!+#REF!)</f>
        <v>#REF!</v>
      </c>
      <c r="D977" s="139" t="e">
        <f>SUM(#REF!)-(#REF!+#REF!)</f>
        <v>#REF!</v>
      </c>
    </row>
    <row r="978" spans="1:9">
      <c r="A978" s="138" t="s">
        <v>420</v>
      </c>
      <c r="C978" s="140" t="e">
        <f>#REF!</f>
        <v>#REF!</v>
      </c>
      <c r="D978" s="140" t="e">
        <f>#REF!</f>
        <v>#REF!</v>
      </c>
    </row>
    <row r="979" spans="1:9">
      <c r="A979" s="138" t="s">
        <v>421</v>
      </c>
      <c r="C979" s="139" t="e">
        <f>C977*C978</f>
        <v>#REF!</v>
      </c>
      <c r="D979" s="139" t="e">
        <f>D977*D978</f>
        <v>#REF!</v>
      </c>
    </row>
    <row r="980" spans="1:9">
      <c r="A980" s="138"/>
      <c r="C980" s="139"/>
      <c r="D980" s="139"/>
    </row>
    <row r="981" spans="1:9">
      <c r="A981" s="138" t="s">
        <v>422</v>
      </c>
      <c r="C981" s="139" t="e">
        <f>(#REF!+SUM(#REF!))-(#REF!+#REF!+#REF!)</f>
        <v>#REF!</v>
      </c>
      <c r="D981" s="139" t="e">
        <f>(#REF!+SUM(#REF!))-(#REF!+#REF!+#REF!)</f>
        <v>#REF!</v>
      </c>
    </row>
    <row r="982" spans="1:9">
      <c r="A982" s="138" t="s">
        <v>423</v>
      </c>
      <c r="C982" s="139" t="e">
        <f>#REF!</f>
        <v>#REF!</v>
      </c>
      <c r="D982" s="139" t="e">
        <f>#REF!</f>
        <v>#REF!</v>
      </c>
    </row>
    <row r="983" spans="1:9">
      <c r="A983" s="138" t="s">
        <v>424</v>
      </c>
      <c r="C983" s="139" t="e">
        <f>C981-C982</f>
        <v>#REF!</v>
      </c>
      <c r="D983" s="139" t="e">
        <f>D981-D982</f>
        <v>#REF!</v>
      </c>
    </row>
    <row r="984" spans="1:9">
      <c r="A984" s="138"/>
    </row>
    <row r="985" spans="1:9">
      <c r="A985" s="1" t="s">
        <v>252</v>
      </c>
      <c r="D985" s="4" t="e">
        <f>#REF!</f>
        <v>#REF!</v>
      </c>
      <c r="F985" s="4" t="e">
        <f>#REF!</f>
        <v>#REF!</v>
      </c>
    </row>
    <row r="986" spans="1:9">
      <c r="A986" s="138" t="s">
        <v>425</v>
      </c>
      <c r="D986" s="1" t="b">
        <v>1</v>
      </c>
      <c r="E986" s="141" t="e">
        <f t="shared" ref="E986:E991" si="10">IF(D986=TRUE,C962,0)</f>
        <v>#REF!</v>
      </c>
      <c r="F986" s="1" t="b">
        <v>1</v>
      </c>
      <c r="G986" s="141" t="e">
        <f t="shared" ref="G986:G991" si="11">IF(F986=TRUE,D962,0)</f>
        <v>#REF!</v>
      </c>
      <c r="H986" s="4">
        <f>IF(AND(D986=FALSE,F986=TRUE),12,IF(AND(D986=TRUE,F986=FALSE),12,IF(AND(D986=TRUE,F986=TRUE),24,0)))</f>
        <v>24</v>
      </c>
      <c r="I986" s="141" t="e">
        <f>IF(H986=0,0,(E986+G986)/H986)</f>
        <v>#REF!</v>
      </c>
    </row>
    <row r="987" spans="1:9">
      <c r="A987" s="138" t="s">
        <v>426</v>
      </c>
      <c r="D987" s="1" t="b">
        <v>0</v>
      </c>
      <c r="E987" s="141">
        <f t="shared" si="10"/>
        <v>0</v>
      </c>
      <c r="F987" s="1" t="b">
        <v>0</v>
      </c>
      <c r="G987" s="141">
        <f t="shared" si="11"/>
        <v>0</v>
      </c>
      <c r="H987" s="4">
        <f t="shared" ref="H987:H996" si="12">IF(AND(D987=FALSE,F987=TRUE),12,IF(AND(D987=TRUE,F987=FALSE),12,IF(AND(D987=TRUE,F987=TRUE),24,0)))</f>
        <v>0</v>
      </c>
      <c r="I987" s="141">
        <f t="shared" ref="I987:I996" si="13">IF(H987=0,0,(E987+G987)/H987)</f>
        <v>0</v>
      </c>
    </row>
    <row r="988" spans="1:9">
      <c r="A988" s="138" t="s">
        <v>427</v>
      </c>
      <c r="D988" s="1" t="b">
        <v>0</v>
      </c>
      <c r="E988" s="141">
        <f t="shared" si="10"/>
        <v>0</v>
      </c>
      <c r="F988" s="1" t="b">
        <v>0</v>
      </c>
      <c r="G988" s="141">
        <f t="shared" si="11"/>
        <v>0</v>
      </c>
      <c r="H988" s="4">
        <f t="shared" si="12"/>
        <v>0</v>
      </c>
      <c r="I988" s="141">
        <f t="shared" si="13"/>
        <v>0</v>
      </c>
    </row>
    <row r="989" spans="1:9">
      <c r="A989" s="138" t="s">
        <v>428</v>
      </c>
      <c r="D989" s="1" t="b">
        <v>0</v>
      </c>
      <c r="E989" s="141">
        <f t="shared" si="10"/>
        <v>0</v>
      </c>
      <c r="F989" s="1" t="b">
        <v>0</v>
      </c>
      <c r="G989" s="141">
        <f t="shared" si="11"/>
        <v>0</v>
      </c>
      <c r="H989" s="4">
        <f t="shared" si="12"/>
        <v>0</v>
      </c>
      <c r="I989" s="141">
        <f t="shared" si="13"/>
        <v>0</v>
      </c>
    </row>
    <row r="990" spans="1:9">
      <c r="A990" s="138" t="s">
        <v>429</v>
      </c>
      <c r="D990" s="1" t="b">
        <v>0</v>
      </c>
      <c r="E990" s="141">
        <f t="shared" si="10"/>
        <v>0</v>
      </c>
      <c r="F990" s="1" t="b">
        <v>0</v>
      </c>
      <c r="G990" s="141">
        <f t="shared" si="11"/>
        <v>0</v>
      </c>
      <c r="H990" s="4">
        <f t="shared" si="12"/>
        <v>0</v>
      </c>
      <c r="I990" s="141">
        <f t="shared" si="13"/>
        <v>0</v>
      </c>
    </row>
    <row r="991" spans="1:9">
      <c r="A991" s="138" t="s">
        <v>430</v>
      </c>
      <c r="D991" s="1" t="b">
        <v>0</v>
      </c>
      <c r="E991" s="141">
        <f t="shared" si="10"/>
        <v>0</v>
      </c>
      <c r="F991" s="1" t="b">
        <v>0</v>
      </c>
      <c r="G991" s="141">
        <f t="shared" si="11"/>
        <v>0</v>
      </c>
      <c r="H991" s="4">
        <f t="shared" si="12"/>
        <v>0</v>
      </c>
      <c r="I991" s="141">
        <f t="shared" si="13"/>
        <v>0</v>
      </c>
    </row>
    <row r="992" spans="1:9">
      <c r="A992" s="138" t="s">
        <v>431</v>
      </c>
      <c r="D992" s="1" t="b">
        <v>0</v>
      </c>
      <c r="E992" s="141">
        <f>IF(D992=TRUE,C969,0)</f>
        <v>0</v>
      </c>
      <c r="F992" s="1" t="b">
        <v>0</v>
      </c>
      <c r="G992" s="141">
        <f>IF(F992=TRUE,D969,0)</f>
        <v>0</v>
      </c>
      <c r="H992" s="4">
        <f t="shared" si="12"/>
        <v>0</v>
      </c>
      <c r="I992" s="141">
        <f t="shared" si="13"/>
        <v>0</v>
      </c>
    </row>
    <row r="993" spans="1:66">
      <c r="A993" s="138" t="s">
        <v>432</v>
      </c>
      <c r="D993" s="1" t="b">
        <v>0</v>
      </c>
      <c r="E993" s="141">
        <f>IF(D993=TRUE,C973,0)</f>
        <v>0</v>
      </c>
      <c r="F993" s="1" t="b">
        <v>0</v>
      </c>
      <c r="G993" s="141">
        <f>IF(F993=TRUE,D973,0)</f>
        <v>0</v>
      </c>
      <c r="H993" s="4">
        <f t="shared" si="12"/>
        <v>0</v>
      </c>
      <c r="I993" s="141">
        <f t="shared" si="13"/>
        <v>0</v>
      </c>
    </row>
    <row r="994" spans="1:66">
      <c r="A994" s="138" t="s">
        <v>433</v>
      </c>
      <c r="D994" s="1" t="b">
        <v>0</v>
      </c>
      <c r="E994" s="141">
        <f>IF(D994=TRUE,C975,0)</f>
        <v>0</v>
      </c>
      <c r="F994" s="1" t="b">
        <v>0</v>
      </c>
      <c r="G994" s="141">
        <f>IF(F994=TRUE,D975,0)</f>
        <v>0</v>
      </c>
      <c r="H994" s="4">
        <f t="shared" si="12"/>
        <v>0</v>
      </c>
      <c r="I994" s="141">
        <f t="shared" si="13"/>
        <v>0</v>
      </c>
    </row>
    <row r="995" spans="1:66">
      <c r="A995" s="138" t="s">
        <v>434</v>
      </c>
      <c r="D995" s="1" t="b">
        <v>0</v>
      </c>
      <c r="E995" s="141">
        <f>IF(D995=TRUE,C979,0)</f>
        <v>0</v>
      </c>
      <c r="F995" s="1" t="b">
        <v>1</v>
      </c>
      <c r="G995" s="141" t="e">
        <f>IF(F995=TRUE,D979,0)</f>
        <v>#REF!</v>
      </c>
      <c r="H995" s="4">
        <f t="shared" si="12"/>
        <v>12</v>
      </c>
      <c r="I995" s="141" t="e">
        <f t="shared" si="13"/>
        <v>#REF!</v>
      </c>
    </row>
    <row r="996" spans="1:66">
      <c r="A996" s="138" t="s">
        <v>435</v>
      </c>
      <c r="D996" s="1" t="b">
        <v>0</v>
      </c>
      <c r="E996" s="141">
        <f>IF(D996=TRUE,C983,0)</f>
        <v>0</v>
      </c>
      <c r="F996" s="1" t="b">
        <v>0</v>
      </c>
      <c r="G996" s="141">
        <f>IF(F996=TRUE,D983,0)</f>
        <v>0</v>
      </c>
      <c r="H996" s="4">
        <f t="shared" si="12"/>
        <v>0</v>
      </c>
      <c r="I996" s="141">
        <f t="shared" si="13"/>
        <v>0</v>
      </c>
    </row>
    <row r="997" spans="1:66">
      <c r="A997" s="1" t="s">
        <v>436</v>
      </c>
      <c r="E997" s="141"/>
      <c r="G997" s="141"/>
      <c r="H997" s="4"/>
      <c r="I997" s="141" t="e">
        <f>SUM(I986:I996)</f>
        <v>#REF!</v>
      </c>
    </row>
    <row r="998" spans="1:66">
      <c r="E998" s="141"/>
      <c r="G998" s="141"/>
      <c r="H998" s="4"/>
      <c r="I998" s="141"/>
    </row>
    <row r="999" spans="1:66">
      <c r="A999" s="1" t="s">
        <v>437</v>
      </c>
      <c r="E999" s="142" t="e">
        <f>#REF!</f>
        <v>#REF!</v>
      </c>
      <c r="G999" s="141"/>
      <c r="H999" s="4"/>
      <c r="I999" s="141"/>
    </row>
    <row r="1000" spans="1:66">
      <c r="A1000" s="250" t="s">
        <v>438</v>
      </c>
      <c r="B1000" s="143"/>
      <c r="C1000" s="143"/>
      <c r="D1000" s="143"/>
      <c r="E1000" s="144" t="e">
        <f>#REF!</f>
        <v>#REF!</v>
      </c>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c r="AG1000" s="143"/>
      <c r="AH1000" s="143"/>
      <c r="AI1000" s="143"/>
      <c r="AJ1000" s="143"/>
      <c r="AK1000" s="143"/>
      <c r="AL1000" s="143"/>
      <c r="AM1000" s="143"/>
      <c r="AN1000" s="143"/>
      <c r="AO1000" s="143"/>
      <c r="AP1000" s="143"/>
      <c r="AQ1000" s="143"/>
      <c r="AR1000" s="143"/>
      <c r="AS1000" s="143"/>
      <c r="AT1000" s="143"/>
      <c r="AU1000" s="143"/>
      <c r="AV1000" s="143"/>
      <c r="AW1000" s="143"/>
      <c r="AX1000" s="143"/>
      <c r="AY1000" s="143"/>
      <c r="AZ1000" s="143"/>
      <c r="BA1000" s="143"/>
      <c r="BB1000" s="143"/>
      <c r="BC1000" s="143"/>
      <c r="BD1000" s="143"/>
      <c r="BE1000" s="143"/>
      <c r="BF1000" s="143"/>
      <c r="BG1000" s="143"/>
      <c r="BH1000" s="143"/>
      <c r="BI1000" s="143"/>
      <c r="BJ1000" s="143"/>
      <c r="BK1000" s="143"/>
      <c r="BL1000" s="143"/>
      <c r="BM1000" s="143"/>
      <c r="BN1000" s="143"/>
    </row>
    <row r="1001" spans="1:66">
      <c r="A1001" s="250" t="s">
        <v>439</v>
      </c>
      <c r="B1001" s="143"/>
      <c r="C1001" s="143"/>
      <c r="D1001" s="143"/>
      <c r="E1001" s="144" t="e">
        <f>#REF!</f>
        <v>#REF!</v>
      </c>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c r="AA1001" s="143"/>
      <c r="AB1001" s="143"/>
      <c r="AC1001" s="143"/>
      <c r="AD1001" s="143"/>
      <c r="AE1001" s="143"/>
      <c r="AF1001" s="143"/>
      <c r="AG1001" s="143"/>
      <c r="AH1001" s="143"/>
      <c r="AI1001" s="143"/>
      <c r="AJ1001" s="143"/>
      <c r="AK1001" s="143"/>
      <c r="AL1001" s="143"/>
      <c r="AM1001" s="143"/>
      <c r="AN1001" s="143"/>
      <c r="AO1001" s="143"/>
      <c r="AP1001" s="143"/>
      <c r="AQ1001" s="143"/>
      <c r="AR1001" s="143"/>
      <c r="AS1001" s="143"/>
      <c r="AT1001" s="143"/>
      <c r="AU1001" s="143"/>
      <c r="AV1001" s="143"/>
      <c r="AW1001" s="143"/>
      <c r="AX1001" s="143"/>
      <c r="AY1001" s="143"/>
      <c r="AZ1001" s="143"/>
      <c r="BA1001" s="143"/>
      <c r="BB1001" s="143"/>
      <c r="BC1001" s="143"/>
      <c r="BD1001" s="143"/>
      <c r="BE1001" s="143"/>
      <c r="BF1001" s="143"/>
      <c r="BG1001" s="143"/>
      <c r="BH1001" s="143"/>
      <c r="BI1001" s="143"/>
      <c r="BJ1001" s="143"/>
      <c r="BK1001" s="143"/>
      <c r="BL1001" s="143"/>
      <c r="BM1001" s="143"/>
      <c r="BN1001" s="143"/>
    </row>
    <row r="1002" spans="1:66">
      <c r="A1002" s="250" t="s">
        <v>440</v>
      </c>
      <c r="B1002" s="143"/>
      <c r="C1002" s="143"/>
      <c r="D1002" s="143"/>
      <c r="E1002" s="144" t="e">
        <f>#REF!</f>
        <v>#REF!</v>
      </c>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c r="AA1002" s="143"/>
      <c r="AB1002" s="143"/>
      <c r="AC1002" s="143"/>
      <c r="AD1002" s="143"/>
      <c r="AE1002" s="143"/>
      <c r="AF1002" s="143"/>
      <c r="AG1002" s="143"/>
      <c r="AH1002" s="143"/>
      <c r="AI1002" s="143"/>
      <c r="AJ1002" s="143"/>
      <c r="AK1002" s="143"/>
      <c r="AL1002" s="143"/>
      <c r="AM1002" s="143"/>
      <c r="AN1002" s="143"/>
      <c r="AO1002" s="143"/>
      <c r="AP1002" s="143"/>
      <c r="AQ1002" s="143"/>
      <c r="AR1002" s="143"/>
      <c r="AS1002" s="143"/>
      <c r="AT1002" s="143"/>
      <c r="AU1002" s="143"/>
      <c r="AV1002" s="143"/>
      <c r="AW1002" s="143"/>
      <c r="AX1002" s="143"/>
      <c r="AY1002" s="143"/>
      <c r="AZ1002" s="143"/>
      <c r="BA1002" s="143"/>
      <c r="BB1002" s="143"/>
      <c r="BC1002" s="143"/>
      <c r="BD1002" s="143"/>
      <c r="BE1002" s="143"/>
      <c r="BF1002" s="143"/>
      <c r="BG1002" s="143"/>
      <c r="BH1002" s="143"/>
      <c r="BI1002" s="143"/>
      <c r="BJ1002" s="143"/>
      <c r="BK1002" s="143"/>
      <c r="BL1002" s="143"/>
      <c r="BM1002" s="143"/>
      <c r="BN1002" s="143"/>
    </row>
    <row r="1003" spans="1:66">
      <c r="A1003" s="250" t="s">
        <v>3</v>
      </c>
      <c r="B1003" s="143"/>
      <c r="C1003" s="143"/>
      <c r="D1003" s="143"/>
      <c r="E1003" s="144" t="e">
        <f>SUM(E1000:E1002)</f>
        <v>#REF!</v>
      </c>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c r="AA1003" s="143"/>
      <c r="AB1003" s="143"/>
      <c r="AC1003" s="143"/>
      <c r="AD1003" s="143"/>
      <c r="AE1003" s="143"/>
      <c r="AF1003" s="143"/>
      <c r="AG1003" s="143"/>
      <c r="AH1003" s="143"/>
      <c r="AI1003" s="143"/>
      <c r="AJ1003" s="143"/>
      <c r="AK1003" s="143"/>
      <c r="AL1003" s="143"/>
      <c r="AM1003" s="143"/>
      <c r="AN1003" s="143"/>
      <c r="AO1003" s="143"/>
      <c r="AP1003" s="143"/>
      <c r="AQ1003" s="143"/>
      <c r="AR1003" s="143"/>
      <c r="AS1003" s="143"/>
      <c r="AT1003" s="143"/>
      <c r="AU1003" s="143"/>
      <c r="AV1003" s="143"/>
      <c r="AW1003" s="143"/>
      <c r="AX1003" s="143"/>
      <c r="AY1003" s="143"/>
      <c r="AZ1003" s="143"/>
      <c r="BA1003" s="143"/>
      <c r="BB1003" s="143"/>
      <c r="BC1003" s="143"/>
      <c r="BD1003" s="143"/>
      <c r="BE1003" s="143"/>
      <c r="BF1003" s="143"/>
      <c r="BG1003" s="143"/>
      <c r="BH1003" s="143"/>
      <c r="BI1003" s="143"/>
      <c r="BJ1003" s="143"/>
      <c r="BK1003" s="143"/>
      <c r="BL1003" s="143"/>
      <c r="BM1003" s="143"/>
      <c r="BN1003" s="143"/>
    </row>
    <row r="1004" spans="1:66">
      <c r="A1004" s="251" t="s">
        <v>441</v>
      </c>
      <c r="B1004" s="145"/>
      <c r="C1004" s="145"/>
      <c r="D1004" s="145"/>
      <c r="E1004" s="146" t="e">
        <f>IF(OR(#REF!="",#REF!=0),"",ROUND((((#REF!-DATE(YEAR(#REF!),1,1))+1)/365)*12,1))</f>
        <v>#REF!</v>
      </c>
      <c r="F1004" s="145"/>
      <c r="G1004" s="145"/>
      <c r="H1004" s="145"/>
      <c r="I1004" s="145"/>
      <c r="J1004" s="145"/>
      <c r="K1004" s="145"/>
      <c r="L1004" s="145"/>
      <c r="M1004" s="145"/>
      <c r="N1004" s="145"/>
      <c r="O1004" s="145"/>
      <c r="P1004" s="145"/>
      <c r="Q1004" s="145"/>
      <c r="R1004" s="145"/>
      <c r="S1004" s="145"/>
      <c r="T1004" s="145"/>
      <c r="U1004" s="145"/>
      <c r="V1004" s="145"/>
      <c r="W1004" s="145"/>
      <c r="X1004" s="145"/>
      <c r="Y1004" s="145"/>
      <c r="Z1004" s="145"/>
      <c r="AA1004" s="145"/>
      <c r="AB1004" s="145"/>
      <c r="AC1004" s="145"/>
      <c r="AD1004" s="145"/>
      <c r="AE1004" s="145"/>
      <c r="AF1004" s="145"/>
      <c r="AG1004" s="145"/>
      <c r="AH1004" s="145"/>
      <c r="AI1004" s="145"/>
      <c r="AJ1004" s="145"/>
      <c r="AK1004" s="145"/>
      <c r="AL1004" s="145"/>
      <c r="AM1004" s="145"/>
      <c r="AN1004" s="145"/>
      <c r="AO1004" s="145"/>
      <c r="AP1004" s="145"/>
      <c r="AQ1004" s="145"/>
      <c r="AR1004" s="145"/>
      <c r="AS1004" s="145"/>
      <c r="AT1004" s="145"/>
      <c r="AU1004" s="145"/>
      <c r="AV1004" s="145"/>
      <c r="AW1004" s="145"/>
      <c r="AX1004" s="145"/>
      <c r="AY1004" s="145"/>
      <c r="AZ1004" s="145"/>
      <c r="BA1004" s="145"/>
      <c r="BB1004" s="145"/>
      <c r="BC1004" s="145"/>
      <c r="BD1004" s="145"/>
      <c r="BE1004" s="145"/>
      <c r="BF1004" s="145"/>
      <c r="BG1004" s="145"/>
      <c r="BH1004" s="145"/>
      <c r="BI1004" s="145"/>
      <c r="BJ1004" s="145"/>
      <c r="BK1004" s="145"/>
      <c r="BL1004" s="145"/>
      <c r="BM1004" s="145"/>
      <c r="BN1004" s="145"/>
    </row>
    <row r="1005" spans="1:66">
      <c r="A1005" s="251" t="s">
        <v>442</v>
      </c>
      <c r="B1005" s="145"/>
      <c r="C1005" s="145"/>
      <c r="D1005" s="145"/>
      <c r="E1005" s="144" t="e">
        <f>E1003/E1004</f>
        <v>#REF!</v>
      </c>
      <c r="F1005" s="145"/>
      <c r="G1005" s="145"/>
      <c r="H1005" s="145"/>
      <c r="I1005" s="145"/>
      <c r="J1005" s="145"/>
      <c r="K1005" s="145"/>
      <c r="L1005" s="145"/>
      <c r="M1005" s="145"/>
      <c r="N1005" s="145"/>
      <c r="O1005" s="145"/>
      <c r="P1005" s="145"/>
      <c r="Q1005" s="145"/>
      <c r="R1005" s="145"/>
      <c r="S1005" s="145"/>
      <c r="T1005" s="145"/>
      <c r="U1005" s="145"/>
      <c r="V1005" s="145"/>
      <c r="W1005" s="145"/>
      <c r="X1005" s="145"/>
      <c r="Y1005" s="145"/>
      <c r="Z1005" s="145"/>
      <c r="AA1005" s="145"/>
      <c r="AB1005" s="145"/>
      <c r="AC1005" s="145"/>
      <c r="AD1005" s="145"/>
      <c r="AE1005" s="145"/>
      <c r="AF1005" s="145"/>
      <c r="AG1005" s="145"/>
      <c r="AH1005" s="145"/>
      <c r="AI1005" s="145"/>
      <c r="AJ1005" s="145"/>
      <c r="AK1005" s="145"/>
      <c r="AL1005" s="145"/>
      <c r="AM1005" s="145"/>
      <c r="AN1005" s="145"/>
      <c r="AO1005" s="145"/>
      <c r="AP1005" s="145"/>
      <c r="AQ1005" s="145"/>
      <c r="AR1005" s="145"/>
      <c r="AS1005" s="145"/>
      <c r="AT1005" s="145"/>
      <c r="AU1005" s="145"/>
      <c r="AV1005" s="145"/>
      <c r="AW1005" s="145"/>
      <c r="AX1005" s="145"/>
      <c r="AY1005" s="145"/>
      <c r="AZ1005" s="145"/>
      <c r="BA1005" s="145"/>
      <c r="BB1005" s="145"/>
      <c r="BC1005" s="145"/>
      <c r="BD1005" s="145"/>
      <c r="BE1005" s="145"/>
      <c r="BF1005" s="145"/>
      <c r="BG1005" s="145"/>
      <c r="BH1005" s="145"/>
      <c r="BI1005" s="145"/>
      <c r="BJ1005" s="145"/>
      <c r="BK1005" s="145"/>
      <c r="BL1005" s="145"/>
      <c r="BM1005" s="145"/>
      <c r="BN1005" s="145"/>
    </row>
    <row r="1006" spans="1:66">
      <c r="E1006" s="141"/>
      <c r="G1006" s="141"/>
      <c r="H1006" s="4"/>
      <c r="I1006" s="141"/>
    </row>
    <row r="1007" spans="1:66">
      <c r="E1007" s="141"/>
      <c r="G1007" s="141"/>
      <c r="H1007" s="4"/>
      <c r="I1007" s="141"/>
    </row>
    <row r="1008" spans="1:66">
      <c r="A1008" s="1" t="s">
        <v>443</v>
      </c>
      <c r="E1008" s="147" t="e">
        <f>#REF!</f>
        <v>#REF!</v>
      </c>
      <c r="F1008" s="4" t="e">
        <f>#REF!</f>
        <v>#REF!</v>
      </c>
      <c r="G1008" s="147" t="s">
        <v>444</v>
      </c>
      <c r="H1008" s="4"/>
      <c r="I1008" s="141"/>
    </row>
    <row r="1009" spans="1:60">
      <c r="E1009" s="139"/>
      <c r="F1009" s="139"/>
      <c r="G1009" s="141"/>
      <c r="H1009" s="4"/>
      <c r="I1009" s="141"/>
    </row>
    <row r="1010" spans="1:60">
      <c r="A1010" s="145" t="s">
        <v>445</v>
      </c>
      <c r="B1010" s="148"/>
      <c r="C1010" s="148"/>
      <c r="D1010" s="148"/>
      <c r="E1010" s="149"/>
      <c r="F1010" s="149"/>
      <c r="G1010" s="148"/>
      <c r="H1010" s="148"/>
      <c r="I1010" s="148"/>
      <c r="J1010" s="148"/>
      <c r="K1010" s="148"/>
      <c r="L1010" s="148"/>
      <c r="M1010" s="148"/>
      <c r="N1010" s="148"/>
      <c r="O1010" s="148"/>
      <c r="P1010" s="148"/>
      <c r="Q1010" s="148"/>
      <c r="R1010" s="148"/>
      <c r="S1010" s="148"/>
      <c r="T1010" s="148"/>
      <c r="U1010" s="148"/>
      <c r="V1010" s="148"/>
      <c r="W1010" s="148"/>
      <c r="X1010" s="148"/>
      <c r="Y1010" s="148"/>
      <c r="Z1010" s="148"/>
      <c r="AA1010" s="148"/>
      <c r="AB1010" s="148"/>
      <c r="AC1010" s="148"/>
      <c r="AD1010" s="148"/>
      <c r="AE1010" s="148"/>
      <c r="AF1010" s="148"/>
      <c r="AG1010" s="148"/>
      <c r="AH1010" s="148"/>
      <c r="AI1010" s="148"/>
      <c r="AJ1010" s="148"/>
      <c r="AK1010" s="148"/>
      <c r="AL1010" s="148"/>
      <c r="AM1010" s="148"/>
      <c r="AN1010" s="148"/>
      <c r="AO1010" s="148"/>
      <c r="AP1010" s="148"/>
      <c r="AQ1010" s="148"/>
      <c r="AR1010" s="148"/>
      <c r="AS1010" s="148"/>
      <c r="AT1010" s="148"/>
      <c r="AU1010" s="148"/>
      <c r="AV1010" s="148"/>
      <c r="AW1010" s="148"/>
      <c r="AX1010" s="148"/>
      <c r="AY1010" s="148"/>
      <c r="AZ1010" s="148"/>
      <c r="BA1010" s="148"/>
      <c r="BB1010" s="148"/>
      <c r="BC1010" s="148"/>
      <c r="BD1010" s="148"/>
      <c r="BE1010" s="148"/>
      <c r="BF1010" s="148"/>
      <c r="BG1010" s="148"/>
      <c r="BH1010" s="148"/>
    </row>
    <row r="1011" spans="1:60">
      <c r="A1011" s="145" t="s">
        <v>446</v>
      </c>
      <c r="B1011" s="145"/>
      <c r="C1011" s="145"/>
      <c r="D1011" s="145"/>
      <c r="E1011" s="150" t="e">
        <f>#REF!</f>
        <v>#REF!</v>
      </c>
      <c r="F1011" s="150" t="e">
        <f>#REF!</f>
        <v>#REF!</v>
      </c>
      <c r="G1011" s="145"/>
      <c r="H1011" s="145"/>
      <c r="I1011" s="145"/>
      <c r="J1011" s="145"/>
      <c r="K1011" s="145"/>
      <c r="L1011" s="145"/>
      <c r="M1011" s="145"/>
      <c r="N1011" s="145"/>
      <c r="O1011" s="145"/>
      <c r="P1011" s="145"/>
      <c r="Q1011" s="145"/>
      <c r="R1011" s="145"/>
      <c r="S1011" s="145"/>
      <c r="T1011" s="145"/>
      <c r="U1011" s="145"/>
      <c r="V1011" s="145"/>
      <c r="W1011" s="145"/>
      <c r="X1011" s="145"/>
      <c r="Y1011" s="145"/>
      <c r="Z1011" s="145"/>
      <c r="AA1011" s="145"/>
      <c r="AB1011" s="145"/>
      <c r="AC1011" s="145"/>
      <c r="AD1011" s="145"/>
      <c r="AE1011" s="145"/>
      <c r="AF1011" s="145"/>
      <c r="AG1011" s="145"/>
      <c r="AH1011" s="145"/>
      <c r="AI1011" s="145"/>
      <c r="AJ1011" s="145"/>
      <c r="AK1011" s="145"/>
      <c r="AL1011" s="145"/>
      <c r="AM1011" s="145"/>
      <c r="AN1011" s="145"/>
      <c r="AO1011" s="145"/>
      <c r="AP1011" s="145"/>
      <c r="AQ1011" s="145"/>
      <c r="AR1011" s="145"/>
      <c r="AS1011" s="145"/>
      <c r="AT1011" s="145"/>
      <c r="AU1011" s="145"/>
      <c r="AV1011" s="145"/>
      <c r="AW1011" s="145"/>
      <c r="AX1011" s="145"/>
      <c r="AY1011" s="145"/>
      <c r="AZ1011" s="145"/>
      <c r="BA1011" s="145"/>
      <c r="BB1011" s="145"/>
      <c r="BC1011" s="145"/>
      <c r="BD1011" s="145"/>
      <c r="BE1011" s="145"/>
      <c r="BF1011" s="145"/>
      <c r="BG1011" s="145"/>
      <c r="BH1011" s="145"/>
    </row>
    <row r="1012" spans="1:60">
      <c r="A1012" s="145" t="s">
        <v>447</v>
      </c>
      <c r="B1012" s="145"/>
      <c r="C1012" s="145"/>
      <c r="D1012" s="145"/>
      <c r="E1012" s="150" t="e">
        <f>#REF!</f>
        <v>#REF!</v>
      </c>
      <c r="F1012" s="150" t="e">
        <f>#REF!</f>
        <v>#REF!</v>
      </c>
      <c r="G1012" s="145"/>
      <c r="H1012" s="145"/>
      <c r="I1012" s="145"/>
      <c r="J1012" s="145"/>
      <c r="K1012" s="145"/>
      <c r="L1012" s="145"/>
      <c r="M1012" s="145"/>
      <c r="N1012" s="145"/>
      <c r="O1012" s="145"/>
      <c r="P1012" s="145"/>
      <c r="Q1012" s="145"/>
      <c r="R1012" s="145"/>
      <c r="S1012" s="145"/>
      <c r="T1012" s="145"/>
      <c r="U1012" s="145"/>
      <c r="V1012" s="145"/>
      <c r="W1012" s="145"/>
      <c r="X1012" s="145"/>
      <c r="Y1012" s="145"/>
      <c r="Z1012" s="145"/>
      <c r="AA1012" s="145"/>
      <c r="AB1012" s="145"/>
      <c r="AC1012" s="145"/>
      <c r="AD1012" s="145"/>
      <c r="AE1012" s="145"/>
      <c r="AF1012" s="145"/>
      <c r="AG1012" s="145"/>
      <c r="AH1012" s="145"/>
      <c r="AI1012" s="145"/>
      <c r="AJ1012" s="145"/>
      <c r="AK1012" s="145"/>
      <c r="AL1012" s="145"/>
      <c r="AM1012" s="145"/>
      <c r="AN1012" s="145"/>
      <c r="AO1012" s="145"/>
      <c r="AP1012" s="145"/>
      <c r="AQ1012" s="145"/>
      <c r="AR1012" s="145"/>
      <c r="AS1012" s="145"/>
      <c r="AT1012" s="145"/>
      <c r="AU1012" s="145"/>
      <c r="AV1012" s="145"/>
      <c r="AW1012" s="145"/>
      <c r="AX1012" s="145"/>
      <c r="AY1012" s="145"/>
      <c r="AZ1012" s="145"/>
      <c r="BA1012" s="145"/>
      <c r="BB1012" s="145"/>
      <c r="BC1012" s="145"/>
      <c r="BD1012" s="145"/>
      <c r="BE1012" s="145"/>
      <c r="BF1012" s="145"/>
      <c r="BG1012" s="145"/>
      <c r="BH1012" s="145"/>
    </row>
    <row r="1013" spans="1:60">
      <c r="A1013" s="145" t="s">
        <v>448</v>
      </c>
      <c r="B1013" s="145"/>
      <c r="C1013" s="145"/>
      <c r="D1013" s="145"/>
      <c r="E1013" s="150" t="e">
        <f>#REF!</f>
        <v>#REF!</v>
      </c>
      <c r="F1013" s="150" t="e">
        <f>#REF!</f>
        <v>#REF!</v>
      </c>
      <c r="G1013" s="145"/>
      <c r="H1013" s="145"/>
      <c r="I1013" s="145"/>
      <c r="J1013" s="145"/>
      <c r="K1013" s="145"/>
      <c r="L1013" s="145"/>
      <c r="M1013" s="145"/>
      <c r="N1013" s="145"/>
      <c r="O1013" s="145"/>
      <c r="P1013" s="145"/>
      <c r="Q1013" s="145"/>
      <c r="R1013" s="145"/>
      <c r="S1013" s="145"/>
      <c r="T1013" s="145"/>
      <c r="U1013" s="145"/>
      <c r="V1013" s="145"/>
      <c r="W1013" s="145"/>
      <c r="X1013" s="145"/>
      <c r="Y1013" s="145"/>
      <c r="Z1013" s="145"/>
      <c r="AA1013" s="145"/>
      <c r="AB1013" s="145"/>
      <c r="AC1013" s="145"/>
      <c r="AD1013" s="145"/>
      <c r="AE1013" s="145"/>
      <c r="AF1013" s="145"/>
      <c r="AG1013" s="145"/>
      <c r="AH1013" s="145"/>
      <c r="AI1013" s="145"/>
      <c r="AJ1013" s="145"/>
      <c r="AK1013" s="145"/>
      <c r="AL1013" s="145"/>
      <c r="AM1013" s="145"/>
      <c r="AN1013" s="145"/>
      <c r="AO1013" s="145"/>
      <c r="AP1013" s="145"/>
      <c r="AQ1013" s="145"/>
      <c r="AR1013" s="145"/>
      <c r="AS1013" s="145"/>
      <c r="AT1013" s="145"/>
      <c r="AU1013" s="145"/>
      <c r="AV1013" s="145"/>
      <c r="AW1013" s="145"/>
      <c r="AX1013" s="145"/>
      <c r="AY1013" s="145"/>
      <c r="AZ1013" s="145"/>
      <c r="BA1013" s="145"/>
      <c r="BB1013" s="145"/>
      <c r="BC1013" s="145"/>
      <c r="BD1013" s="145"/>
      <c r="BE1013" s="145"/>
      <c r="BF1013" s="145"/>
      <c r="BG1013" s="145"/>
      <c r="BH1013" s="145"/>
    </row>
    <row r="1014" spans="1:60">
      <c r="A1014" s="145" t="s">
        <v>449</v>
      </c>
      <c r="B1014" s="145"/>
      <c r="C1014" s="145"/>
      <c r="D1014" s="145"/>
      <c r="E1014" s="150" t="e">
        <f>SUM(E1011:E1013)</f>
        <v>#REF!</v>
      </c>
      <c r="F1014" s="150" t="e">
        <f>SUM(F1011:F1013)</f>
        <v>#REF!</v>
      </c>
      <c r="G1014" s="151" t="e">
        <f>IF(AND(E1014=0,F1014=0),"",IF(AND(E1014=0,F1014&gt;0),"N/A",(F1014-E1014)/E1014))</f>
        <v>#REF!</v>
      </c>
      <c r="H1014" s="145"/>
      <c r="I1014" s="145"/>
      <c r="J1014" s="145"/>
      <c r="K1014" s="145"/>
      <c r="L1014" s="145"/>
      <c r="M1014" s="145"/>
      <c r="N1014" s="145"/>
      <c r="O1014" s="145"/>
      <c r="P1014" s="145"/>
      <c r="Q1014" s="145"/>
      <c r="R1014" s="145"/>
      <c r="S1014" s="145"/>
      <c r="T1014" s="145"/>
      <c r="U1014" s="145"/>
      <c r="V1014" s="145"/>
      <c r="W1014" s="145"/>
      <c r="X1014" s="145"/>
      <c r="Y1014" s="145"/>
      <c r="Z1014" s="145"/>
      <c r="AA1014" s="145"/>
      <c r="AB1014" s="145"/>
      <c r="AC1014" s="145"/>
      <c r="AD1014" s="145"/>
      <c r="AE1014" s="145"/>
      <c r="AF1014" s="145"/>
      <c r="AG1014" s="145"/>
      <c r="AH1014" s="145"/>
      <c r="AI1014" s="145"/>
      <c r="AJ1014" s="145"/>
      <c r="AK1014" s="145"/>
      <c r="AL1014" s="145"/>
      <c r="AM1014" s="145"/>
      <c r="AN1014" s="145"/>
      <c r="AO1014" s="145"/>
      <c r="AP1014" s="145"/>
      <c r="AQ1014" s="145"/>
      <c r="AR1014" s="145"/>
      <c r="AS1014" s="145"/>
      <c r="AT1014" s="145"/>
      <c r="AU1014" s="145"/>
      <c r="AV1014" s="145"/>
      <c r="AW1014" s="145"/>
      <c r="AX1014" s="145"/>
      <c r="AY1014" s="145"/>
      <c r="AZ1014" s="145"/>
      <c r="BA1014" s="145"/>
      <c r="BB1014" s="145"/>
      <c r="BC1014" s="145"/>
      <c r="BD1014" s="145"/>
      <c r="BE1014" s="145"/>
      <c r="BF1014" s="145"/>
      <c r="BG1014" s="145"/>
      <c r="BH1014" s="145"/>
    </row>
    <row r="1015" spans="1:60">
      <c r="A1015" s="39"/>
      <c r="B1015" s="39"/>
      <c r="C1015" s="39"/>
      <c r="D1015" s="39"/>
      <c r="E1015" s="152"/>
      <c r="F1015" s="152"/>
      <c r="G1015" s="39"/>
      <c r="H1015" s="39"/>
      <c r="I1015" s="39"/>
      <c r="J1015" s="39"/>
      <c r="K1015" s="39"/>
      <c r="L1015" s="39"/>
      <c r="M1015" s="39"/>
      <c r="N1015" s="39"/>
      <c r="O1015" s="39"/>
      <c r="P1015" s="39"/>
      <c r="Q1015" s="39"/>
      <c r="R1015" s="39"/>
      <c r="S1015" s="39"/>
      <c r="T1015" s="39"/>
      <c r="U1015" s="39"/>
      <c r="V1015" s="39"/>
      <c r="W1015" s="39"/>
      <c r="X1015" s="39"/>
      <c r="Y1015" s="39"/>
      <c r="Z1015" s="39"/>
      <c r="AA1015" s="39"/>
      <c r="AB1015" s="39"/>
      <c r="AC1015" s="39"/>
      <c r="AD1015" s="39"/>
      <c r="AE1015" s="39"/>
      <c r="AF1015" s="39"/>
      <c r="AG1015" s="39"/>
      <c r="AH1015" s="39"/>
      <c r="AI1015" s="39"/>
      <c r="AJ1015" s="39"/>
      <c r="AK1015" s="39"/>
      <c r="AL1015" s="39"/>
      <c r="AM1015" s="39"/>
      <c r="AN1015" s="39"/>
      <c r="AO1015" s="39"/>
      <c r="AP1015" s="39"/>
      <c r="AQ1015" s="39"/>
      <c r="AR1015" s="39"/>
      <c r="AS1015" s="39"/>
      <c r="AT1015" s="39"/>
      <c r="AU1015" s="39"/>
      <c r="AV1015" s="39"/>
      <c r="AW1015" s="39"/>
      <c r="AX1015" s="39"/>
      <c r="AY1015" s="39"/>
      <c r="AZ1015" s="39"/>
      <c r="BA1015" s="39"/>
      <c r="BB1015" s="39"/>
      <c r="BC1015" s="39"/>
      <c r="BD1015" s="39"/>
      <c r="BE1015" s="39"/>
      <c r="BF1015" s="39"/>
      <c r="BG1015" s="39"/>
      <c r="BH1015" s="39"/>
    </row>
    <row r="1016" spans="1:60">
      <c r="A1016" s="145" t="s">
        <v>450</v>
      </c>
      <c r="B1016" s="148"/>
      <c r="C1016" s="148"/>
      <c r="D1016" s="148"/>
      <c r="E1016" s="149"/>
      <c r="F1016" s="149"/>
      <c r="G1016" s="148"/>
      <c r="H1016" s="148"/>
      <c r="I1016" s="148"/>
      <c r="J1016" s="148"/>
      <c r="K1016" s="148"/>
      <c r="L1016" s="148"/>
      <c r="M1016" s="148"/>
      <c r="N1016" s="148"/>
      <c r="O1016" s="148"/>
      <c r="P1016" s="148"/>
      <c r="Q1016" s="148"/>
      <c r="R1016" s="148"/>
      <c r="S1016" s="148"/>
      <c r="T1016" s="148"/>
      <c r="U1016" s="148"/>
      <c r="V1016" s="148"/>
      <c r="W1016" s="148"/>
      <c r="X1016" s="148"/>
      <c r="Y1016" s="148"/>
      <c r="Z1016" s="148"/>
      <c r="AA1016" s="148"/>
      <c r="AB1016" s="148"/>
      <c r="AC1016" s="148"/>
      <c r="AD1016" s="148"/>
      <c r="AE1016" s="148"/>
      <c r="AF1016" s="148"/>
      <c r="AG1016" s="148"/>
      <c r="AH1016" s="148"/>
      <c r="AI1016" s="148"/>
      <c r="AJ1016" s="148"/>
      <c r="AK1016" s="148"/>
      <c r="AL1016" s="148"/>
      <c r="AM1016" s="148"/>
      <c r="AN1016" s="148"/>
      <c r="AO1016" s="148"/>
      <c r="AP1016" s="148"/>
      <c r="AQ1016" s="148"/>
      <c r="AR1016" s="148"/>
      <c r="AS1016" s="148"/>
      <c r="AT1016" s="148"/>
      <c r="AU1016" s="148"/>
      <c r="AV1016" s="148"/>
      <c r="AW1016" s="148"/>
      <c r="AX1016" s="148"/>
      <c r="AY1016" s="148"/>
      <c r="AZ1016" s="148"/>
      <c r="BA1016" s="148"/>
      <c r="BB1016" s="148"/>
      <c r="BC1016" s="148"/>
      <c r="BD1016" s="148"/>
      <c r="BE1016" s="148"/>
      <c r="BF1016" s="148"/>
      <c r="BG1016" s="148"/>
      <c r="BH1016" s="148"/>
    </row>
    <row r="1017" spans="1:60">
      <c r="A1017" s="145" t="s">
        <v>451</v>
      </c>
      <c r="B1017" s="145"/>
      <c r="C1017" s="145"/>
      <c r="D1017" s="145"/>
      <c r="E1017" s="150" t="e">
        <f>#REF!</f>
        <v>#REF!</v>
      </c>
      <c r="F1017" s="150" t="e">
        <f>#REF!</f>
        <v>#REF!</v>
      </c>
      <c r="G1017" s="145"/>
      <c r="H1017" s="145"/>
      <c r="I1017" s="145"/>
      <c r="J1017" s="145"/>
      <c r="K1017" s="145"/>
      <c r="L1017" s="145"/>
      <c r="M1017" s="145"/>
      <c r="N1017" s="145"/>
      <c r="O1017" s="145"/>
      <c r="P1017" s="145"/>
      <c r="Q1017" s="145"/>
      <c r="R1017" s="145"/>
      <c r="S1017" s="145"/>
      <c r="T1017" s="145"/>
      <c r="U1017" s="145"/>
      <c r="V1017" s="145"/>
      <c r="W1017" s="145"/>
      <c r="X1017" s="145"/>
      <c r="Y1017" s="145"/>
      <c r="Z1017" s="145"/>
      <c r="AA1017" s="145"/>
      <c r="AB1017" s="145"/>
      <c r="AC1017" s="145"/>
      <c r="AD1017" s="145"/>
      <c r="AE1017" s="145"/>
      <c r="AF1017" s="145"/>
      <c r="AG1017" s="145"/>
      <c r="AH1017" s="145"/>
      <c r="AI1017" s="145"/>
      <c r="AJ1017" s="145"/>
      <c r="AK1017" s="145"/>
      <c r="AL1017" s="145"/>
      <c r="AM1017" s="145"/>
      <c r="AN1017" s="145"/>
      <c r="AO1017" s="145"/>
      <c r="AP1017" s="145"/>
      <c r="AQ1017" s="145"/>
      <c r="AR1017" s="145"/>
      <c r="AS1017" s="145"/>
      <c r="AT1017" s="145"/>
      <c r="AU1017" s="145"/>
      <c r="AV1017" s="145"/>
      <c r="AW1017" s="145"/>
      <c r="AX1017" s="145"/>
      <c r="AY1017" s="145"/>
      <c r="AZ1017" s="145"/>
      <c r="BA1017" s="145"/>
      <c r="BB1017" s="145"/>
      <c r="BC1017" s="145"/>
      <c r="BD1017" s="145"/>
      <c r="BE1017" s="145"/>
      <c r="BF1017" s="145"/>
      <c r="BG1017" s="145"/>
      <c r="BH1017" s="145"/>
    </row>
    <row r="1018" spans="1:60">
      <c r="A1018" s="145" t="s">
        <v>452</v>
      </c>
      <c r="B1018" s="145"/>
      <c r="C1018" s="145"/>
      <c r="D1018" s="145"/>
      <c r="E1018" s="150" t="e">
        <f>#REF!</f>
        <v>#REF!</v>
      </c>
      <c r="F1018" s="150" t="e">
        <f>#REF!</f>
        <v>#REF!</v>
      </c>
      <c r="G1018" s="145"/>
      <c r="H1018" s="145"/>
      <c r="I1018" s="145"/>
      <c r="J1018" s="145"/>
      <c r="K1018" s="145"/>
      <c r="L1018" s="145"/>
      <c r="M1018" s="145"/>
      <c r="N1018" s="145"/>
      <c r="O1018" s="145"/>
      <c r="P1018" s="145"/>
      <c r="Q1018" s="145"/>
      <c r="R1018" s="145"/>
      <c r="S1018" s="145"/>
      <c r="T1018" s="145"/>
      <c r="U1018" s="145"/>
      <c r="V1018" s="145"/>
      <c r="W1018" s="145"/>
      <c r="X1018" s="145"/>
      <c r="Y1018" s="145"/>
      <c r="Z1018" s="145"/>
      <c r="AA1018" s="145"/>
      <c r="AB1018" s="145"/>
      <c r="AC1018" s="145"/>
      <c r="AD1018" s="145"/>
      <c r="AE1018" s="145"/>
      <c r="AF1018" s="145"/>
      <c r="AG1018" s="145"/>
      <c r="AH1018" s="145"/>
      <c r="AI1018" s="145"/>
      <c r="AJ1018" s="145"/>
      <c r="AK1018" s="145"/>
      <c r="AL1018" s="145"/>
      <c r="AM1018" s="145"/>
      <c r="AN1018" s="145"/>
      <c r="AO1018" s="145"/>
      <c r="AP1018" s="145"/>
      <c r="AQ1018" s="145"/>
      <c r="AR1018" s="145"/>
      <c r="AS1018" s="145"/>
      <c r="AT1018" s="145"/>
      <c r="AU1018" s="145"/>
      <c r="AV1018" s="145"/>
      <c r="AW1018" s="145"/>
      <c r="AX1018" s="145"/>
      <c r="AY1018" s="145"/>
      <c r="AZ1018" s="145"/>
      <c r="BA1018" s="145"/>
      <c r="BB1018" s="145"/>
      <c r="BC1018" s="145"/>
      <c r="BD1018" s="145"/>
      <c r="BE1018" s="145"/>
      <c r="BF1018" s="145"/>
      <c r="BG1018" s="145"/>
      <c r="BH1018" s="145"/>
    </row>
    <row r="1019" spans="1:60">
      <c r="A1019" s="145" t="s">
        <v>453</v>
      </c>
      <c r="B1019" s="145"/>
      <c r="C1019" s="145"/>
      <c r="D1019" s="145"/>
      <c r="E1019" s="150" t="e">
        <f>#REF!</f>
        <v>#REF!</v>
      </c>
      <c r="F1019" s="150" t="e">
        <f>#REF!</f>
        <v>#REF!</v>
      </c>
      <c r="G1019" s="145"/>
      <c r="H1019" s="145"/>
      <c r="I1019" s="145"/>
      <c r="J1019" s="145"/>
      <c r="K1019" s="145"/>
      <c r="L1019" s="145"/>
      <c r="M1019" s="145"/>
      <c r="N1019" s="145"/>
      <c r="O1019" s="145"/>
      <c r="P1019" s="145"/>
      <c r="Q1019" s="145"/>
      <c r="R1019" s="145"/>
      <c r="S1019" s="145"/>
      <c r="T1019" s="145"/>
      <c r="U1019" s="145"/>
      <c r="V1019" s="145"/>
      <c r="W1019" s="145"/>
      <c r="X1019" s="145"/>
      <c r="Y1019" s="145"/>
      <c r="Z1019" s="145"/>
      <c r="AA1019" s="145"/>
      <c r="AB1019" s="145"/>
      <c r="AC1019" s="145"/>
      <c r="AD1019" s="145"/>
      <c r="AE1019" s="145"/>
      <c r="AF1019" s="145"/>
      <c r="AG1019" s="145"/>
      <c r="AH1019" s="145"/>
      <c r="AI1019" s="145"/>
      <c r="AJ1019" s="145"/>
      <c r="AK1019" s="145"/>
      <c r="AL1019" s="145"/>
      <c r="AM1019" s="145"/>
      <c r="AN1019" s="145"/>
      <c r="AO1019" s="145"/>
      <c r="AP1019" s="145"/>
      <c r="AQ1019" s="145"/>
      <c r="AR1019" s="145"/>
      <c r="AS1019" s="145"/>
      <c r="AT1019" s="145"/>
      <c r="AU1019" s="145"/>
      <c r="AV1019" s="145"/>
      <c r="AW1019" s="145"/>
      <c r="AX1019" s="145"/>
      <c r="AY1019" s="145"/>
      <c r="AZ1019" s="145"/>
      <c r="BA1019" s="145"/>
      <c r="BB1019" s="145"/>
      <c r="BC1019" s="145"/>
      <c r="BD1019" s="145"/>
      <c r="BE1019" s="145"/>
      <c r="BF1019" s="145"/>
      <c r="BG1019" s="145"/>
      <c r="BH1019" s="145"/>
    </row>
    <row r="1020" spans="1:60">
      <c r="A1020" s="145" t="s">
        <v>454</v>
      </c>
      <c r="B1020" s="145"/>
      <c r="C1020" s="145"/>
      <c r="D1020" s="145"/>
      <c r="E1020" s="150" t="e">
        <f>SUM(E1017:E1019)</f>
        <v>#REF!</v>
      </c>
      <c r="F1020" s="150" t="e">
        <f>SUM(F1017:F1019)</f>
        <v>#REF!</v>
      </c>
      <c r="G1020" s="151" t="e">
        <f>IF(AND(E1020=0,F1020=0),"",IF(AND(E1020=0,F1020&gt;0),"N/A",(F1020-E1020)/E1020))</f>
        <v>#REF!</v>
      </c>
      <c r="H1020" s="145"/>
      <c r="I1020" s="145"/>
      <c r="J1020" s="145"/>
      <c r="K1020" s="145"/>
      <c r="L1020" s="145"/>
      <c r="M1020" s="145"/>
      <c r="N1020" s="145"/>
      <c r="O1020" s="145"/>
      <c r="P1020" s="145"/>
      <c r="Q1020" s="145"/>
      <c r="R1020" s="145"/>
      <c r="S1020" s="145"/>
      <c r="T1020" s="145"/>
      <c r="U1020" s="145"/>
      <c r="V1020" s="145"/>
      <c r="W1020" s="145"/>
      <c r="X1020" s="145"/>
      <c r="Y1020" s="145"/>
      <c r="Z1020" s="145"/>
      <c r="AA1020" s="145"/>
      <c r="AB1020" s="145"/>
      <c r="AC1020" s="145"/>
      <c r="AD1020" s="145"/>
      <c r="AE1020" s="145"/>
      <c r="AF1020" s="145"/>
      <c r="AG1020" s="145"/>
      <c r="AH1020" s="145"/>
      <c r="AI1020" s="145"/>
      <c r="AJ1020" s="145"/>
      <c r="AK1020" s="145"/>
      <c r="AL1020" s="145"/>
      <c r="AM1020" s="145"/>
      <c r="AN1020" s="145"/>
      <c r="AO1020" s="145"/>
      <c r="AP1020" s="145"/>
      <c r="AQ1020" s="145"/>
      <c r="AR1020" s="145"/>
      <c r="AS1020" s="145"/>
      <c r="AT1020" s="145"/>
      <c r="AU1020" s="145"/>
      <c r="AV1020" s="145"/>
      <c r="AW1020" s="145"/>
      <c r="AX1020" s="145"/>
      <c r="AY1020" s="145"/>
      <c r="AZ1020" s="145"/>
      <c r="BA1020" s="145"/>
      <c r="BB1020" s="145"/>
      <c r="BC1020" s="145"/>
      <c r="BD1020" s="145"/>
      <c r="BE1020" s="145"/>
      <c r="BF1020" s="145"/>
      <c r="BG1020" s="145"/>
      <c r="BH1020" s="145"/>
    </row>
    <row r="1021" spans="1:60">
      <c r="A1021" s="39"/>
      <c r="B1021" s="39"/>
      <c r="C1021" s="39"/>
      <c r="D1021" s="39"/>
      <c r="E1021" s="152"/>
      <c r="F1021" s="152"/>
      <c r="G1021" s="39"/>
      <c r="H1021" s="39"/>
      <c r="I1021" s="39"/>
      <c r="J1021" s="39"/>
      <c r="K1021" s="39"/>
      <c r="L1021" s="39"/>
      <c r="M1021" s="39"/>
      <c r="N1021" s="39"/>
      <c r="O1021" s="39"/>
      <c r="P1021" s="39"/>
      <c r="Q1021" s="39"/>
      <c r="R1021" s="39"/>
      <c r="S1021" s="39"/>
      <c r="T1021" s="39"/>
      <c r="U1021" s="39"/>
      <c r="V1021" s="39"/>
      <c r="W1021" s="39"/>
      <c r="X1021" s="39"/>
      <c r="Y1021" s="39"/>
      <c r="Z1021" s="39"/>
      <c r="AA1021" s="39"/>
      <c r="AB1021" s="39"/>
      <c r="AC1021" s="39"/>
      <c r="AD1021" s="39"/>
      <c r="AE1021" s="39"/>
      <c r="AF1021" s="39"/>
      <c r="AG1021" s="39"/>
      <c r="AH1021" s="39"/>
      <c r="AI1021" s="39"/>
      <c r="AJ1021" s="39"/>
      <c r="AK1021" s="39"/>
      <c r="AL1021" s="39"/>
      <c r="AM1021" s="39"/>
      <c r="AN1021" s="39"/>
      <c r="AO1021" s="39"/>
      <c r="AP1021" s="39"/>
      <c r="AQ1021" s="39"/>
      <c r="AR1021" s="39"/>
      <c r="AS1021" s="39"/>
      <c r="AT1021" s="39"/>
      <c r="AU1021" s="39"/>
      <c r="AV1021" s="39"/>
      <c r="AW1021" s="39"/>
      <c r="AX1021" s="39"/>
      <c r="AY1021" s="39"/>
      <c r="AZ1021" s="39"/>
      <c r="BA1021" s="39"/>
      <c r="BB1021" s="39"/>
      <c r="BC1021" s="39"/>
      <c r="BD1021" s="39"/>
      <c r="BE1021" s="39"/>
      <c r="BF1021" s="39"/>
      <c r="BG1021" s="39"/>
      <c r="BH1021" s="39"/>
    </row>
    <row r="1022" spans="1:60">
      <c r="A1022" s="145" t="s">
        <v>455</v>
      </c>
      <c r="B1022" s="148"/>
      <c r="C1022" s="148"/>
      <c r="D1022" s="148"/>
      <c r="E1022" s="153" t="e">
        <f>IF(E1020&gt;0,E1014/E1020,0)</f>
        <v>#REF!</v>
      </c>
      <c r="F1022" s="153" t="e">
        <f>IF(F1020&gt;0,F1014/F1020,0)</f>
        <v>#REF!</v>
      </c>
      <c r="G1022" s="151" t="e">
        <f>IF(AND(E1022=0,F1022=0),"",IF(AND(E1022=0,F1022&gt;0),F1022,(F1022-E1022)/E1022))</f>
        <v>#REF!</v>
      </c>
      <c r="H1022" s="148"/>
      <c r="I1022" s="148"/>
      <c r="J1022" s="148"/>
      <c r="K1022" s="148"/>
      <c r="L1022" s="148"/>
      <c r="M1022" s="148"/>
      <c r="N1022" s="148"/>
      <c r="O1022" s="148"/>
      <c r="P1022" s="148"/>
      <c r="Q1022" s="148"/>
      <c r="R1022" s="148"/>
      <c r="S1022" s="148"/>
      <c r="T1022" s="148"/>
      <c r="U1022" s="148"/>
      <c r="V1022" s="148"/>
      <c r="W1022" s="148"/>
      <c r="X1022" s="148"/>
      <c r="Y1022" s="148"/>
      <c r="Z1022" s="148"/>
      <c r="AA1022" s="148"/>
      <c r="AB1022" s="148"/>
      <c r="AC1022" s="148"/>
      <c r="AD1022" s="148"/>
      <c r="AE1022" s="148"/>
      <c r="AF1022" s="148"/>
      <c r="AG1022" s="148"/>
      <c r="AH1022" s="148"/>
      <c r="AI1022" s="148"/>
      <c r="AJ1022" s="148"/>
      <c r="AK1022" s="148"/>
      <c r="AL1022" s="148"/>
      <c r="AM1022" s="148"/>
      <c r="AN1022" s="148"/>
      <c r="AO1022" s="148"/>
      <c r="AP1022" s="148"/>
      <c r="AQ1022" s="148"/>
      <c r="AR1022" s="148"/>
      <c r="AS1022" s="148"/>
      <c r="AT1022" s="148"/>
      <c r="AU1022" s="148"/>
      <c r="AV1022" s="148"/>
      <c r="AW1022" s="148"/>
      <c r="AX1022" s="148"/>
      <c r="AY1022" s="148"/>
      <c r="AZ1022" s="148"/>
      <c r="BA1022" s="148"/>
      <c r="BB1022" s="148"/>
      <c r="BC1022" s="148"/>
      <c r="BD1022" s="148"/>
      <c r="BE1022" s="148"/>
      <c r="BF1022" s="148"/>
      <c r="BG1022" s="148"/>
      <c r="BH1022" s="148"/>
    </row>
    <row r="1023" spans="1:60">
      <c r="A1023" s="39"/>
      <c r="B1023" s="39"/>
      <c r="C1023" s="39"/>
      <c r="D1023" s="39"/>
      <c r="E1023" s="152"/>
      <c r="F1023" s="152"/>
      <c r="G1023" s="39"/>
      <c r="H1023" s="39"/>
      <c r="I1023" s="39"/>
      <c r="J1023" s="39"/>
      <c r="K1023" s="39"/>
      <c r="L1023" s="39"/>
      <c r="M1023" s="39"/>
      <c r="N1023" s="39"/>
      <c r="O1023" s="39"/>
      <c r="P1023" s="39"/>
      <c r="Q1023" s="39"/>
      <c r="R1023" s="39"/>
      <c r="S1023" s="39"/>
      <c r="T1023" s="39"/>
      <c r="U1023" s="39"/>
      <c r="V1023" s="39"/>
      <c r="W1023" s="39"/>
      <c r="X1023" s="39"/>
      <c r="Y1023" s="39"/>
      <c r="Z1023" s="39"/>
      <c r="AA1023" s="39"/>
      <c r="AB1023" s="39"/>
      <c r="AC1023" s="39"/>
      <c r="AD1023" s="39"/>
      <c r="AE1023" s="39"/>
      <c r="AF1023" s="39"/>
      <c r="AG1023" s="39"/>
      <c r="AH1023" s="39"/>
      <c r="AI1023" s="39"/>
      <c r="AJ1023" s="39"/>
      <c r="AK1023" s="39"/>
      <c r="AL1023" s="39"/>
      <c r="AM1023" s="39"/>
      <c r="AN1023" s="39"/>
      <c r="AO1023" s="39"/>
      <c r="AP1023" s="39"/>
      <c r="AQ1023" s="39"/>
      <c r="AR1023" s="39"/>
      <c r="AS1023" s="39"/>
      <c r="AT1023" s="39"/>
      <c r="AU1023" s="39"/>
      <c r="AV1023" s="39"/>
      <c r="AW1023" s="39"/>
      <c r="AX1023" s="39"/>
      <c r="AY1023" s="39"/>
      <c r="AZ1023" s="39"/>
      <c r="BA1023" s="39"/>
      <c r="BB1023" s="39"/>
      <c r="BC1023" s="39"/>
      <c r="BD1023" s="39"/>
      <c r="BE1023" s="39"/>
      <c r="BF1023" s="39"/>
      <c r="BG1023" s="39"/>
      <c r="BH1023" s="39"/>
    </row>
    <row r="1024" spans="1:60">
      <c r="A1024" s="145" t="s">
        <v>456</v>
      </c>
      <c r="B1024" s="148"/>
      <c r="C1024" s="148"/>
      <c r="D1024" s="148"/>
      <c r="E1024" s="153" t="e">
        <f>IF(E1020&gt;0,(E1011+E1012)/E1020,0)</f>
        <v>#REF!</v>
      </c>
      <c r="F1024" s="153" t="e">
        <f>IF(F1020&gt;0,(F1011+F1012)/F1020,0)</f>
        <v>#REF!</v>
      </c>
      <c r="G1024" s="151" t="e">
        <f>IF(AND(E1024=0,F1024=0),"",IF(AND(E1024=0,F1024&gt;0),F1024,(F1024-E1024)/E1024))</f>
        <v>#REF!</v>
      </c>
      <c r="H1024" s="148"/>
      <c r="I1024" s="148"/>
      <c r="J1024" s="148"/>
      <c r="K1024" s="148"/>
      <c r="L1024" s="148"/>
      <c r="M1024" s="148"/>
      <c r="N1024" s="148"/>
      <c r="O1024" s="148"/>
      <c r="P1024" s="148"/>
      <c r="Q1024" s="148"/>
      <c r="R1024" s="148"/>
      <c r="S1024" s="148"/>
      <c r="T1024" s="148"/>
      <c r="U1024" s="148"/>
      <c r="V1024" s="148"/>
      <c r="W1024" s="148"/>
      <c r="X1024" s="148"/>
      <c r="Y1024" s="148"/>
      <c r="Z1024" s="148"/>
      <c r="AA1024" s="148"/>
      <c r="AB1024" s="148"/>
      <c r="AC1024" s="148"/>
      <c r="AD1024" s="148"/>
      <c r="AE1024" s="148"/>
      <c r="AF1024" s="148"/>
      <c r="AG1024" s="148"/>
      <c r="AH1024" s="148"/>
      <c r="AI1024" s="148"/>
      <c r="AJ1024" s="148"/>
      <c r="AK1024" s="148"/>
      <c r="AL1024" s="148"/>
      <c r="AM1024" s="148"/>
      <c r="AN1024" s="148"/>
      <c r="AO1024" s="148"/>
      <c r="AP1024" s="148"/>
      <c r="AQ1024" s="148"/>
      <c r="AR1024" s="148"/>
      <c r="AS1024" s="148"/>
      <c r="AT1024" s="148"/>
      <c r="AU1024" s="148"/>
      <c r="AV1024" s="148"/>
      <c r="AW1024" s="148"/>
      <c r="AX1024" s="148"/>
      <c r="AY1024" s="148"/>
      <c r="AZ1024" s="148"/>
      <c r="BA1024" s="148"/>
      <c r="BB1024" s="148"/>
      <c r="BC1024" s="148"/>
      <c r="BD1024" s="148"/>
      <c r="BE1024" s="148"/>
      <c r="BF1024" s="148"/>
      <c r="BG1024" s="148"/>
      <c r="BH1024" s="148"/>
    </row>
    <row r="1025" spans="1:11">
      <c r="E1025" s="141"/>
      <c r="G1025" s="141"/>
      <c r="H1025" s="4"/>
      <c r="I1025" s="141"/>
    </row>
    <row r="1026" spans="1:11" ht="15">
      <c r="A1026" s="448" t="s">
        <v>457</v>
      </c>
      <c r="B1026" s="448"/>
      <c r="C1026" s="448"/>
      <c r="D1026" s="448"/>
      <c r="E1026" s="448"/>
      <c r="F1026" s="448"/>
      <c r="G1026" s="448"/>
      <c r="H1026" s="448"/>
      <c r="I1026" s="448"/>
      <c r="J1026" s="448"/>
      <c r="K1026" s="448"/>
    </row>
    <row r="1028" spans="1:11">
      <c r="A1028" s="1" t="s">
        <v>407</v>
      </c>
      <c r="C1028" s="4" t="e">
        <f>#REF!</f>
        <v>#REF!</v>
      </c>
      <c r="D1028" s="4" t="e">
        <f>#REF!</f>
        <v>#REF!</v>
      </c>
    </row>
    <row r="1029" spans="1:11">
      <c r="C1029" s="137"/>
      <c r="D1029" s="137"/>
    </row>
    <row r="1030" spans="1:11">
      <c r="A1030" s="138" t="s">
        <v>458</v>
      </c>
      <c r="C1030" s="139" t="e">
        <f>#REF!</f>
        <v>#REF!</v>
      </c>
      <c r="D1030" s="139" t="e">
        <f>#REF!</f>
        <v>#REF!</v>
      </c>
    </row>
    <row r="1031" spans="1:11">
      <c r="A1031" s="138"/>
      <c r="C1031" s="139"/>
      <c r="D1031" s="139"/>
    </row>
    <row r="1032" spans="1:11">
      <c r="A1032" s="138" t="s">
        <v>459</v>
      </c>
      <c r="C1032" s="139" t="e">
        <f>SUM(#REF!)</f>
        <v>#REF!</v>
      </c>
      <c r="D1032" s="139" t="e">
        <f>SUM(#REF!)</f>
        <v>#REF!</v>
      </c>
    </row>
    <row r="1033" spans="1:11">
      <c r="A1033" s="138"/>
      <c r="C1033" s="139"/>
      <c r="D1033" s="139"/>
    </row>
    <row r="1034" spans="1:11">
      <c r="A1034" s="138" t="s">
        <v>460</v>
      </c>
    </row>
    <row r="1035" spans="1:11">
      <c r="A1035" s="154" t="s">
        <v>461</v>
      </c>
      <c r="C1035" s="139" t="e">
        <f>#REF!</f>
        <v>#REF!</v>
      </c>
      <c r="D1035" s="139" t="e">
        <f>#REF!</f>
        <v>#REF!</v>
      </c>
    </row>
    <row r="1036" spans="1:11">
      <c r="A1036" s="154" t="s">
        <v>462</v>
      </c>
      <c r="C1036" s="1" t="e">
        <f>IF(OR(C1028="Select Year",C1028&lt;2014,C1035=0),0,VLOOKUP(C1028,$C$37:$D$42,2,FALSE))</f>
        <v>#REF!</v>
      </c>
      <c r="D1036" s="1" t="e">
        <f>IF(OR(D1028="Select Year",D1028&lt;2014,D1035=0),0,VLOOKUP(D1028,$C$37:$D$42,2,FALSE))</f>
        <v>#REF!</v>
      </c>
    </row>
    <row r="1037" spans="1:11">
      <c r="A1037" s="154" t="s">
        <v>463</v>
      </c>
      <c r="C1037" s="139" t="e">
        <f>C1035*C1036</f>
        <v>#REF!</v>
      </c>
      <c r="D1037" s="139" t="e">
        <f>D1035*D1036</f>
        <v>#REF!</v>
      </c>
    </row>
    <row r="1038" spans="1:11">
      <c r="A1038" s="154" t="s">
        <v>464</v>
      </c>
      <c r="C1038" s="139" t="e">
        <f>#REF!+#REF!+#REF!</f>
        <v>#REF!</v>
      </c>
      <c r="D1038" s="139" t="e">
        <f>#REF!+#REF!+#REF!</f>
        <v>#REF!</v>
      </c>
    </row>
    <row r="1039" spans="1:11">
      <c r="A1039" s="154"/>
      <c r="C1039" s="139"/>
      <c r="D1039" s="139"/>
    </row>
    <row r="1040" spans="1:11">
      <c r="A1040" s="138" t="s">
        <v>465</v>
      </c>
      <c r="C1040" s="139" t="e">
        <f>SUM(#REF!)</f>
        <v>#REF!</v>
      </c>
      <c r="D1040" s="139" t="e">
        <f>SUM(#REF!)</f>
        <v>#REF!</v>
      </c>
    </row>
    <row r="1041" spans="1:4">
      <c r="A1041" s="138"/>
      <c r="C1041" s="139"/>
      <c r="D1041" s="139"/>
    </row>
    <row r="1042" spans="1:4">
      <c r="A1042" s="138" t="s">
        <v>466</v>
      </c>
    </row>
    <row r="1043" spans="1:4">
      <c r="A1043" s="154" t="s">
        <v>461</v>
      </c>
      <c r="C1043" s="139" t="e">
        <f>#REF!</f>
        <v>#REF!</v>
      </c>
      <c r="D1043" s="139" t="e">
        <f>#REF!</f>
        <v>#REF!</v>
      </c>
    </row>
    <row r="1044" spans="1:4">
      <c r="A1044" s="154" t="s">
        <v>462</v>
      </c>
      <c r="C1044" s="1" t="e">
        <f>IF(OR(C1028="Select Year",C1028&lt;2014,C1043=0),0,VLOOKUP(C1028,$C$37:$D$42,2,FALSE))</f>
        <v>#REF!</v>
      </c>
      <c r="D1044" s="1" t="e">
        <f>IF(OR(D1028="Select Year",D1028&lt;2014,D1043=0),0,VLOOKUP(D1028,$C$37:$D$42,2,FALSE))</f>
        <v>#REF!</v>
      </c>
    </row>
    <row r="1045" spans="1:4">
      <c r="A1045" s="154" t="s">
        <v>463</v>
      </c>
      <c r="C1045" s="139" t="e">
        <f>C1043*C1044</f>
        <v>#REF!</v>
      </c>
      <c r="D1045" s="139" t="e">
        <f>D1043*D1044</f>
        <v>#REF!</v>
      </c>
    </row>
    <row r="1046" spans="1:4">
      <c r="A1046" s="154" t="s">
        <v>464</v>
      </c>
      <c r="C1046" s="139" t="e">
        <f>(SUM(#REF!)+#REF!+#REF!+#REF!)-#REF!</f>
        <v>#REF!</v>
      </c>
      <c r="D1046" s="139" t="e">
        <f>(SUM(#REF!)+#REF!+#REF!+#REF!)-#REF!</f>
        <v>#REF!</v>
      </c>
    </row>
    <row r="1047" spans="1:4">
      <c r="A1047" s="138"/>
    </row>
    <row r="1048" spans="1:4">
      <c r="A1048" s="138" t="s">
        <v>467</v>
      </c>
      <c r="C1048" s="139" t="e">
        <f>#REF!</f>
        <v>#REF!</v>
      </c>
      <c r="D1048" s="139" t="e">
        <f>#REF!</f>
        <v>#REF!</v>
      </c>
    </row>
    <row r="1049" spans="1:4">
      <c r="A1049" s="138"/>
    </row>
    <row r="1050" spans="1:4">
      <c r="A1050" s="138" t="s">
        <v>468</v>
      </c>
      <c r="C1050" s="139" t="e">
        <f>#REF!</f>
        <v>#REF!</v>
      </c>
      <c r="D1050" s="139" t="e">
        <f>#REF!</f>
        <v>#REF!</v>
      </c>
    </row>
    <row r="1051" spans="1:4">
      <c r="A1051" s="138"/>
    </row>
    <row r="1052" spans="1:4">
      <c r="A1052" s="138" t="s">
        <v>469</v>
      </c>
      <c r="C1052" s="139" t="e">
        <f>SUM(#REF!)</f>
        <v>#REF!</v>
      </c>
      <c r="D1052" s="139" t="e">
        <f>SUM(#REF!)</f>
        <v>#REF!</v>
      </c>
    </row>
    <row r="1053" spans="1:4">
      <c r="A1053" s="138"/>
    </row>
    <row r="1054" spans="1:4">
      <c r="A1054" s="138" t="s">
        <v>470</v>
      </c>
      <c r="C1054" s="139" t="e">
        <f>SUM(#REF!)</f>
        <v>#REF!</v>
      </c>
      <c r="D1054" s="139" t="e">
        <f>SUM(#REF!)</f>
        <v>#REF!</v>
      </c>
    </row>
    <row r="1055" spans="1:4">
      <c r="A1055" s="138"/>
    </row>
    <row r="1056" spans="1:4">
      <c r="A1056" s="138" t="s">
        <v>5</v>
      </c>
    </row>
    <row r="1057" spans="1:4">
      <c r="A1057" s="138"/>
    </row>
    <row r="1058" spans="1:4">
      <c r="A1058" s="1" t="s">
        <v>471</v>
      </c>
    </row>
    <row r="1059" spans="1:4">
      <c r="A1059" s="138" t="s">
        <v>472</v>
      </c>
      <c r="C1059" s="139" t="e">
        <f>SUM(#REF!)</f>
        <v>#REF!</v>
      </c>
      <c r="D1059" s="139" t="e">
        <f>SUM(#REF!)</f>
        <v>#REF!</v>
      </c>
    </row>
    <row r="1060" spans="1:4">
      <c r="A1060" s="138"/>
    </row>
    <row r="1061" spans="1:4">
      <c r="A1061" s="1" t="s">
        <v>473</v>
      </c>
    </row>
    <row r="1062" spans="1:4">
      <c r="A1062" s="138" t="s">
        <v>474</v>
      </c>
      <c r="C1062" s="139" t="e">
        <f>SUM(#REF!)-(SUM(#REF!))</f>
        <v>#REF!</v>
      </c>
      <c r="D1062" s="139" t="e">
        <f>SUM(#REF!)-(SUM(#REF!))</f>
        <v>#REF!</v>
      </c>
    </row>
    <row r="1063" spans="1:4">
      <c r="A1063" s="138" t="s">
        <v>475</v>
      </c>
      <c r="C1063" s="140" t="e">
        <f>#REF!</f>
        <v>#REF!</v>
      </c>
      <c r="D1063" s="140" t="e">
        <f>#REF!</f>
        <v>#REF!</v>
      </c>
    </row>
    <row r="1064" spans="1:4">
      <c r="A1064" s="138" t="s">
        <v>5</v>
      </c>
      <c r="C1064" s="155" t="e">
        <f>C1062*C1063</f>
        <v>#REF!</v>
      </c>
      <c r="D1064" s="155" t="e">
        <f>D1062*D1063</f>
        <v>#REF!</v>
      </c>
    </row>
    <row r="1065" spans="1:4">
      <c r="A1065" s="138"/>
    </row>
    <row r="1066" spans="1:4">
      <c r="A1066" s="1" t="s">
        <v>471</v>
      </c>
    </row>
    <row r="1067" spans="1:4">
      <c r="A1067" s="138" t="s">
        <v>476</v>
      </c>
      <c r="C1067" s="139" t="e">
        <f>SUM(#REF!)</f>
        <v>#REF!</v>
      </c>
      <c r="D1067" s="139" t="e">
        <f>SUM(#REF!)</f>
        <v>#REF!</v>
      </c>
    </row>
    <row r="1068" spans="1:4">
      <c r="A1068" s="138"/>
    </row>
    <row r="1069" spans="1:4">
      <c r="A1069" s="1" t="s">
        <v>477</v>
      </c>
    </row>
    <row r="1070" spans="1:4">
      <c r="A1070" s="138" t="s">
        <v>478</v>
      </c>
      <c r="C1070" s="139" t="e">
        <f>SUM(#REF!)-SUM(#REF!,#REF!)</f>
        <v>#REF!</v>
      </c>
      <c r="D1070" s="139" t="e">
        <f>SUM(#REF!)-SUM(#REF!)</f>
        <v>#REF!</v>
      </c>
    </row>
    <row r="1071" spans="1:4">
      <c r="A1071" s="138" t="s">
        <v>475</v>
      </c>
      <c r="C1071" s="140" t="e">
        <f>#REF!</f>
        <v>#REF!</v>
      </c>
      <c r="D1071" s="140" t="e">
        <f>#REF!</f>
        <v>#REF!</v>
      </c>
    </row>
    <row r="1072" spans="1:4">
      <c r="A1072" s="138" t="s">
        <v>5</v>
      </c>
      <c r="C1072" s="155" t="e">
        <f>C1070*C1071</f>
        <v>#REF!</v>
      </c>
      <c r="D1072" s="155" t="e">
        <f>D1070*D1071</f>
        <v>#REF!</v>
      </c>
    </row>
    <row r="1073" spans="1:9">
      <c r="A1073" s="138"/>
    </row>
    <row r="1074" spans="1:9">
      <c r="A1074" s="1" t="s">
        <v>479</v>
      </c>
    </row>
    <row r="1075" spans="1:9">
      <c r="A1075" s="138" t="s">
        <v>480</v>
      </c>
      <c r="C1075" s="139" t="e">
        <f>SUM(#REF!)-SUM(#REF!)</f>
        <v>#REF!</v>
      </c>
      <c r="D1075" s="139" t="e">
        <f>SUM(#REF!)-SUM(#REF!)</f>
        <v>#REF!</v>
      </c>
    </row>
    <row r="1076" spans="1:9">
      <c r="A1076" s="138" t="s">
        <v>475</v>
      </c>
      <c r="C1076" s="140" t="e">
        <f>#REF!</f>
        <v>#REF!</v>
      </c>
      <c r="D1076" s="140" t="e">
        <f>#REF!</f>
        <v>#REF!</v>
      </c>
    </row>
    <row r="1077" spans="1:9">
      <c r="A1077" s="138" t="s">
        <v>5</v>
      </c>
      <c r="C1077" s="155" t="e">
        <f>C1075*C1076</f>
        <v>#REF!</v>
      </c>
      <c r="D1077" s="155" t="e">
        <f>D1075*D1076</f>
        <v>#REF!</v>
      </c>
    </row>
    <row r="1078" spans="1:9">
      <c r="A1078" s="138"/>
    </row>
    <row r="1079" spans="1:9">
      <c r="A1079" s="1" t="s">
        <v>252</v>
      </c>
      <c r="D1079" s="10" t="e">
        <f>#REF!</f>
        <v>#REF!</v>
      </c>
      <c r="F1079" s="10" t="e">
        <f>#REF!</f>
        <v>#REF!</v>
      </c>
    </row>
    <row r="1080" spans="1:9">
      <c r="A1080" s="138" t="s">
        <v>481</v>
      </c>
      <c r="D1080" s="1" t="b">
        <v>0</v>
      </c>
      <c r="E1080" s="141">
        <f>IF(D1080=TRUE,C1030,0)</f>
        <v>0</v>
      </c>
      <c r="F1080" s="1" t="b">
        <v>0</v>
      </c>
      <c r="G1080" s="141">
        <f>IF(F1080=TRUE,D1030,0)</f>
        <v>0</v>
      </c>
      <c r="H1080" s="4">
        <f>IF(AND(D1080=FALSE,F1080=TRUE),12,IF(AND(D1080=TRUE,F1080=FALSE),12,IF(AND(D1080=TRUE,F1080=TRUE),24,0)))</f>
        <v>0</v>
      </c>
      <c r="I1080" s="141">
        <f>IF(H1080=0,0,(E1080+G1080)/H1080)</f>
        <v>0</v>
      </c>
    </row>
    <row r="1081" spans="1:9">
      <c r="A1081" s="138" t="s">
        <v>482</v>
      </c>
      <c r="D1081" s="1" t="b">
        <v>0</v>
      </c>
      <c r="E1081" s="141">
        <f>IF(D1081=TRUE,C1032,0)</f>
        <v>0</v>
      </c>
      <c r="F1081" s="1" t="b">
        <v>0</v>
      </c>
      <c r="G1081" s="141">
        <f>IF(F1081=TRUE,D1032,0)</f>
        <v>0</v>
      </c>
      <c r="H1081" s="4">
        <f t="shared" ref="H1081:H1087" si="14">IF(AND(D1081=FALSE,F1081=TRUE),12,IF(AND(D1081=TRUE,F1081=FALSE),12,IF(AND(D1081=TRUE,F1081=TRUE),24,0)))</f>
        <v>0</v>
      </c>
      <c r="I1081" s="141">
        <f t="shared" ref="I1081:I1093" si="15">IF(H1081=0,0,(E1081+G1081)/H1081)</f>
        <v>0</v>
      </c>
    </row>
    <row r="1082" spans="1:9">
      <c r="A1082" s="138" t="s">
        <v>483</v>
      </c>
      <c r="D1082" s="1" t="b">
        <v>0</v>
      </c>
      <c r="E1082" s="141">
        <f>IF(D1082=TRUE,C1038,0)</f>
        <v>0</v>
      </c>
      <c r="F1082" s="1" t="b">
        <v>0</v>
      </c>
      <c r="G1082" s="141">
        <f>IF(F1082=TRUE,D1038,0)</f>
        <v>0</v>
      </c>
      <c r="H1082" s="4">
        <f t="shared" si="14"/>
        <v>0</v>
      </c>
      <c r="I1082" s="141">
        <f t="shared" si="15"/>
        <v>0</v>
      </c>
    </row>
    <row r="1083" spans="1:9">
      <c r="A1083" s="138" t="s">
        <v>484</v>
      </c>
      <c r="D1083" s="1" t="b">
        <v>0</v>
      </c>
      <c r="E1083" s="141">
        <f>IF(D1083=TRUE,C1040,0)</f>
        <v>0</v>
      </c>
      <c r="F1083" s="1" t="b">
        <v>0</v>
      </c>
      <c r="G1083" s="141">
        <f>IF(F1083=TRUE,D1040,0)</f>
        <v>0</v>
      </c>
      <c r="H1083" s="4">
        <f t="shared" si="14"/>
        <v>0</v>
      </c>
      <c r="I1083" s="141">
        <f t="shared" si="15"/>
        <v>0</v>
      </c>
    </row>
    <row r="1084" spans="1:9">
      <c r="A1084" s="138" t="s">
        <v>485</v>
      </c>
      <c r="D1084" s="1" t="b">
        <v>0</v>
      </c>
      <c r="E1084" s="141">
        <f>IF(D1084=TRUE,C1046,0)</f>
        <v>0</v>
      </c>
      <c r="F1084" s="1" t="b">
        <v>0</v>
      </c>
      <c r="G1084" s="141">
        <f>IF(F1084=TRUE,D1046,0)</f>
        <v>0</v>
      </c>
      <c r="H1084" s="4">
        <f t="shared" si="14"/>
        <v>0</v>
      </c>
      <c r="I1084" s="141">
        <f t="shared" si="15"/>
        <v>0</v>
      </c>
    </row>
    <row r="1085" spans="1:9">
      <c r="A1085" s="138" t="s">
        <v>486</v>
      </c>
      <c r="D1085" s="1" t="b">
        <v>0</v>
      </c>
      <c r="E1085" s="141">
        <f>IF(D1085=TRUE,C1048,0)</f>
        <v>0</v>
      </c>
      <c r="F1085" s="1" t="b">
        <v>0</v>
      </c>
      <c r="G1085" s="141">
        <f>IF(F1085=TRUE,D1048,0)</f>
        <v>0</v>
      </c>
      <c r="H1085" s="4">
        <f t="shared" si="14"/>
        <v>0</v>
      </c>
      <c r="I1085" s="141">
        <f t="shared" si="15"/>
        <v>0</v>
      </c>
    </row>
    <row r="1086" spans="1:9">
      <c r="A1086" s="138" t="s">
        <v>487</v>
      </c>
      <c r="D1086" s="1" t="b">
        <v>0</v>
      </c>
      <c r="E1086" s="141">
        <f>IF(D1086=TRUE,C1050,0)</f>
        <v>0</v>
      </c>
      <c r="F1086" s="1" t="b">
        <v>0</v>
      </c>
      <c r="G1086" s="141">
        <f>IF(F1086=TRUE,D1050,0)</f>
        <v>0</v>
      </c>
      <c r="H1086" s="4">
        <f t="shared" si="14"/>
        <v>0</v>
      </c>
      <c r="I1086" s="141">
        <f t="shared" si="15"/>
        <v>0</v>
      </c>
    </row>
    <row r="1087" spans="1:9">
      <c r="A1087" s="138" t="s">
        <v>488</v>
      </c>
      <c r="D1087" s="1" t="b">
        <v>0</v>
      </c>
      <c r="E1087" s="141">
        <f>IF(D1087=TRUE,C1052,0)</f>
        <v>0</v>
      </c>
      <c r="F1087" s="1" t="b">
        <v>0</v>
      </c>
      <c r="G1087" s="141">
        <f>IF(F1087=TRUE,D1052,0)</f>
        <v>0</v>
      </c>
      <c r="H1087" s="4">
        <f t="shared" si="14"/>
        <v>0</v>
      </c>
      <c r="I1087" s="141">
        <f t="shared" si="15"/>
        <v>0</v>
      </c>
    </row>
    <row r="1088" spans="1:9">
      <c r="A1088" s="138" t="s">
        <v>489</v>
      </c>
      <c r="D1088" s="1" t="b">
        <v>0</v>
      </c>
      <c r="E1088" s="141">
        <f>IF(D1088=TRUE,C1054,0)</f>
        <v>0</v>
      </c>
      <c r="F1088" s="1" t="b">
        <v>0</v>
      </c>
      <c r="G1088" s="141">
        <f>IF(F1088=TRUE,D1054,0)</f>
        <v>0</v>
      </c>
      <c r="H1088" s="4">
        <f t="shared" ref="H1088" si="16">IF(AND(D1088=FALSE,F1088=TRUE),12,IF(AND(D1088=TRUE,F1088=FALSE),12,IF(AND(D1088=TRUE,F1088=TRUE),24,0)))</f>
        <v>0</v>
      </c>
      <c r="I1088" s="141">
        <f t="shared" si="15"/>
        <v>0</v>
      </c>
    </row>
    <row r="1089" spans="1:9">
      <c r="A1089" s="138" t="s">
        <v>490</v>
      </c>
      <c r="D1089" s="1" t="b">
        <v>0</v>
      </c>
      <c r="E1089" s="141">
        <f>IF(D1089=TRUE,C1059,0)</f>
        <v>0</v>
      </c>
      <c r="F1089" s="1" t="b">
        <v>0</v>
      </c>
      <c r="G1089" s="141">
        <f>IF(F1089=TRUE,D1059,0)</f>
        <v>0</v>
      </c>
      <c r="H1089" s="4">
        <f t="shared" ref="H1089:H1093" si="17">IF(AND(D1089=FALSE,F1089=TRUE),12,IF(AND(D1089=TRUE,F1089=FALSE),12,IF(AND(D1089=TRUE,F1089=TRUE),24,0)))</f>
        <v>0</v>
      </c>
      <c r="I1089" s="141">
        <f t="shared" si="15"/>
        <v>0</v>
      </c>
    </row>
    <row r="1090" spans="1:9">
      <c r="A1090" s="138" t="s">
        <v>491</v>
      </c>
      <c r="D1090" s="1" t="b">
        <v>0</v>
      </c>
      <c r="E1090" s="141">
        <f>IF(D1090=TRUE,C1064,0)</f>
        <v>0</v>
      </c>
      <c r="F1090" s="1" t="b">
        <v>0</v>
      </c>
      <c r="G1090" s="141">
        <f>IF(F1090=TRUE,D1064,0)</f>
        <v>0</v>
      </c>
      <c r="H1090" s="4">
        <f t="shared" si="17"/>
        <v>0</v>
      </c>
      <c r="I1090" s="141">
        <f t="shared" si="15"/>
        <v>0</v>
      </c>
    </row>
    <row r="1091" spans="1:9">
      <c r="A1091" s="138" t="s">
        <v>492</v>
      </c>
      <c r="D1091" s="1" t="b">
        <v>0</v>
      </c>
      <c r="E1091" s="141">
        <f>IF(D1091=TRUE,C1067,0)</f>
        <v>0</v>
      </c>
      <c r="F1091" s="1" t="b">
        <v>0</v>
      </c>
      <c r="G1091" s="141">
        <f>IF(F1091=TRUE,D1067,0)</f>
        <v>0</v>
      </c>
      <c r="H1091" s="4">
        <f t="shared" si="17"/>
        <v>0</v>
      </c>
      <c r="I1091" s="141">
        <f t="shared" si="15"/>
        <v>0</v>
      </c>
    </row>
    <row r="1092" spans="1:9">
      <c r="A1092" s="138" t="s">
        <v>493</v>
      </c>
      <c r="D1092" s="1" t="b">
        <v>0</v>
      </c>
      <c r="E1092" s="141">
        <f>IF(D1092=TRUE,C1072,0)</f>
        <v>0</v>
      </c>
      <c r="F1092" s="1" t="b">
        <v>0</v>
      </c>
      <c r="G1092" s="141">
        <f>IF(F1092=TRUE,D1072,0)</f>
        <v>0</v>
      </c>
      <c r="H1092" s="4">
        <f t="shared" si="17"/>
        <v>0</v>
      </c>
      <c r="I1092" s="141">
        <f t="shared" si="15"/>
        <v>0</v>
      </c>
    </row>
    <row r="1093" spans="1:9">
      <c r="A1093" s="138" t="s">
        <v>494</v>
      </c>
      <c r="D1093" s="1" t="b">
        <v>0</v>
      </c>
      <c r="E1093" s="141">
        <f>IF(D1093=TRUE,C1077,0)</f>
        <v>0</v>
      </c>
      <c r="F1093" s="1" t="b">
        <v>0</v>
      </c>
      <c r="G1093" s="141">
        <f>IF(F1093=TRUE,D1077,0)</f>
        <v>0</v>
      </c>
      <c r="H1093" s="4">
        <f t="shared" si="17"/>
        <v>0</v>
      </c>
      <c r="I1093" s="141">
        <f t="shared" si="15"/>
        <v>0</v>
      </c>
    </row>
    <row r="1094" spans="1:9">
      <c r="A1094" s="1" t="s">
        <v>436</v>
      </c>
      <c r="E1094" s="141"/>
      <c r="G1094" s="141"/>
      <c r="H1094" s="4"/>
      <c r="I1094" s="141">
        <f>SUM(I1080:I1093)</f>
        <v>0</v>
      </c>
    </row>
    <row r="1095" spans="1:9">
      <c r="A1095" s="138"/>
      <c r="E1095" s="141"/>
      <c r="G1095" s="141"/>
      <c r="H1095" s="4"/>
      <c r="I1095" s="141"/>
    </row>
    <row r="1096" spans="1:9">
      <c r="A1096" s="1" t="s">
        <v>437</v>
      </c>
      <c r="E1096" s="142" t="e">
        <f>#REF!</f>
        <v>#REF!</v>
      </c>
      <c r="G1096" s="141"/>
      <c r="H1096" s="4"/>
      <c r="I1096" s="141"/>
    </row>
    <row r="1097" spans="1:9">
      <c r="A1097" s="250" t="s">
        <v>438</v>
      </c>
      <c r="B1097" s="143"/>
      <c r="C1097" s="143"/>
      <c r="D1097" s="143"/>
      <c r="E1097" s="144" t="e">
        <f>#REF!</f>
        <v>#REF!</v>
      </c>
      <c r="F1097" s="143"/>
      <c r="G1097" s="143"/>
      <c r="H1097" s="143"/>
      <c r="I1097" s="143"/>
    </row>
    <row r="1098" spans="1:9">
      <c r="A1098" s="250" t="s">
        <v>439</v>
      </c>
      <c r="B1098" s="143"/>
      <c r="C1098" s="143"/>
      <c r="D1098" s="143"/>
      <c r="E1098" s="144" t="e">
        <f>#REF!</f>
        <v>#REF!</v>
      </c>
      <c r="F1098" s="143"/>
      <c r="G1098" s="143"/>
      <c r="H1098" s="143"/>
      <c r="I1098" s="143"/>
    </row>
    <row r="1099" spans="1:9">
      <c r="A1099" s="250" t="s">
        <v>440</v>
      </c>
      <c r="B1099" s="143"/>
      <c r="C1099" s="143"/>
      <c r="D1099" s="143"/>
      <c r="E1099" s="144" t="e">
        <f>#REF!</f>
        <v>#REF!</v>
      </c>
      <c r="F1099" s="143"/>
      <c r="G1099" s="143"/>
      <c r="H1099" s="143"/>
      <c r="I1099" s="143"/>
    </row>
    <row r="1100" spans="1:9">
      <c r="A1100" s="250" t="s">
        <v>3</v>
      </c>
      <c r="B1100" s="143"/>
      <c r="C1100" s="143"/>
      <c r="D1100" s="143"/>
      <c r="E1100" s="144" t="e">
        <f>SUM(E1097:E1099)</f>
        <v>#REF!</v>
      </c>
      <c r="F1100" s="143"/>
      <c r="G1100" s="143"/>
      <c r="H1100" s="143"/>
      <c r="I1100" s="143"/>
    </row>
    <row r="1101" spans="1:9">
      <c r="A1101" s="251" t="s">
        <v>441</v>
      </c>
      <c r="B1101" s="145"/>
      <c r="C1101" s="145"/>
      <c r="D1101" s="145"/>
      <c r="E1101" s="146" t="e">
        <f>IF(OR(#REF!="",#REF!=0),"",ROUND((((#REF!-DATE(YEAR(#REF!),1,1))+1)/365)*12,1))</f>
        <v>#REF!</v>
      </c>
      <c r="F1101" s="145"/>
      <c r="G1101" s="145"/>
      <c r="H1101" s="145"/>
      <c r="I1101" s="145"/>
    </row>
    <row r="1102" spans="1:9">
      <c r="A1102" s="251" t="s">
        <v>442</v>
      </c>
      <c r="B1102" s="145"/>
      <c r="C1102" s="145"/>
      <c r="D1102" s="145"/>
      <c r="E1102" s="144" t="e">
        <f>E1100/E1101</f>
        <v>#REF!</v>
      </c>
      <c r="F1102" s="145"/>
      <c r="G1102" s="145"/>
      <c r="H1102" s="145"/>
      <c r="I1102" s="145"/>
    </row>
    <row r="1103" spans="1:9">
      <c r="E1103" s="141"/>
      <c r="G1103" s="141"/>
      <c r="H1103" s="4"/>
      <c r="I1103" s="141"/>
    </row>
    <row r="1104" spans="1:9">
      <c r="A1104" s="1" t="s">
        <v>443</v>
      </c>
      <c r="E1104" s="147" t="e">
        <f>#REF!</f>
        <v>#REF!</v>
      </c>
      <c r="F1104" s="4" t="e">
        <f>#REF!</f>
        <v>#REF!</v>
      </c>
      <c r="G1104" s="147" t="s">
        <v>444</v>
      </c>
      <c r="H1104" s="4"/>
      <c r="I1104" s="141"/>
    </row>
    <row r="1105" spans="1:9">
      <c r="E1105" s="139"/>
      <c r="F1105" s="139"/>
      <c r="G1105" s="141"/>
      <c r="H1105" s="4"/>
      <c r="I1105" s="141"/>
    </row>
    <row r="1106" spans="1:9">
      <c r="A1106" s="145" t="s">
        <v>445</v>
      </c>
      <c r="B1106" s="148"/>
      <c r="C1106" s="148"/>
      <c r="D1106" s="148"/>
      <c r="E1106" s="149"/>
      <c r="F1106" s="149"/>
      <c r="G1106" s="148"/>
      <c r="H1106" s="148"/>
      <c r="I1106" s="148"/>
    </row>
    <row r="1107" spans="1:9">
      <c r="A1107" s="145" t="s">
        <v>446</v>
      </c>
      <c r="B1107" s="145"/>
      <c r="C1107" s="145"/>
      <c r="D1107" s="145"/>
      <c r="E1107" s="150" t="e">
        <f>#REF!</f>
        <v>#REF!</v>
      </c>
      <c r="F1107" s="150" t="e">
        <f>#REF!</f>
        <v>#REF!</v>
      </c>
      <c r="G1107" s="145"/>
      <c r="H1107" s="145"/>
      <c r="I1107" s="145"/>
    </row>
    <row r="1108" spans="1:9">
      <c r="A1108" s="145" t="s">
        <v>447</v>
      </c>
      <c r="B1108" s="145"/>
      <c r="C1108" s="145"/>
      <c r="D1108" s="145"/>
      <c r="E1108" s="150" t="e">
        <f>#REF!</f>
        <v>#REF!</v>
      </c>
      <c r="F1108" s="150" t="e">
        <f>#REF!</f>
        <v>#REF!</v>
      </c>
      <c r="G1108" s="145"/>
      <c r="H1108" s="145"/>
      <c r="I1108" s="145"/>
    </row>
    <row r="1109" spans="1:9">
      <c r="A1109" s="145" t="s">
        <v>448</v>
      </c>
      <c r="B1109" s="145"/>
      <c r="C1109" s="145"/>
      <c r="D1109" s="145"/>
      <c r="E1109" s="150" t="e">
        <f>#REF!</f>
        <v>#REF!</v>
      </c>
      <c r="F1109" s="150" t="e">
        <f>#REF!</f>
        <v>#REF!</v>
      </c>
      <c r="G1109" s="145"/>
      <c r="H1109" s="145"/>
      <c r="I1109" s="145"/>
    </row>
    <row r="1110" spans="1:9">
      <c r="A1110" s="145" t="s">
        <v>449</v>
      </c>
      <c r="B1110" s="145"/>
      <c r="C1110" s="145"/>
      <c r="D1110" s="145"/>
      <c r="E1110" s="150" t="e">
        <f>SUM(E1107:E1109)</f>
        <v>#REF!</v>
      </c>
      <c r="F1110" s="150" t="e">
        <f>SUM(F1107:F1109)</f>
        <v>#REF!</v>
      </c>
      <c r="G1110" s="151" t="e">
        <f>IF(AND(E1110=0,F1110=0),"",IF(AND(E1110=0,F1110&gt;0),"N/A",(F1110-E1110)/E1110))</f>
        <v>#REF!</v>
      </c>
      <c r="H1110" s="145"/>
      <c r="I1110" s="145"/>
    </row>
    <row r="1111" spans="1:9">
      <c r="A1111" s="39"/>
      <c r="B1111" s="39"/>
      <c r="C1111" s="39"/>
      <c r="D1111" s="39"/>
      <c r="E1111" s="152"/>
      <c r="F1111" s="152"/>
      <c r="G1111" s="39"/>
      <c r="H1111" s="39"/>
      <c r="I1111" s="39"/>
    </row>
    <row r="1112" spans="1:9">
      <c r="A1112" s="145" t="s">
        <v>450</v>
      </c>
      <c r="B1112" s="148"/>
      <c r="C1112" s="148"/>
      <c r="D1112" s="148"/>
      <c r="E1112" s="149"/>
      <c r="F1112" s="149"/>
      <c r="G1112" s="148"/>
      <c r="H1112" s="148"/>
      <c r="I1112" s="148"/>
    </row>
    <row r="1113" spans="1:9">
      <c r="A1113" s="145" t="s">
        <v>451</v>
      </c>
      <c r="B1113" s="145"/>
      <c r="C1113" s="145"/>
      <c r="D1113" s="145"/>
      <c r="E1113" s="150" t="e">
        <f>#REF!</f>
        <v>#REF!</v>
      </c>
      <c r="F1113" s="150" t="e">
        <f>#REF!</f>
        <v>#REF!</v>
      </c>
      <c r="G1113" s="145"/>
      <c r="H1113" s="145"/>
      <c r="I1113" s="145"/>
    </row>
    <row r="1114" spans="1:9">
      <c r="A1114" s="145" t="s">
        <v>452</v>
      </c>
      <c r="B1114" s="145"/>
      <c r="C1114" s="145"/>
      <c r="D1114" s="145"/>
      <c r="E1114" s="150" t="e">
        <f>#REF!</f>
        <v>#REF!</v>
      </c>
      <c r="F1114" s="150" t="e">
        <f>#REF!</f>
        <v>#REF!</v>
      </c>
      <c r="G1114" s="145"/>
      <c r="H1114" s="145"/>
      <c r="I1114" s="145"/>
    </row>
    <row r="1115" spans="1:9">
      <c r="A1115" s="145" t="s">
        <v>453</v>
      </c>
      <c r="B1115" s="145"/>
      <c r="C1115" s="145"/>
      <c r="D1115" s="145"/>
      <c r="E1115" s="150" t="e">
        <f>#REF!</f>
        <v>#REF!</v>
      </c>
      <c r="F1115" s="150" t="e">
        <f>#REF!</f>
        <v>#REF!</v>
      </c>
      <c r="G1115" s="145"/>
      <c r="H1115" s="145"/>
      <c r="I1115" s="145"/>
    </row>
    <row r="1116" spans="1:9">
      <c r="A1116" s="145" t="s">
        <v>454</v>
      </c>
      <c r="B1116" s="145"/>
      <c r="C1116" s="145"/>
      <c r="D1116" s="145"/>
      <c r="E1116" s="150" t="e">
        <f>SUM(E1113:E1115)</f>
        <v>#REF!</v>
      </c>
      <c r="F1116" s="150" t="e">
        <f>SUM(F1113:F1115)</f>
        <v>#REF!</v>
      </c>
      <c r="G1116" s="151" t="e">
        <f>IF(AND(E1116=0,F1116=0),"",IF(AND(E1116=0,F1116&gt;0),"N/A",(F1116-E1116)/E1116))</f>
        <v>#REF!</v>
      </c>
      <c r="H1116" s="145"/>
      <c r="I1116" s="145"/>
    </row>
    <row r="1117" spans="1:9">
      <c r="A1117" s="39"/>
      <c r="B1117" s="39"/>
      <c r="C1117" s="39"/>
      <c r="D1117" s="39"/>
      <c r="E1117" s="152"/>
      <c r="F1117" s="152"/>
      <c r="G1117" s="39"/>
      <c r="H1117" s="39"/>
      <c r="I1117" s="39"/>
    </row>
    <row r="1118" spans="1:9">
      <c r="A1118" s="145" t="s">
        <v>455</v>
      </c>
      <c r="B1118" s="148"/>
      <c r="C1118" s="148"/>
      <c r="D1118" s="148"/>
      <c r="E1118" s="153" t="e">
        <f>IF(E1116&gt;0,E1110/E1116,0)</f>
        <v>#REF!</v>
      </c>
      <c r="F1118" s="153" t="e">
        <f>IF(F1116&gt;0,F1110/F1116,0)</f>
        <v>#REF!</v>
      </c>
      <c r="G1118" s="151" t="e">
        <f>IF(AND(E1118=0,F1118=0),"",IF(AND(E1118=0,F1118&gt;0),F1118,(F1118-E1118)/E1118))</f>
        <v>#REF!</v>
      </c>
      <c r="H1118" s="148"/>
      <c r="I1118" s="148"/>
    </row>
    <row r="1119" spans="1:9">
      <c r="A1119" s="39"/>
      <c r="B1119" s="39"/>
      <c r="C1119" s="39"/>
      <c r="D1119" s="39"/>
      <c r="E1119" s="152"/>
      <c r="F1119" s="152"/>
      <c r="G1119" s="39"/>
      <c r="H1119" s="39"/>
      <c r="I1119" s="39"/>
    </row>
    <row r="1120" spans="1:9">
      <c r="A1120" s="145" t="s">
        <v>456</v>
      </c>
      <c r="B1120" s="148"/>
      <c r="C1120" s="148"/>
      <c r="D1120" s="148"/>
      <c r="E1120" s="153" t="e">
        <f>IF(E1116&gt;0,(E1107+E1108)/E1116,0)</f>
        <v>#REF!</v>
      </c>
      <c r="F1120" s="153" t="e">
        <f>IF(F1116&gt;0,(F1107+F1108)/F1116,0)</f>
        <v>#REF!</v>
      </c>
      <c r="G1120" s="151" t="e">
        <f>IF(AND(E1120=0,F1120=0),"",IF(AND(E1120=0,F1120&gt;0),F1120,(F1120-E1120)/E1120))</f>
        <v>#REF!</v>
      </c>
      <c r="H1120" s="148"/>
      <c r="I1120" s="148"/>
    </row>
    <row r="1121" spans="1:11">
      <c r="A1121" s="138"/>
    </row>
    <row r="1122" spans="1:11" ht="16.149999999999999" customHeight="1">
      <c r="A1122" s="448" t="s">
        <v>495</v>
      </c>
      <c r="B1122" s="448"/>
      <c r="C1122" s="448"/>
      <c r="D1122" s="448"/>
      <c r="E1122" s="448"/>
      <c r="F1122" s="448"/>
      <c r="G1122" s="448"/>
      <c r="H1122" s="448"/>
      <c r="I1122" s="448"/>
      <c r="J1122" s="448"/>
      <c r="K1122" s="448"/>
    </row>
    <row r="1123" spans="1:11">
      <c r="C1123" s="4"/>
      <c r="D1123" s="4"/>
    </row>
    <row r="1124" spans="1:11">
      <c r="A1124" s="1" t="s">
        <v>496</v>
      </c>
      <c r="C1124" s="4" t="e">
        <f>#REF!</f>
        <v>#REF!</v>
      </c>
      <c r="D1124" s="4" t="e">
        <f>#REF!</f>
        <v>#REF!</v>
      </c>
    </row>
    <row r="1125" spans="1:11">
      <c r="A1125" s="1" t="s">
        <v>497</v>
      </c>
      <c r="C1125" s="156" t="e">
        <f>#REF!</f>
        <v>#REF!</v>
      </c>
      <c r="D1125" s="156" t="e">
        <f>#REF!</f>
        <v>#REF!</v>
      </c>
    </row>
    <row r="1126" spans="1:11">
      <c r="A1126" s="1" t="s">
        <v>498</v>
      </c>
      <c r="C1126" s="157" t="e">
        <f>IF(C1124&lt;&gt;"Select Year",VLOOKUP(C1124,C37:D42,2,FALSE),0)</f>
        <v>#REF!</v>
      </c>
      <c r="D1126" s="157" t="e">
        <f>IF(D1124&lt;&gt;"Select Year",VLOOKUP(D1124,C37:D42,2,FALSE),0)</f>
        <v>#REF!</v>
      </c>
    </row>
    <row r="1127" spans="1:11">
      <c r="A1127" s="1" t="s">
        <v>499</v>
      </c>
      <c r="C1127" s="139" t="e">
        <f>C1125*C1126</f>
        <v>#REF!</v>
      </c>
      <c r="D1127" s="139" t="e">
        <f>D1125*D1126</f>
        <v>#REF!</v>
      </c>
    </row>
    <row r="1129" spans="1:11">
      <c r="A1129" s="1" t="s">
        <v>496</v>
      </c>
      <c r="C1129" s="4" t="e">
        <f>#REF!</f>
        <v>#REF!</v>
      </c>
      <c r="D1129" s="4" t="e">
        <f>#REF!</f>
        <v>#REF!</v>
      </c>
    </row>
    <row r="1130" spans="1:11">
      <c r="A1130" s="1" t="s">
        <v>500</v>
      </c>
      <c r="C1130" s="1" t="b">
        <v>0</v>
      </c>
      <c r="D1130" s="1" t="b">
        <v>1</v>
      </c>
    </row>
    <row r="1131" spans="1:11">
      <c r="A1131" s="1" t="s">
        <v>501</v>
      </c>
      <c r="C1131" s="28">
        <f>IF(C1130=TRUE,#REF!,0)</f>
        <v>0</v>
      </c>
      <c r="D1131" s="28" t="e">
        <f>IF(D1130=TRUE,#REF!,0)</f>
        <v>#REF!</v>
      </c>
    </row>
    <row r="1132" spans="1:11">
      <c r="A1132" s="1" t="s">
        <v>436</v>
      </c>
      <c r="C1132" s="455" t="e">
        <f>IF(AND(C1131=0,D1131=0),"",SUM(C1131:D1131))</f>
        <v>#REF!</v>
      </c>
      <c r="D1132" s="455"/>
    </row>
    <row r="1133" spans="1:11">
      <c r="A1133" s="1" t="s">
        <v>502</v>
      </c>
      <c r="C1133" s="4">
        <f>IF(C1130=TRUE,12,0)</f>
        <v>0</v>
      </c>
      <c r="D1133" s="4">
        <f>IF(D1130=TRUE,12,0)</f>
        <v>12</v>
      </c>
    </row>
    <row r="1134" spans="1:11">
      <c r="A1134" s="1" t="s">
        <v>503</v>
      </c>
      <c r="C1134" s="456">
        <f>IF(AND(C1133=0,D1133=0),"",C1133+D1133)</f>
        <v>12</v>
      </c>
      <c r="D1134" s="456"/>
    </row>
    <row r="1135" spans="1:11">
      <c r="A1135" s="1" t="s">
        <v>504</v>
      </c>
      <c r="C1135" s="158" t="e">
        <f>IF(AND(C1130=FALSE,D1130=FALSE)," Grand Total Income",IF(AND(C1130=TRUE,D1130=TRUE),CONCATENATE(" Grand Total Income - Years ",C1129," and ",D1129),IF(AND(C1130=TRUE,D1130=FALSE),CONCATENATE(" Grand Total Income - Year ",C1129," (excluding year ",D1129,")"),IF(AND(C1130=FALSE,D1130=TRUE),CONCATENATE(" Grand Total Income - Year ",D1129," (excluding year ",C1129,")")))))</f>
        <v>#REF!</v>
      </c>
      <c r="D1135" s="4"/>
    </row>
    <row r="1136" spans="1:11">
      <c r="A1136" s="1" t="s">
        <v>505</v>
      </c>
      <c r="C1136" s="457" t="e">
        <f>IF(C1134="","",IF(C1134=0,0,ROUND(C1132/C1134,0)))</f>
        <v>#REF!</v>
      </c>
      <c r="D1136" s="457"/>
    </row>
    <row r="1137" spans="1:11">
      <c r="C1137" s="4"/>
      <c r="D1137" s="24"/>
    </row>
    <row r="1138" spans="1:11">
      <c r="A1138" s="1" t="s">
        <v>506</v>
      </c>
      <c r="C1138" s="155" t="e">
        <f>D1131-C1131</f>
        <v>#REF!</v>
      </c>
      <c r="D1138" s="159">
        <f>IF(C1131=0,0,ABS(IF(D1131&gt;C1131,((D1131-C1131)/C1131)*100,((C1131-D1131)/C1131)*100)))</f>
        <v>0</v>
      </c>
    </row>
    <row r="1139" spans="1:11">
      <c r="A1139" s="1" t="s">
        <v>507</v>
      </c>
      <c r="C1139" s="155" t="str">
        <f>IF(OR(C1131=0,C1131=0),"","Statistics on Total Income/Loss:")</f>
        <v/>
      </c>
      <c r="E1139" s="155"/>
      <c r="F1139" s="159"/>
    </row>
    <row r="1140" spans="1:11">
      <c r="A1140" s="1" t="s">
        <v>508</v>
      </c>
      <c r="C1140" s="155" t="e">
        <f>IF(OR(C1131=0,D1131=0),"",(CONCATENATE(DOLLAR(C1131,0)," to ",DOLLAR(D1131,0)," = ",ABS(FIXED(D1138,1)),"% ",IF(D1131&gt;C1131,"Increase","Decrease"))))</f>
        <v>#REF!</v>
      </c>
      <c r="D1140" s="155"/>
      <c r="E1140" s="155"/>
      <c r="F1140" s="159"/>
    </row>
    <row r="1141" spans="1:11">
      <c r="A1141" s="1" t="s">
        <v>509</v>
      </c>
      <c r="C1141" s="155" t="e">
        <f>CONCATENATE(C1139,"  ",C1140)</f>
        <v>#REF!</v>
      </c>
      <c r="D1141" s="155"/>
      <c r="E1141" s="155"/>
      <c r="F1141" s="159"/>
    </row>
    <row r="1143" spans="1:11" ht="15">
      <c r="A1143" s="448" t="s">
        <v>510</v>
      </c>
      <c r="B1143" s="448"/>
      <c r="C1143" s="448"/>
      <c r="D1143" s="448"/>
      <c r="E1143" s="448"/>
      <c r="F1143" s="448"/>
      <c r="G1143" s="448"/>
      <c r="H1143" s="448"/>
      <c r="I1143" s="448"/>
      <c r="J1143" s="448"/>
      <c r="K1143" s="448"/>
    </row>
    <row r="1145" spans="1:11">
      <c r="A1145" s="1" t="s">
        <v>511</v>
      </c>
      <c r="C1145" s="4" t="e">
        <f>#REF!</f>
        <v>#REF!</v>
      </c>
      <c r="D1145" s="4" t="e">
        <f>#REF!</f>
        <v>#REF!</v>
      </c>
    </row>
    <row r="1146" spans="1:11">
      <c r="A1146" s="1" t="s">
        <v>497</v>
      </c>
      <c r="C1146" s="156" t="e">
        <f>#REF!</f>
        <v>#REF!</v>
      </c>
      <c r="D1146" s="156" t="e">
        <f>#REF!</f>
        <v>#REF!</v>
      </c>
    </row>
    <row r="1147" spans="1:11">
      <c r="A1147" s="1" t="s">
        <v>498</v>
      </c>
      <c r="C1147" s="157" t="e">
        <f>IF(C1145&lt;&gt;"Select Year",VLOOKUP(C1145,C37:D42,2,FALSE),0)</f>
        <v>#REF!</v>
      </c>
      <c r="D1147" s="157" t="e">
        <f>IF(D1145&lt;&gt;"Select Year",VLOOKUP(D1145,C37:D42,2,FALSE),0)</f>
        <v>#REF!</v>
      </c>
    </row>
    <row r="1148" spans="1:11">
      <c r="A1148" s="1" t="s">
        <v>499</v>
      </c>
      <c r="C1148" s="139" t="e">
        <f>C1146*C1147</f>
        <v>#REF!</v>
      </c>
      <c r="D1148" s="139" t="e">
        <f>D1146*D1147</f>
        <v>#REF!</v>
      </c>
    </row>
    <row r="1150" spans="1:11">
      <c r="A1150" s="1" t="s">
        <v>511</v>
      </c>
      <c r="C1150" s="4" t="e">
        <f>#REF!</f>
        <v>#REF!</v>
      </c>
      <c r="D1150" s="4" t="e">
        <f>#REF!</f>
        <v>#REF!</v>
      </c>
    </row>
    <row r="1151" spans="1:11">
      <c r="A1151" s="1" t="s">
        <v>500</v>
      </c>
      <c r="C1151" s="1" t="b">
        <v>0</v>
      </c>
      <c r="D1151" s="1" t="b">
        <v>0</v>
      </c>
    </row>
    <row r="1152" spans="1:11">
      <c r="A1152" s="1" t="s">
        <v>501</v>
      </c>
      <c r="C1152" s="160">
        <f>IF(C1151=TRUE,#REF!,0)</f>
        <v>0</v>
      </c>
      <c r="D1152" s="160">
        <f>IF(D1151=TRUE,#REF!,0)</f>
        <v>0</v>
      </c>
    </row>
    <row r="1153" spans="1:11">
      <c r="A1153" s="1" t="s">
        <v>436</v>
      </c>
      <c r="C1153" s="458" t="str">
        <f>IF(AND(C1152=0,D1152=0),"",SUM(C1152:D1152))</f>
        <v/>
      </c>
      <c r="D1153" s="458"/>
    </row>
    <row r="1154" spans="1:11">
      <c r="A1154" s="1" t="s">
        <v>502</v>
      </c>
      <c r="C1154" s="1">
        <f>IF(C1151=TRUE,12,0)</f>
        <v>0</v>
      </c>
      <c r="D1154" s="1">
        <f>IF(D1151=TRUE,12,0)</f>
        <v>0</v>
      </c>
    </row>
    <row r="1155" spans="1:11">
      <c r="A1155" s="1" t="s">
        <v>503</v>
      </c>
      <c r="C1155" s="456" t="str">
        <f>IF(AND(C1154=0,D1154=0),"",C1154+D1154)</f>
        <v/>
      </c>
      <c r="D1155" s="456"/>
    </row>
    <row r="1156" spans="1:11">
      <c r="A1156" s="1" t="s">
        <v>504</v>
      </c>
      <c r="C1156" s="158" t="str">
        <f>IF(AND(C1151=FALSE,D1151=FALSE)," Grand Total Income",IF(AND(C1151=TRUE,D1151=TRUE),CONCATENATE(" Grand Total Income - Years ",C1150," and ",D1150),IF(AND(C1151=TRUE,D1151=FALSE),CONCATENATE(" Grand Total Income - Year ",C1150," (excluding year ",D1150,")"),IF(AND(C1151=FALSE,D1151=TRUE),CONCATENATE(" Grand Total Income - Year ",D1150," (excluding year ",C1150,")")))))</f>
        <v>Grand Total Income</v>
      </c>
      <c r="D1156" s="4"/>
    </row>
    <row r="1157" spans="1:11">
      <c r="A1157" s="1" t="s">
        <v>505</v>
      </c>
      <c r="C1157" s="456" t="str">
        <f>IF(C1155="","",IF(C1155=0,0,ROUND(C1153/C1155,0)))</f>
        <v/>
      </c>
      <c r="D1157" s="456"/>
    </row>
    <row r="1159" spans="1:11">
      <c r="A1159" s="1" t="s">
        <v>506</v>
      </c>
      <c r="C1159" s="161">
        <f>D1152-C1152</f>
        <v>0</v>
      </c>
      <c r="D1159" s="162">
        <f>IF(C1152=0,0,ABS(IF(D1152&gt;C1152,((D1152-C1152)/C1152)*100,((C1152-D1152)/C1152)*100)))</f>
        <v>0</v>
      </c>
    </row>
    <row r="1160" spans="1:11">
      <c r="A1160" s="1" t="s">
        <v>507</v>
      </c>
      <c r="C1160" s="155" t="str">
        <f>IF(OR(C1152=0,C1152=0),"","Statistics on Total Income/Loss:")</f>
        <v/>
      </c>
    </row>
    <row r="1161" spans="1:11">
      <c r="A1161" s="1" t="s">
        <v>508</v>
      </c>
      <c r="C1161" s="155" t="str">
        <f>IF(OR(C1152=0,D1152=0),"",(CONCATENATE(DOLLAR(C1152,0)," to ",DOLLAR(D1152,0)," = ",ABS(FIXED(D1159,1)),"% ",IF(D1152&gt;C1152,"Increase","Decrease"))))</f>
        <v/>
      </c>
      <c r="D1161" s="155"/>
    </row>
    <row r="1162" spans="1:11">
      <c r="A1162" s="1" t="s">
        <v>509</v>
      </c>
      <c r="C1162" s="155" t="str">
        <f>CONCATENATE(C1160,"  ",C1161)</f>
        <v/>
      </c>
      <c r="D1162" s="155"/>
    </row>
    <row r="1165" spans="1:11" ht="15">
      <c r="A1165" s="448" t="s">
        <v>512</v>
      </c>
      <c r="B1165" s="448"/>
      <c r="C1165" s="448"/>
      <c r="D1165" s="448"/>
      <c r="E1165" s="448"/>
      <c r="F1165" s="448"/>
      <c r="G1165" s="448"/>
      <c r="H1165" s="448"/>
      <c r="I1165" s="448"/>
      <c r="J1165" s="448"/>
      <c r="K1165" s="448"/>
    </row>
    <row r="1166" spans="1:11">
      <c r="C1166" s="4"/>
      <c r="D1166" s="4"/>
    </row>
    <row r="1167" spans="1:11">
      <c r="A1167" s="452" t="s">
        <v>513</v>
      </c>
      <c r="B1167" s="452"/>
      <c r="C1167" s="14"/>
      <c r="D1167" s="14"/>
    </row>
    <row r="1168" spans="1:11">
      <c r="A1168" s="1" t="s">
        <v>514</v>
      </c>
      <c r="D1168" s="163" t="e">
        <f>#REF!</f>
        <v>#REF!</v>
      </c>
      <c r="E1168" s="135"/>
      <c r="F1168" s="249" t="s">
        <v>515</v>
      </c>
    </row>
    <row r="1169" spans="1:6">
      <c r="A1169" s="1" t="s">
        <v>516</v>
      </c>
      <c r="D1169" s="164" t="e">
        <f>#REF!</f>
        <v>#REF!</v>
      </c>
      <c r="E1169" s="135"/>
      <c r="F1169" s="249" t="s">
        <v>517</v>
      </c>
    </row>
    <row r="1170" spans="1:6">
      <c r="A1170" s="1" t="s">
        <v>518</v>
      </c>
      <c r="D1170" s="163" t="e">
        <f>IF(D1169&gt;0%,ROUND(D1168*D1169,0),0)</f>
        <v>#REF!</v>
      </c>
      <c r="E1170" s="135"/>
      <c r="F1170" s="249" t="s">
        <v>519</v>
      </c>
    </row>
    <row r="1171" spans="1:6">
      <c r="A1171" s="1" t="s">
        <v>520</v>
      </c>
      <c r="C1171" s="4"/>
      <c r="D1171" s="163" t="e">
        <f>#REF!</f>
        <v>#REF!</v>
      </c>
      <c r="F1171" s="249" t="s">
        <v>521</v>
      </c>
    </row>
    <row r="1172" spans="1:6">
      <c r="A1172" s="1" t="s">
        <v>522</v>
      </c>
      <c r="C1172" s="4"/>
      <c r="D1172" s="163" t="e">
        <f>ROUND(D1170-D1171,0)</f>
        <v>#REF!</v>
      </c>
      <c r="F1172" s="249" t="s">
        <v>523</v>
      </c>
    </row>
    <row r="1173" spans="1:6">
      <c r="C1173" s="4"/>
      <c r="D1173" s="4"/>
    </row>
    <row r="1174" spans="1:6">
      <c r="A1174" s="452" t="s">
        <v>524</v>
      </c>
      <c r="B1174" s="452"/>
      <c r="C1174" s="14" t="e">
        <f>#REF!</f>
        <v>#REF!</v>
      </c>
      <c r="D1174" s="14" t="e">
        <f>#REF!</f>
        <v>#REF!</v>
      </c>
    </row>
    <row r="1175" spans="1:6">
      <c r="A1175" s="1" t="s">
        <v>525</v>
      </c>
      <c r="C1175" s="163" t="e">
        <f>#REF!</f>
        <v>#REF!</v>
      </c>
      <c r="D1175" s="163" t="e">
        <f>#REF!</f>
        <v>#REF!</v>
      </c>
      <c r="F1175" s="249" t="s">
        <v>526</v>
      </c>
    </row>
    <row r="1176" spans="1:6">
      <c r="A1176" s="1" t="s">
        <v>527</v>
      </c>
      <c r="C1176" s="163" t="e">
        <f>#REF!</f>
        <v>#REF!</v>
      </c>
      <c r="D1176" s="163" t="e">
        <f>#REF!</f>
        <v>#REF!</v>
      </c>
      <c r="F1176" s="249" t="s">
        <v>528</v>
      </c>
    </row>
    <row r="1177" spans="1:6">
      <c r="A1177" s="1" t="s">
        <v>501</v>
      </c>
      <c r="C1177" s="163" t="e">
        <f>C1175+C1176</f>
        <v>#REF!</v>
      </c>
      <c r="D1177" s="163" t="e">
        <f>D1175+D1176</f>
        <v>#REF!</v>
      </c>
      <c r="F1177" s="249" t="s">
        <v>529</v>
      </c>
    </row>
    <row r="1178" spans="1:6">
      <c r="A1178" s="1" t="s">
        <v>530</v>
      </c>
      <c r="C1178" s="163" t="e">
        <f>#REF!</f>
        <v>#REF!</v>
      </c>
      <c r="D1178" s="163" t="e">
        <f>#REF!</f>
        <v>#REF!</v>
      </c>
      <c r="F1178" s="249" t="s">
        <v>531</v>
      </c>
    </row>
    <row r="1179" spans="1:6">
      <c r="A1179" s="1" t="s">
        <v>532</v>
      </c>
      <c r="C1179" s="163" t="e">
        <f>#REF!</f>
        <v>#REF!</v>
      </c>
      <c r="D1179" s="163" t="e">
        <f>#REF!</f>
        <v>#REF!</v>
      </c>
      <c r="F1179" s="249" t="s">
        <v>533</v>
      </c>
    </row>
    <row r="1180" spans="1:6">
      <c r="A1180" s="1" t="s">
        <v>534</v>
      </c>
      <c r="C1180" s="163" t="e">
        <f>#REF!</f>
        <v>#REF!</v>
      </c>
      <c r="D1180" s="163" t="e">
        <f>#REF!</f>
        <v>#REF!</v>
      </c>
      <c r="F1180" s="249" t="s">
        <v>535</v>
      </c>
    </row>
    <row r="1181" spans="1:6">
      <c r="A1181" s="1" t="s">
        <v>536</v>
      </c>
      <c r="C1181" s="163" t="e">
        <f>#REF!</f>
        <v>#REF!</v>
      </c>
      <c r="D1181" s="163" t="e">
        <f>#REF!</f>
        <v>#REF!</v>
      </c>
      <c r="F1181" s="249" t="s">
        <v>537</v>
      </c>
    </row>
    <row r="1182" spans="1:6">
      <c r="A1182" s="1" t="s">
        <v>538</v>
      </c>
      <c r="C1182" s="163" t="e">
        <f>#REF!</f>
        <v>#REF!</v>
      </c>
      <c r="D1182" s="163" t="e">
        <f>#REF!</f>
        <v>#REF!</v>
      </c>
      <c r="F1182" s="249" t="s">
        <v>539</v>
      </c>
    </row>
    <row r="1183" spans="1:6">
      <c r="A1183" s="1" t="s">
        <v>389</v>
      </c>
      <c r="C1183" s="163" t="e">
        <f>#REF!</f>
        <v>#REF!</v>
      </c>
      <c r="D1183" s="163" t="e">
        <f>#REF!</f>
        <v>#REF!</v>
      </c>
      <c r="F1183" s="249" t="s">
        <v>540</v>
      </c>
    </row>
    <row r="1184" spans="1:6">
      <c r="A1184" s="1" t="s">
        <v>541</v>
      </c>
      <c r="C1184" s="163" t="e">
        <f>SUM(C1177:C1183)</f>
        <v>#REF!</v>
      </c>
      <c r="D1184" s="163" t="e">
        <f>SUM(D1177:D1183)</f>
        <v>#REF!</v>
      </c>
      <c r="F1184" s="249" t="s">
        <v>542</v>
      </c>
    </row>
    <row r="1185" spans="1:11">
      <c r="A1185" s="1" t="s">
        <v>543</v>
      </c>
      <c r="C1185" s="4"/>
      <c r="D1185" s="165" t="e">
        <f>#REF!</f>
        <v>#REF!</v>
      </c>
      <c r="F1185" s="249" t="s">
        <v>544</v>
      </c>
    </row>
    <row r="1186" spans="1:11">
      <c r="A1186" s="1" t="s">
        <v>545</v>
      </c>
      <c r="D1186" s="166" t="e">
        <f>IF(D1185&gt;12,C1184+D1184,D1184)</f>
        <v>#REF!</v>
      </c>
      <c r="F1186" s="249" t="s">
        <v>546</v>
      </c>
    </row>
    <row r="1187" spans="1:11">
      <c r="A1187" s="1" t="s">
        <v>547</v>
      </c>
      <c r="C1187" s="4"/>
      <c r="D1187" s="163" t="e">
        <f>IF(D1185=0,0,ROUND(D1186/D1185,0))</f>
        <v>#REF!</v>
      </c>
      <c r="F1187" s="249" t="s">
        <v>548</v>
      </c>
    </row>
    <row r="1188" spans="1:11">
      <c r="A1188" s="1" t="s">
        <v>520</v>
      </c>
      <c r="C1188" s="4"/>
      <c r="D1188" s="163" t="e">
        <f>#REF!</f>
        <v>#REF!</v>
      </c>
      <c r="F1188" s="249" t="s">
        <v>521</v>
      </c>
    </row>
    <row r="1189" spans="1:11">
      <c r="A1189" s="1" t="s">
        <v>522</v>
      </c>
      <c r="C1189" s="4"/>
      <c r="D1189" s="163" t="e">
        <f>ROUND(D1187-D1188,0)</f>
        <v>#REF!</v>
      </c>
      <c r="F1189" s="249" t="s">
        <v>523</v>
      </c>
    </row>
    <row r="1190" spans="1:11">
      <c r="C1190" s="4"/>
      <c r="D1190" s="4"/>
    </row>
    <row r="1191" spans="1:11" ht="15">
      <c r="A1191" s="448" t="s">
        <v>549</v>
      </c>
      <c r="B1191" s="448"/>
      <c r="C1191" s="448"/>
      <c r="D1191" s="448"/>
      <c r="E1191" s="448"/>
      <c r="F1191" s="448"/>
      <c r="G1191" s="448"/>
      <c r="H1191" s="448"/>
      <c r="I1191" s="448"/>
      <c r="J1191" s="448"/>
      <c r="K1191" s="448"/>
    </row>
    <row r="1192" spans="1:11">
      <c r="C1192" s="4"/>
      <c r="D1192" s="4"/>
    </row>
    <row r="1193" spans="1:11">
      <c r="A1193" s="452" t="s">
        <v>513</v>
      </c>
      <c r="B1193" s="452"/>
      <c r="C1193" s="14"/>
      <c r="D1193" s="14"/>
    </row>
    <row r="1194" spans="1:11">
      <c r="A1194" s="1" t="s">
        <v>514</v>
      </c>
      <c r="D1194" s="163" t="e">
        <f>#REF!</f>
        <v>#REF!</v>
      </c>
      <c r="E1194" s="135"/>
      <c r="F1194" s="249" t="s">
        <v>515</v>
      </c>
    </row>
    <row r="1195" spans="1:11">
      <c r="A1195" s="1" t="s">
        <v>516</v>
      </c>
      <c r="D1195" s="164" t="e">
        <f>#REF!</f>
        <v>#REF!</v>
      </c>
      <c r="E1195" s="135"/>
      <c r="F1195" s="249" t="s">
        <v>517</v>
      </c>
    </row>
    <row r="1196" spans="1:11">
      <c r="A1196" s="1" t="s">
        <v>518</v>
      </c>
      <c r="D1196" s="163" t="e">
        <f>IF(D1195&gt;0%,ROUND(D1194*D1195,0),0)</f>
        <v>#REF!</v>
      </c>
      <c r="E1196" s="135"/>
      <c r="F1196" s="249" t="s">
        <v>519</v>
      </c>
    </row>
    <row r="1197" spans="1:11">
      <c r="A1197" s="1" t="s">
        <v>520</v>
      </c>
      <c r="C1197" s="4"/>
      <c r="D1197" s="163" t="e">
        <f>#REF!</f>
        <v>#REF!</v>
      </c>
      <c r="F1197" s="249" t="s">
        <v>521</v>
      </c>
    </row>
    <row r="1198" spans="1:11">
      <c r="A1198" s="1" t="s">
        <v>522</v>
      </c>
      <c r="C1198" s="4"/>
      <c r="D1198" s="163" t="e">
        <f>ROUND(D1196-D1197,0)</f>
        <v>#REF!</v>
      </c>
      <c r="F1198" s="249" t="s">
        <v>523</v>
      </c>
    </row>
    <row r="1199" spans="1:11">
      <c r="C1199" s="4"/>
      <c r="D1199" s="4"/>
    </row>
    <row r="1200" spans="1:11">
      <c r="A1200" s="452" t="s">
        <v>524</v>
      </c>
      <c r="B1200" s="452"/>
      <c r="C1200" s="14" t="e">
        <f>#REF!</f>
        <v>#REF!</v>
      </c>
      <c r="D1200" s="14" t="e">
        <f>#REF!</f>
        <v>#REF!</v>
      </c>
    </row>
    <row r="1201" spans="1:6">
      <c r="A1201" s="1" t="s">
        <v>525</v>
      </c>
      <c r="C1201" s="163" t="e">
        <f>#REF!</f>
        <v>#REF!</v>
      </c>
      <c r="D1201" s="163" t="e">
        <f>#REF!</f>
        <v>#REF!</v>
      </c>
      <c r="F1201" s="249" t="s">
        <v>526</v>
      </c>
    </row>
    <row r="1202" spans="1:6">
      <c r="A1202" s="1" t="s">
        <v>527</v>
      </c>
      <c r="C1202" s="163" t="e">
        <f>#REF!</f>
        <v>#REF!</v>
      </c>
      <c r="D1202" s="163" t="e">
        <f>#REF!</f>
        <v>#REF!</v>
      </c>
      <c r="F1202" s="249" t="s">
        <v>528</v>
      </c>
    </row>
    <row r="1203" spans="1:6">
      <c r="A1203" s="1" t="s">
        <v>501</v>
      </c>
      <c r="C1203" s="163" t="e">
        <f>C1201+C1202</f>
        <v>#REF!</v>
      </c>
      <c r="D1203" s="163" t="e">
        <f>D1201+D1202</f>
        <v>#REF!</v>
      </c>
      <c r="F1203" s="249" t="s">
        <v>529</v>
      </c>
    </row>
    <row r="1204" spans="1:6">
      <c r="A1204" s="1" t="s">
        <v>530</v>
      </c>
      <c r="C1204" s="163" t="e">
        <f>#REF!</f>
        <v>#REF!</v>
      </c>
      <c r="D1204" s="163" t="e">
        <f>#REF!</f>
        <v>#REF!</v>
      </c>
      <c r="F1204" s="249" t="s">
        <v>531</v>
      </c>
    </row>
    <row r="1205" spans="1:6">
      <c r="A1205" s="1" t="s">
        <v>532</v>
      </c>
      <c r="C1205" s="163" t="e">
        <f>#REF!</f>
        <v>#REF!</v>
      </c>
      <c r="D1205" s="163" t="e">
        <f>#REF!</f>
        <v>#REF!</v>
      </c>
      <c r="F1205" s="249" t="s">
        <v>533</v>
      </c>
    </row>
    <row r="1206" spans="1:6">
      <c r="A1206" s="1" t="s">
        <v>534</v>
      </c>
      <c r="C1206" s="163" t="e">
        <f>#REF!</f>
        <v>#REF!</v>
      </c>
      <c r="D1206" s="163" t="e">
        <f>#REF!</f>
        <v>#REF!</v>
      </c>
      <c r="F1206" s="249" t="s">
        <v>535</v>
      </c>
    </row>
    <row r="1207" spans="1:6">
      <c r="A1207" s="1" t="s">
        <v>536</v>
      </c>
      <c r="C1207" s="163" t="e">
        <f>#REF!</f>
        <v>#REF!</v>
      </c>
      <c r="D1207" s="163" t="e">
        <f>#REF!</f>
        <v>#REF!</v>
      </c>
      <c r="F1207" s="249" t="s">
        <v>537</v>
      </c>
    </row>
    <row r="1208" spans="1:6">
      <c r="A1208" s="1" t="s">
        <v>538</v>
      </c>
      <c r="C1208" s="163" t="e">
        <f>#REF!</f>
        <v>#REF!</v>
      </c>
      <c r="D1208" s="163" t="e">
        <f>#REF!</f>
        <v>#REF!</v>
      </c>
      <c r="F1208" s="249" t="s">
        <v>539</v>
      </c>
    </row>
    <row r="1209" spans="1:6">
      <c r="A1209" s="1" t="s">
        <v>389</v>
      </c>
      <c r="C1209" s="163" t="e">
        <f>#REF!</f>
        <v>#REF!</v>
      </c>
      <c r="D1209" s="163" t="e">
        <f>#REF!</f>
        <v>#REF!</v>
      </c>
      <c r="F1209" s="249" t="s">
        <v>540</v>
      </c>
    </row>
    <row r="1210" spans="1:6">
      <c r="A1210" s="1" t="s">
        <v>541</v>
      </c>
      <c r="C1210" s="163" t="e">
        <f>SUM(C1203:C1209)</f>
        <v>#REF!</v>
      </c>
      <c r="D1210" s="163" t="e">
        <f>SUM(D1203:D1209)</f>
        <v>#REF!</v>
      </c>
      <c r="F1210" s="249" t="s">
        <v>542</v>
      </c>
    </row>
    <row r="1211" spans="1:6">
      <c r="A1211" s="1" t="s">
        <v>543</v>
      </c>
      <c r="C1211" s="4"/>
      <c r="D1211" s="165" t="e">
        <f>#REF!</f>
        <v>#REF!</v>
      </c>
      <c r="F1211" s="249" t="s">
        <v>544</v>
      </c>
    </row>
    <row r="1212" spans="1:6">
      <c r="A1212" s="1" t="s">
        <v>545</v>
      </c>
      <c r="D1212" s="166" t="e">
        <f>IF(D1211&gt;12,C1210+D1210,D1210)</f>
        <v>#REF!</v>
      </c>
      <c r="F1212" s="249" t="s">
        <v>546</v>
      </c>
    </row>
    <row r="1213" spans="1:6">
      <c r="A1213" s="1" t="s">
        <v>547</v>
      </c>
      <c r="C1213" s="4"/>
      <c r="D1213" s="163" t="e">
        <f>IF(D1211=0,0,ROUND(D1212/D1211,0))</f>
        <v>#REF!</v>
      </c>
      <c r="F1213" s="249" t="s">
        <v>548</v>
      </c>
    </row>
    <row r="1214" spans="1:6">
      <c r="A1214" s="1" t="s">
        <v>520</v>
      </c>
      <c r="C1214" s="4"/>
      <c r="D1214" s="163" t="e">
        <f>#REF!</f>
        <v>#REF!</v>
      </c>
      <c r="F1214" s="249" t="s">
        <v>521</v>
      </c>
    </row>
    <row r="1215" spans="1:6">
      <c r="A1215" s="1" t="s">
        <v>522</v>
      </c>
      <c r="C1215" s="4"/>
      <c r="D1215" s="163" t="e">
        <f>ROUND(D1213-D1214,0)</f>
        <v>#REF!</v>
      </c>
      <c r="F1215" s="249" t="s">
        <v>523</v>
      </c>
    </row>
    <row r="1216" spans="1:6">
      <c r="C1216" s="4"/>
      <c r="D1216" s="4"/>
    </row>
    <row r="1217" spans="1:11" ht="15">
      <c r="A1217" s="448" t="s">
        <v>550</v>
      </c>
      <c r="B1217" s="448"/>
      <c r="C1217" s="448"/>
      <c r="D1217" s="448"/>
      <c r="E1217" s="448"/>
      <c r="F1217" s="448"/>
      <c r="G1217" s="448"/>
      <c r="H1217" s="448"/>
      <c r="I1217" s="448"/>
      <c r="J1217" s="448"/>
      <c r="K1217" s="448"/>
    </row>
    <row r="1218" spans="1:11">
      <c r="C1218" s="4"/>
      <c r="D1218" s="4"/>
    </row>
    <row r="1219" spans="1:11">
      <c r="A1219" s="452" t="s">
        <v>513</v>
      </c>
      <c r="B1219" s="452"/>
      <c r="C1219" s="14"/>
      <c r="D1219" s="14"/>
    </row>
    <row r="1220" spans="1:11">
      <c r="A1220" s="1" t="s">
        <v>514</v>
      </c>
      <c r="D1220" s="163" t="e">
        <f>#REF!</f>
        <v>#REF!</v>
      </c>
      <c r="E1220" s="135"/>
      <c r="F1220" s="249" t="s">
        <v>515</v>
      </c>
    </row>
    <row r="1221" spans="1:11">
      <c r="A1221" s="1" t="s">
        <v>516</v>
      </c>
      <c r="D1221" s="164" t="e">
        <f>#REF!</f>
        <v>#REF!</v>
      </c>
      <c r="E1221" s="135"/>
      <c r="F1221" s="249" t="s">
        <v>517</v>
      </c>
    </row>
    <row r="1222" spans="1:11">
      <c r="A1222" s="1" t="s">
        <v>518</v>
      </c>
      <c r="D1222" s="163" t="e">
        <f>IF(D1221&gt;0%,ROUND(D1220*D1221,0),0)</f>
        <v>#REF!</v>
      </c>
      <c r="E1222" s="135"/>
      <c r="F1222" s="249" t="s">
        <v>519</v>
      </c>
    </row>
    <row r="1223" spans="1:11">
      <c r="A1223" s="1" t="s">
        <v>520</v>
      </c>
      <c r="C1223" s="4"/>
      <c r="D1223" s="163" t="e">
        <f>#REF!</f>
        <v>#REF!</v>
      </c>
      <c r="F1223" s="249" t="s">
        <v>521</v>
      </c>
    </row>
    <row r="1224" spans="1:11">
      <c r="A1224" s="1" t="s">
        <v>522</v>
      </c>
      <c r="C1224" s="4"/>
      <c r="D1224" s="163" t="e">
        <f>ROUND(D1222-D1223,0)</f>
        <v>#REF!</v>
      </c>
      <c r="F1224" s="249" t="s">
        <v>523</v>
      </c>
    </row>
    <row r="1225" spans="1:11">
      <c r="C1225" s="4"/>
      <c r="D1225" s="4"/>
    </row>
    <row r="1226" spans="1:11">
      <c r="A1226" s="452" t="s">
        <v>524</v>
      </c>
      <c r="B1226" s="452"/>
      <c r="C1226" s="14" t="e">
        <f>#REF!</f>
        <v>#REF!</v>
      </c>
      <c r="D1226" s="14" t="e">
        <f>#REF!</f>
        <v>#REF!</v>
      </c>
    </row>
    <row r="1227" spans="1:11">
      <c r="A1227" s="1" t="s">
        <v>525</v>
      </c>
      <c r="C1227" s="163" t="e">
        <f>#REF!</f>
        <v>#REF!</v>
      </c>
      <c r="D1227" s="163" t="e">
        <f>#REF!</f>
        <v>#REF!</v>
      </c>
      <c r="F1227" s="249" t="s">
        <v>526</v>
      </c>
    </row>
    <row r="1228" spans="1:11">
      <c r="A1228" s="1" t="s">
        <v>527</v>
      </c>
      <c r="C1228" s="163" t="e">
        <f>#REF!</f>
        <v>#REF!</v>
      </c>
      <c r="D1228" s="163" t="e">
        <f>#REF!</f>
        <v>#REF!</v>
      </c>
      <c r="F1228" s="249" t="s">
        <v>528</v>
      </c>
    </row>
    <row r="1229" spans="1:11">
      <c r="A1229" s="1" t="s">
        <v>501</v>
      </c>
      <c r="C1229" s="163" t="e">
        <f>C1227+C1228</f>
        <v>#REF!</v>
      </c>
      <c r="D1229" s="163" t="e">
        <f>D1227+D1228</f>
        <v>#REF!</v>
      </c>
      <c r="F1229" s="249" t="s">
        <v>529</v>
      </c>
    </row>
    <row r="1230" spans="1:11">
      <c r="A1230" s="1" t="s">
        <v>530</v>
      </c>
      <c r="C1230" s="163" t="e">
        <f>#REF!</f>
        <v>#REF!</v>
      </c>
      <c r="D1230" s="163" t="e">
        <f>#REF!</f>
        <v>#REF!</v>
      </c>
      <c r="F1230" s="249" t="s">
        <v>531</v>
      </c>
    </row>
    <row r="1231" spans="1:11">
      <c r="A1231" s="1" t="s">
        <v>532</v>
      </c>
      <c r="C1231" s="163" t="e">
        <f>#REF!</f>
        <v>#REF!</v>
      </c>
      <c r="D1231" s="163" t="e">
        <f>#REF!</f>
        <v>#REF!</v>
      </c>
      <c r="F1231" s="249" t="s">
        <v>533</v>
      </c>
    </row>
    <row r="1232" spans="1:11">
      <c r="A1232" s="1" t="s">
        <v>534</v>
      </c>
      <c r="C1232" s="163" t="e">
        <f>#REF!</f>
        <v>#REF!</v>
      </c>
      <c r="D1232" s="163" t="e">
        <f>#REF!</f>
        <v>#REF!</v>
      </c>
      <c r="F1232" s="249" t="s">
        <v>535</v>
      </c>
    </row>
    <row r="1233" spans="1:11">
      <c r="A1233" s="1" t="s">
        <v>536</v>
      </c>
      <c r="C1233" s="163" t="e">
        <f>#REF!</f>
        <v>#REF!</v>
      </c>
      <c r="D1233" s="163" t="e">
        <f>#REF!</f>
        <v>#REF!</v>
      </c>
      <c r="F1233" s="249" t="s">
        <v>537</v>
      </c>
    </row>
    <row r="1234" spans="1:11">
      <c r="A1234" s="1" t="s">
        <v>538</v>
      </c>
      <c r="C1234" s="163" t="e">
        <f>#REF!</f>
        <v>#REF!</v>
      </c>
      <c r="D1234" s="163" t="e">
        <f>#REF!</f>
        <v>#REF!</v>
      </c>
      <c r="F1234" s="249" t="s">
        <v>539</v>
      </c>
    </row>
    <row r="1235" spans="1:11">
      <c r="A1235" s="1" t="s">
        <v>389</v>
      </c>
      <c r="C1235" s="163" t="e">
        <f>#REF!</f>
        <v>#REF!</v>
      </c>
      <c r="D1235" s="163" t="e">
        <f>#REF!</f>
        <v>#REF!</v>
      </c>
      <c r="F1235" s="249" t="s">
        <v>540</v>
      </c>
    </row>
    <row r="1236" spans="1:11">
      <c r="A1236" s="1" t="s">
        <v>541</v>
      </c>
      <c r="C1236" s="163" t="e">
        <f>SUM(C1229:C1235)</f>
        <v>#REF!</v>
      </c>
      <c r="D1236" s="163" t="e">
        <f>SUM(D1229:D1235)</f>
        <v>#REF!</v>
      </c>
      <c r="F1236" s="249" t="s">
        <v>542</v>
      </c>
    </row>
    <row r="1237" spans="1:11">
      <c r="A1237" s="1" t="s">
        <v>543</v>
      </c>
      <c r="C1237" s="4"/>
      <c r="D1237" s="165" t="e">
        <f>#REF!</f>
        <v>#REF!</v>
      </c>
      <c r="F1237" s="249" t="s">
        <v>544</v>
      </c>
    </row>
    <row r="1238" spans="1:11">
      <c r="A1238" s="1" t="s">
        <v>545</v>
      </c>
      <c r="D1238" s="166" t="e">
        <f>IF(D1237&gt;12,C1236+D1236,D1236)</f>
        <v>#REF!</v>
      </c>
      <c r="F1238" s="249" t="s">
        <v>546</v>
      </c>
    </row>
    <row r="1239" spans="1:11">
      <c r="A1239" s="1" t="s">
        <v>547</v>
      </c>
      <c r="C1239" s="4"/>
      <c r="D1239" s="163" t="e">
        <f>IF(D1237=0,0,ROUND(D1238/D1237,0))</f>
        <v>#REF!</v>
      </c>
      <c r="F1239" s="249" t="s">
        <v>548</v>
      </c>
    </row>
    <row r="1240" spans="1:11">
      <c r="A1240" s="1" t="s">
        <v>520</v>
      </c>
      <c r="C1240" s="4"/>
      <c r="D1240" s="163" t="e">
        <f>#REF!</f>
        <v>#REF!</v>
      </c>
      <c r="F1240" s="249" t="s">
        <v>521</v>
      </c>
    </row>
    <row r="1241" spans="1:11">
      <c r="A1241" s="1" t="s">
        <v>522</v>
      </c>
      <c r="C1241" s="4"/>
      <c r="D1241" s="163" t="e">
        <f>ROUND(D1239-D1240,0)</f>
        <v>#REF!</v>
      </c>
      <c r="F1241" s="249" t="s">
        <v>523</v>
      </c>
    </row>
    <row r="1242" spans="1:11">
      <c r="C1242" s="4"/>
      <c r="D1242" s="4"/>
    </row>
    <row r="1243" spans="1:11" ht="15">
      <c r="A1243" s="448" t="s">
        <v>551</v>
      </c>
      <c r="B1243" s="448"/>
      <c r="C1243" s="448"/>
      <c r="D1243" s="448"/>
      <c r="E1243" s="448"/>
      <c r="F1243" s="448"/>
      <c r="G1243" s="448"/>
      <c r="H1243" s="448"/>
      <c r="I1243" s="448"/>
      <c r="J1243" s="448"/>
      <c r="K1243" s="448"/>
    </row>
    <row r="1244" spans="1:11">
      <c r="C1244" s="4"/>
      <c r="D1244" s="4"/>
    </row>
    <row r="1245" spans="1:11">
      <c r="A1245" s="452" t="s">
        <v>513</v>
      </c>
      <c r="B1245" s="452"/>
      <c r="C1245" s="14"/>
      <c r="D1245" s="14"/>
    </row>
    <row r="1246" spans="1:11">
      <c r="A1246" s="1" t="s">
        <v>514</v>
      </c>
      <c r="D1246" s="163" t="e">
        <f>#REF!</f>
        <v>#REF!</v>
      </c>
      <c r="E1246" s="135"/>
      <c r="F1246" s="249" t="s">
        <v>515</v>
      </c>
    </row>
    <row r="1247" spans="1:11">
      <c r="A1247" s="1" t="s">
        <v>516</v>
      </c>
      <c r="D1247" s="164" t="e">
        <f>#REF!</f>
        <v>#REF!</v>
      </c>
      <c r="E1247" s="135"/>
      <c r="F1247" s="249" t="s">
        <v>517</v>
      </c>
    </row>
    <row r="1248" spans="1:11">
      <c r="A1248" s="1" t="s">
        <v>518</v>
      </c>
      <c r="D1248" s="163" t="e">
        <f>IF(D1247&gt;0%,ROUND(D1246*D1247,0),0)</f>
        <v>#REF!</v>
      </c>
      <c r="E1248" s="135"/>
      <c r="F1248" s="249" t="s">
        <v>519</v>
      </c>
    </row>
    <row r="1249" spans="1:6">
      <c r="A1249" s="1" t="s">
        <v>520</v>
      </c>
      <c r="C1249" s="4"/>
      <c r="D1249" s="163" t="e">
        <f>#REF!</f>
        <v>#REF!</v>
      </c>
      <c r="F1249" s="249" t="s">
        <v>521</v>
      </c>
    </row>
    <row r="1250" spans="1:6">
      <c r="A1250" s="1" t="s">
        <v>522</v>
      </c>
      <c r="C1250" s="4"/>
      <c r="D1250" s="163" t="e">
        <f>ROUND(D1248-D1249,0)</f>
        <v>#REF!</v>
      </c>
      <c r="F1250" s="249" t="s">
        <v>523</v>
      </c>
    </row>
    <row r="1251" spans="1:6">
      <c r="C1251" s="4"/>
      <c r="D1251" s="4"/>
    </row>
    <row r="1252" spans="1:6">
      <c r="A1252" s="452" t="s">
        <v>524</v>
      </c>
      <c r="B1252" s="452"/>
      <c r="C1252" s="14" t="e">
        <f>#REF!</f>
        <v>#REF!</v>
      </c>
      <c r="D1252" s="14" t="e">
        <f>#REF!</f>
        <v>#REF!</v>
      </c>
    </row>
    <row r="1253" spans="1:6">
      <c r="A1253" s="1" t="s">
        <v>525</v>
      </c>
      <c r="C1253" s="163" t="e">
        <f>#REF!</f>
        <v>#REF!</v>
      </c>
      <c r="D1253" s="163" t="e">
        <f>#REF!</f>
        <v>#REF!</v>
      </c>
      <c r="F1253" s="249" t="s">
        <v>526</v>
      </c>
    </row>
    <row r="1254" spans="1:6">
      <c r="A1254" s="1" t="s">
        <v>527</v>
      </c>
      <c r="C1254" s="163" t="e">
        <f>#REF!</f>
        <v>#REF!</v>
      </c>
      <c r="D1254" s="163" t="e">
        <f>#REF!</f>
        <v>#REF!</v>
      </c>
      <c r="F1254" s="249" t="s">
        <v>528</v>
      </c>
    </row>
    <row r="1255" spans="1:6">
      <c r="A1255" s="1" t="s">
        <v>501</v>
      </c>
      <c r="C1255" s="163" t="e">
        <f>C1253+C1254</f>
        <v>#REF!</v>
      </c>
      <c r="D1255" s="163" t="e">
        <f>D1253+D1254</f>
        <v>#REF!</v>
      </c>
      <c r="F1255" s="249" t="s">
        <v>529</v>
      </c>
    </row>
    <row r="1256" spans="1:6">
      <c r="A1256" s="1" t="s">
        <v>530</v>
      </c>
      <c r="C1256" s="163" t="e">
        <f>#REF!</f>
        <v>#REF!</v>
      </c>
      <c r="D1256" s="163" t="e">
        <f>#REF!</f>
        <v>#REF!</v>
      </c>
      <c r="F1256" s="249" t="s">
        <v>531</v>
      </c>
    </row>
    <row r="1257" spans="1:6">
      <c r="A1257" s="1" t="s">
        <v>532</v>
      </c>
      <c r="C1257" s="163" t="e">
        <f>#REF!</f>
        <v>#REF!</v>
      </c>
      <c r="D1257" s="163" t="e">
        <f>#REF!</f>
        <v>#REF!</v>
      </c>
      <c r="F1257" s="249" t="s">
        <v>533</v>
      </c>
    </row>
    <row r="1258" spans="1:6">
      <c r="A1258" s="1" t="s">
        <v>534</v>
      </c>
      <c r="C1258" s="163" t="e">
        <f>#REF!</f>
        <v>#REF!</v>
      </c>
      <c r="D1258" s="163" t="e">
        <f>#REF!</f>
        <v>#REF!</v>
      </c>
      <c r="F1258" s="249" t="s">
        <v>535</v>
      </c>
    </row>
    <row r="1259" spans="1:6">
      <c r="A1259" s="1" t="s">
        <v>536</v>
      </c>
      <c r="C1259" s="163" t="e">
        <f>#REF!</f>
        <v>#REF!</v>
      </c>
      <c r="D1259" s="163" t="e">
        <f>#REF!</f>
        <v>#REF!</v>
      </c>
      <c r="F1259" s="249" t="s">
        <v>537</v>
      </c>
    </row>
    <row r="1260" spans="1:6">
      <c r="A1260" s="1" t="s">
        <v>538</v>
      </c>
      <c r="C1260" s="163" t="e">
        <f>#REF!</f>
        <v>#REF!</v>
      </c>
      <c r="D1260" s="163" t="e">
        <f>#REF!</f>
        <v>#REF!</v>
      </c>
      <c r="F1260" s="249" t="s">
        <v>539</v>
      </c>
    </row>
    <row r="1261" spans="1:6">
      <c r="A1261" s="1" t="s">
        <v>389</v>
      </c>
      <c r="C1261" s="163" t="e">
        <f>#REF!</f>
        <v>#REF!</v>
      </c>
      <c r="D1261" s="163" t="e">
        <f>#REF!</f>
        <v>#REF!</v>
      </c>
      <c r="F1261" s="249" t="s">
        <v>540</v>
      </c>
    </row>
    <row r="1262" spans="1:6">
      <c r="A1262" s="1" t="s">
        <v>541</v>
      </c>
      <c r="C1262" s="163" t="e">
        <f>SUM(C1255:C1261)</f>
        <v>#REF!</v>
      </c>
      <c r="D1262" s="163" t="e">
        <f>SUM(D1255:D1261)</f>
        <v>#REF!</v>
      </c>
      <c r="F1262" s="249" t="s">
        <v>542</v>
      </c>
    </row>
    <row r="1263" spans="1:6">
      <c r="A1263" s="1" t="s">
        <v>543</v>
      </c>
      <c r="C1263" s="4"/>
      <c r="D1263" s="165" t="e">
        <f>#REF!</f>
        <v>#REF!</v>
      </c>
      <c r="F1263" s="249" t="s">
        <v>544</v>
      </c>
    </row>
    <row r="1264" spans="1:6">
      <c r="A1264" s="1" t="s">
        <v>545</v>
      </c>
      <c r="D1264" s="166" t="e">
        <f>IF(D1263&gt;12,C1262+D1262,D1262)</f>
        <v>#REF!</v>
      </c>
      <c r="F1264" s="249" t="s">
        <v>546</v>
      </c>
    </row>
    <row r="1265" spans="1:6">
      <c r="A1265" s="1" t="s">
        <v>547</v>
      </c>
      <c r="C1265" s="4"/>
      <c r="D1265" s="163" t="e">
        <f>IF(D1263=0,0,ROUND(D1264/D1263,0))</f>
        <v>#REF!</v>
      </c>
      <c r="F1265" s="249" t="s">
        <v>548</v>
      </c>
    </row>
    <row r="1266" spans="1:6">
      <c r="A1266" s="1" t="s">
        <v>520</v>
      </c>
      <c r="C1266" s="4"/>
      <c r="D1266" s="163" t="e">
        <f>#REF!</f>
        <v>#REF!</v>
      </c>
      <c r="F1266" s="249" t="s">
        <v>521</v>
      </c>
    </row>
    <row r="1267" spans="1:6">
      <c r="A1267" s="1" t="s">
        <v>522</v>
      </c>
      <c r="C1267" s="4"/>
      <c r="D1267" s="163" t="e">
        <f>ROUND(D1265-D1266,0)</f>
        <v>#REF!</v>
      </c>
      <c r="F1267" s="249" t="s">
        <v>523</v>
      </c>
    </row>
  </sheetData>
  <sheetProtection formatCells="0"/>
  <mergeCells count="223">
    <mergeCell ref="A1245:B1245"/>
    <mergeCell ref="A1252:B1252"/>
    <mergeCell ref="A22:A23"/>
    <mergeCell ref="A1167:B1167"/>
    <mergeCell ref="A1174:B1174"/>
    <mergeCell ref="A1191:K1191"/>
    <mergeCell ref="A1193:B1193"/>
    <mergeCell ref="A1200:B1200"/>
    <mergeCell ref="A1217:K1217"/>
    <mergeCell ref="A1219:B1219"/>
    <mergeCell ref="A1226:B1226"/>
    <mergeCell ref="A1243:K1243"/>
    <mergeCell ref="A1122:K1122"/>
    <mergeCell ref="C1132:D1132"/>
    <mergeCell ref="C1134:D1134"/>
    <mergeCell ref="C1136:D1136"/>
    <mergeCell ref="A1143:K1143"/>
    <mergeCell ref="C1153:D1153"/>
    <mergeCell ref="C1155:D1155"/>
    <mergeCell ref="C1157:D1157"/>
    <mergeCell ref="A1165:K1165"/>
    <mergeCell ref="A924:K924"/>
    <mergeCell ref="A932:K932"/>
    <mergeCell ref="A936:K936"/>
    <mergeCell ref="A938:B938"/>
    <mergeCell ref="A939:B939"/>
    <mergeCell ref="A940:B940"/>
    <mergeCell ref="A941:B941"/>
    <mergeCell ref="A959:K959"/>
    <mergeCell ref="A1026:K1026"/>
    <mergeCell ref="A782:K782"/>
    <mergeCell ref="A811:K811"/>
    <mergeCell ref="A830:K830"/>
    <mergeCell ref="A852:G852"/>
    <mergeCell ref="H852:J852"/>
    <mergeCell ref="K852:M852"/>
    <mergeCell ref="A896:K896"/>
    <mergeCell ref="A905:K905"/>
    <mergeCell ref="A915:K915"/>
    <mergeCell ref="A756:B756"/>
    <mergeCell ref="H756:L756"/>
    <mergeCell ref="A757:B757"/>
    <mergeCell ref="H757:L757"/>
    <mergeCell ref="A758:B758"/>
    <mergeCell ref="H758:L758"/>
    <mergeCell ref="A759:B759"/>
    <mergeCell ref="H759:L759"/>
    <mergeCell ref="A763:M763"/>
    <mergeCell ref="A740:B740"/>
    <mergeCell ref="H740:L740"/>
    <mergeCell ref="A741:B741"/>
    <mergeCell ref="H741:L741"/>
    <mergeCell ref="A745:M745"/>
    <mergeCell ref="A747:G747"/>
    <mergeCell ref="H747:J747"/>
    <mergeCell ref="K747:M747"/>
    <mergeCell ref="A754:M754"/>
    <mergeCell ref="A727:M727"/>
    <mergeCell ref="A729:G729"/>
    <mergeCell ref="H729:J729"/>
    <mergeCell ref="K729:M729"/>
    <mergeCell ref="A736:M736"/>
    <mergeCell ref="A738:B738"/>
    <mergeCell ref="H738:L738"/>
    <mergeCell ref="A739:B739"/>
    <mergeCell ref="H739:L739"/>
    <mergeCell ref="A718:M718"/>
    <mergeCell ref="A720:B720"/>
    <mergeCell ref="H720:L720"/>
    <mergeCell ref="A721:B721"/>
    <mergeCell ref="H721:L721"/>
    <mergeCell ref="A722:B722"/>
    <mergeCell ref="H722:L722"/>
    <mergeCell ref="A723:B723"/>
    <mergeCell ref="H723:L723"/>
    <mergeCell ref="A656:B656"/>
    <mergeCell ref="H656:L656"/>
    <mergeCell ref="A657:B657"/>
    <mergeCell ref="H657:L657"/>
    <mergeCell ref="A664:M664"/>
    <mergeCell ref="A709:M709"/>
    <mergeCell ref="A711:G711"/>
    <mergeCell ref="H711:J711"/>
    <mergeCell ref="K711:M711"/>
    <mergeCell ref="A636:C636"/>
    <mergeCell ref="A637:C637"/>
    <mergeCell ref="A639:D639"/>
    <mergeCell ref="A643:K643"/>
    <mergeCell ref="A652:M652"/>
    <mergeCell ref="A654:B654"/>
    <mergeCell ref="H654:L654"/>
    <mergeCell ref="A655:B655"/>
    <mergeCell ref="H655:L655"/>
    <mergeCell ref="A580:K580"/>
    <mergeCell ref="A600:M600"/>
    <mergeCell ref="A602:K602"/>
    <mergeCell ref="A624:G624"/>
    <mergeCell ref="H624:J624"/>
    <mergeCell ref="K624:M624"/>
    <mergeCell ref="A633:E633"/>
    <mergeCell ref="A634:C634"/>
    <mergeCell ref="A635:C635"/>
    <mergeCell ref="A525:B525"/>
    <mergeCell ref="H525:L525"/>
    <mergeCell ref="A526:B526"/>
    <mergeCell ref="H526:L526"/>
    <mergeCell ref="A527:B527"/>
    <mergeCell ref="H527:L527"/>
    <mergeCell ref="A528:B528"/>
    <mergeCell ref="H528:L528"/>
    <mergeCell ref="A535:M535"/>
    <mergeCell ref="A497:E497"/>
    <mergeCell ref="A498:C498"/>
    <mergeCell ref="A499:C499"/>
    <mergeCell ref="A500:C500"/>
    <mergeCell ref="A501:C501"/>
    <mergeCell ref="A503:D503"/>
    <mergeCell ref="A507:M507"/>
    <mergeCell ref="A516:M516"/>
    <mergeCell ref="A523:M523"/>
    <mergeCell ref="A411:B411"/>
    <mergeCell ref="H411:L411"/>
    <mergeCell ref="A412:B412"/>
    <mergeCell ref="H412:L412"/>
    <mergeCell ref="A416:M416"/>
    <mergeCell ref="A435:K435"/>
    <mergeCell ref="A464:M464"/>
    <mergeCell ref="A466:K466"/>
    <mergeCell ref="A488:G488"/>
    <mergeCell ref="H488:J488"/>
    <mergeCell ref="K488:M488"/>
    <mergeCell ref="A398:M398"/>
    <mergeCell ref="A400:G400"/>
    <mergeCell ref="H400:J400"/>
    <mergeCell ref="K400:M400"/>
    <mergeCell ref="A407:M407"/>
    <mergeCell ref="A409:B409"/>
    <mergeCell ref="H409:L409"/>
    <mergeCell ref="A410:B410"/>
    <mergeCell ref="H410:L410"/>
    <mergeCell ref="A389:M389"/>
    <mergeCell ref="A391:B391"/>
    <mergeCell ref="H391:L391"/>
    <mergeCell ref="A392:B392"/>
    <mergeCell ref="H392:L392"/>
    <mergeCell ref="A393:B393"/>
    <mergeCell ref="H393:L393"/>
    <mergeCell ref="A394:B394"/>
    <mergeCell ref="H394:L394"/>
    <mergeCell ref="A374:B374"/>
    <mergeCell ref="H374:L374"/>
    <mergeCell ref="A375:B375"/>
    <mergeCell ref="H375:L375"/>
    <mergeCell ref="A376:B376"/>
    <mergeCell ref="H376:L376"/>
    <mergeCell ref="A380:M380"/>
    <mergeCell ref="A382:G382"/>
    <mergeCell ref="H382:J382"/>
    <mergeCell ref="K382:M382"/>
    <mergeCell ref="A310:B310"/>
    <mergeCell ref="H310:L310"/>
    <mergeCell ref="A317:M317"/>
    <mergeCell ref="A362:M362"/>
    <mergeCell ref="A364:G364"/>
    <mergeCell ref="H364:J364"/>
    <mergeCell ref="K364:M364"/>
    <mergeCell ref="A371:M371"/>
    <mergeCell ref="A373:B373"/>
    <mergeCell ref="H373:L373"/>
    <mergeCell ref="A292:D292"/>
    <mergeCell ref="A296:K296"/>
    <mergeCell ref="A305:M305"/>
    <mergeCell ref="A307:B307"/>
    <mergeCell ref="H307:L307"/>
    <mergeCell ref="A308:B308"/>
    <mergeCell ref="H308:L308"/>
    <mergeCell ref="A309:B309"/>
    <mergeCell ref="H309:L309"/>
    <mergeCell ref="A255:K255"/>
    <mergeCell ref="A277:G277"/>
    <mergeCell ref="H277:J277"/>
    <mergeCell ref="K277:M277"/>
    <mergeCell ref="A286:E286"/>
    <mergeCell ref="A287:C287"/>
    <mergeCell ref="A288:C288"/>
    <mergeCell ref="A289:C289"/>
    <mergeCell ref="A290:C290"/>
    <mergeCell ref="A179:B179"/>
    <mergeCell ref="H179:L179"/>
    <mergeCell ref="A180:B180"/>
    <mergeCell ref="H180:L180"/>
    <mergeCell ref="A181:B181"/>
    <mergeCell ref="H181:L181"/>
    <mergeCell ref="A188:M188"/>
    <mergeCell ref="A233:K233"/>
    <mergeCell ref="A253:M253"/>
    <mergeCell ref="A152:C152"/>
    <mergeCell ref="A153:C153"/>
    <mergeCell ref="A154:C154"/>
    <mergeCell ref="A156:D156"/>
    <mergeCell ref="A160:M160"/>
    <mergeCell ref="A169:M169"/>
    <mergeCell ref="A176:M176"/>
    <mergeCell ref="A178:B178"/>
    <mergeCell ref="H178:L178"/>
    <mergeCell ref="A92:M92"/>
    <mergeCell ref="A104:M104"/>
    <mergeCell ref="A117:M117"/>
    <mergeCell ref="A119:K119"/>
    <mergeCell ref="A141:G141"/>
    <mergeCell ref="H141:J141"/>
    <mergeCell ref="K141:M141"/>
    <mergeCell ref="A150:E150"/>
    <mergeCell ref="A151:C151"/>
    <mergeCell ref="A1:M1"/>
    <mergeCell ref="A3:M3"/>
    <mergeCell ref="A19:M19"/>
    <mergeCell ref="A25:M25"/>
    <mergeCell ref="A34:M34"/>
    <mergeCell ref="A44:M44"/>
    <mergeCell ref="D46:F46"/>
    <mergeCell ref="A59:M59"/>
    <mergeCell ref="B61:H61"/>
  </mergeCells>
  <phoneticPr fontId="12" type="noConversion"/>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80"/>
  <sheetViews>
    <sheetView topLeftCell="A22" workbookViewId="0">
      <selection activeCell="B54" sqref="B54"/>
    </sheetView>
  </sheetViews>
  <sheetFormatPr defaultColWidth="9.28515625" defaultRowHeight="12.75"/>
  <cols>
    <col min="1" max="1" width="20.7109375" style="1" customWidth="1"/>
    <col min="2" max="2" width="23.7109375" style="1" customWidth="1"/>
    <col min="3" max="3" width="7.7109375" style="1" customWidth="1"/>
    <col min="4" max="4" width="23.7109375" style="1" customWidth="1"/>
    <col min="5" max="16384" width="9.28515625" style="1"/>
  </cols>
  <sheetData>
    <row r="1" spans="1:2" ht="16.149999999999999" customHeight="1"/>
    <row r="2" spans="1:2" ht="16.149999999999999" customHeight="1">
      <c r="A2" s="1" t="s">
        <v>552</v>
      </c>
      <c r="B2" s="24" t="e">
        <f>#REF!</f>
        <v>#REF!</v>
      </c>
    </row>
    <row r="3" spans="1:2" ht="16.149999999999999" customHeight="1">
      <c r="B3" s="24"/>
    </row>
    <row r="4" spans="1:2" ht="16.149999999999999" customHeight="1">
      <c r="A4" s="1" t="s">
        <v>553</v>
      </c>
      <c r="B4" s="24" t="e">
        <f>#REF!</f>
        <v>#REF!</v>
      </c>
    </row>
    <row r="5" spans="1:2" ht="16.149999999999999" customHeight="1">
      <c r="A5" s="1" t="s">
        <v>554</v>
      </c>
      <c r="B5" s="24" t="e">
        <f>#REF!</f>
        <v>#REF!</v>
      </c>
    </row>
    <row r="6" spans="1:2" ht="16.149999999999999" customHeight="1">
      <c r="A6" s="1" t="s">
        <v>555</v>
      </c>
      <c r="B6" s="24" t="e">
        <f>B4*6.2%</f>
        <v>#REF!</v>
      </c>
    </row>
    <row r="7" spans="1:2" ht="16.149999999999999" customHeight="1">
      <c r="A7" s="1" t="s">
        <v>556</v>
      </c>
      <c r="B7" s="24" t="e">
        <f>B4*1.45%</f>
        <v>#REF!</v>
      </c>
    </row>
    <row r="8" spans="1:2" ht="16.149999999999999" customHeight="1">
      <c r="A8" s="1" t="s">
        <v>557</v>
      </c>
      <c r="B8" s="24" t="e">
        <f>#REF!</f>
        <v>#REF!</v>
      </c>
    </row>
    <row r="9" spans="1:2" ht="16.149999999999999" customHeight="1">
      <c r="A9" s="1" t="s">
        <v>558</v>
      </c>
      <c r="B9" s="24" t="e">
        <f>#REF!</f>
        <v>#REF!</v>
      </c>
    </row>
    <row r="10" spans="1:2" ht="16.149999999999999" customHeight="1">
      <c r="A10" s="1" t="s">
        <v>559</v>
      </c>
      <c r="B10" s="24" t="e">
        <f>SUM(B5:B9)</f>
        <v>#REF!</v>
      </c>
    </row>
    <row r="11" spans="1:2" ht="16.149999999999999" customHeight="1">
      <c r="A11" s="1" t="s">
        <v>560</v>
      </c>
      <c r="B11" s="24" t="e">
        <f>B4-B10</f>
        <v>#REF!</v>
      </c>
    </row>
    <row r="12" spans="1:2" ht="16.149999999999999" customHeight="1">
      <c r="B12" s="24"/>
    </row>
    <row r="13" spans="1:2" ht="16.149999999999999" customHeight="1">
      <c r="A13" s="1" t="s">
        <v>553</v>
      </c>
      <c r="B13" s="24" t="e">
        <f>#REF!</f>
        <v>#REF!</v>
      </c>
    </row>
    <row r="14" spans="1:2" ht="16.149999999999999" customHeight="1">
      <c r="A14" s="1" t="s">
        <v>554</v>
      </c>
      <c r="B14" s="24" t="e">
        <f>#REF!</f>
        <v>#REF!</v>
      </c>
    </row>
    <row r="15" spans="1:2" ht="16.149999999999999" customHeight="1">
      <c r="A15" s="1" t="s">
        <v>561</v>
      </c>
      <c r="B15" s="24" t="e">
        <f>B13*12.4%</f>
        <v>#REF!</v>
      </c>
    </row>
    <row r="16" spans="1:2" ht="16.149999999999999" customHeight="1">
      <c r="A16" s="1" t="s">
        <v>562</v>
      </c>
      <c r="B16" s="24" t="e">
        <f>B13*2.9%</f>
        <v>#REF!</v>
      </c>
    </row>
    <row r="17" spans="1:2" ht="16.149999999999999" customHeight="1">
      <c r="A17" s="1" t="s">
        <v>557</v>
      </c>
      <c r="B17" s="24" t="e">
        <f>#REF!</f>
        <v>#REF!</v>
      </c>
    </row>
    <row r="18" spans="1:2" ht="16.149999999999999" customHeight="1">
      <c r="A18" s="1" t="s">
        <v>558</v>
      </c>
      <c r="B18" s="24" t="e">
        <f>#REF!</f>
        <v>#REF!</v>
      </c>
    </row>
    <row r="19" spans="1:2" ht="16.149999999999999" customHeight="1">
      <c r="A19" s="1" t="s">
        <v>563</v>
      </c>
      <c r="B19" s="24" t="e">
        <f>SUM(B14:B18)</f>
        <v>#REF!</v>
      </c>
    </row>
    <row r="20" spans="1:2" ht="16.149999999999999" customHeight="1">
      <c r="A20" s="1" t="s">
        <v>564</v>
      </c>
      <c r="B20" s="24" t="e">
        <f>B13-B19</f>
        <v>#REF!</v>
      </c>
    </row>
    <row r="21" spans="1:2" ht="16.149999999999999" customHeight="1">
      <c r="B21" s="24"/>
    </row>
    <row r="22" spans="1:2" ht="16.149999999999999" customHeight="1">
      <c r="A22" s="1" t="s">
        <v>565</v>
      </c>
      <c r="B22" s="24" t="e">
        <f>#REF!</f>
        <v>#REF!</v>
      </c>
    </row>
    <row r="23" spans="1:2" ht="16.149999999999999" customHeight="1">
      <c r="A23" s="1" t="s">
        <v>566</v>
      </c>
      <c r="B23" s="24" t="e">
        <f>#REF!</f>
        <v>#REF!</v>
      </c>
    </row>
    <row r="24" spans="1:2" ht="16.149999999999999" customHeight="1">
      <c r="A24" s="1" t="s">
        <v>567</v>
      </c>
      <c r="B24" s="24" t="e">
        <f>SUM(B22:B23)</f>
        <v>#REF!</v>
      </c>
    </row>
    <row r="25" spans="1:2" ht="16.149999999999999" customHeight="1">
      <c r="B25" s="24"/>
    </row>
    <row r="26" spans="1:2" ht="16.149999999999999" customHeight="1">
      <c r="A26" s="1" t="s">
        <v>568</v>
      </c>
      <c r="B26" s="24" t="e">
        <f>#REF!</f>
        <v>#REF!</v>
      </c>
    </row>
    <row r="27" spans="1:2" ht="16.149999999999999" customHeight="1">
      <c r="A27" s="1" t="s">
        <v>569</v>
      </c>
      <c r="B27" s="24" t="e">
        <f>#REF!</f>
        <v>#REF!</v>
      </c>
    </row>
    <row r="28" spans="1:2" ht="16.149999999999999" customHeight="1">
      <c r="A28" s="1" t="s">
        <v>570</v>
      </c>
      <c r="B28" s="25" t="e">
        <f>#REF!</f>
        <v>#REF!</v>
      </c>
    </row>
    <row r="29" spans="1:2" ht="16.149999999999999" customHeight="1">
      <c r="A29" s="1" t="s">
        <v>571</v>
      </c>
      <c r="B29" s="24" t="e">
        <f>B28*0.14</f>
        <v>#REF!</v>
      </c>
    </row>
    <row r="30" spans="1:2" ht="16.149999999999999" customHeight="1">
      <c r="A30" s="1" t="s">
        <v>572</v>
      </c>
      <c r="B30" s="24" t="e">
        <f>B26+B27+B29</f>
        <v>#REF!</v>
      </c>
    </row>
    <row r="31" spans="1:2" ht="16.149999999999999" customHeight="1">
      <c r="B31" s="24"/>
    </row>
    <row r="32" spans="1:2" ht="16.149999999999999" customHeight="1">
      <c r="A32" s="1" t="s">
        <v>573</v>
      </c>
      <c r="B32" s="26" t="e">
        <f>(B11+B20+B22)-B30</f>
        <v>#REF!</v>
      </c>
    </row>
    <row r="33" spans="1:2" ht="16.149999999999999" customHeight="1">
      <c r="A33" s="1" t="s">
        <v>574</v>
      </c>
      <c r="B33" s="26" t="e">
        <f>#REF!</f>
        <v>#REF!</v>
      </c>
    </row>
    <row r="34" spans="1:2" ht="16.149999999999999" customHeight="1">
      <c r="B34" s="26"/>
    </row>
    <row r="35" spans="1:2" ht="16.149999999999999" customHeight="1">
      <c r="A35" s="1" t="s">
        <v>575</v>
      </c>
      <c r="B35" s="26" t="s">
        <v>576</v>
      </c>
    </row>
    <row r="36" spans="1:2" ht="16.149999999999999" customHeight="1">
      <c r="B36" s="26" t="s">
        <v>577</v>
      </c>
    </row>
    <row r="37" spans="1:2" ht="16.149999999999999" customHeight="1">
      <c r="B37" s="26" t="s">
        <v>578</v>
      </c>
    </row>
    <row r="38" spans="1:2" ht="16.149999999999999" customHeight="1">
      <c r="B38" s="26"/>
    </row>
    <row r="39" spans="1:2" ht="16.149999999999999" customHeight="1">
      <c r="A39" s="1" t="s">
        <v>579</v>
      </c>
      <c r="B39" s="4">
        <v>1</v>
      </c>
    </row>
    <row r="40" spans="1:2" ht="16.149999999999999" customHeight="1">
      <c r="A40" s="1" t="s">
        <v>580</v>
      </c>
      <c r="B40" s="4">
        <v>1</v>
      </c>
    </row>
    <row r="41" spans="1:2" ht="16.149999999999999" customHeight="1">
      <c r="A41" s="1" t="s">
        <v>580</v>
      </c>
      <c r="B41" s="4" t="str">
        <f>VLOOKUP(B40,A67:B118,2)</f>
        <v>ALABAMA</v>
      </c>
    </row>
    <row r="42" spans="1:2" ht="16.149999999999999" customHeight="1">
      <c r="A42" s="1" t="s">
        <v>581</v>
      </c>
      <c r="B42" s="4" t="e">
        <f>FAMILYSIZE</f>
        <v>#REF!</v>
      </c>
    </row>
    <row r="43" spans="1:2" ht="16.149999999999999" customHeight="1">
      <c r="A43" s="1" t="s">
        <v>582</v>
      </c>
      <c r="B43" s="4" t="b">
        <f>IF(B39=2,TRUE,FALSE)</f>
        <v>0</v>
      </c>
    </row>
    <row r="44" spans="1:2" ht="16.149999999999999" customHeight="1">
      <c r="A44" s="1" t="s">
        <v>583</v>
      </c>
      <c r="B44" s="27" t="e">
        <f>IF(OR(FAMILYSIZE="",FAMILYSIZE=0),0,IF(B2&gt;=80000,VLOOKUP(STATESELECTED,D67:N118,FAMILYSIZE+1),IF(B2&lt;80000,VLOOKUP(STATESELECTED,D129:N180,FAMILYSIZE+1),0)))</f>
        <v>#REF!</v>
      </c>
    </row>
    <row r="45" spans="1:2" ht="16.149999999999999" customHeight="1">
      <c r="A45" s="1" t="s">
        <v>584</v>
      </c>
      <c r="B45" s="27" t="e">
        <f>IF(B43=TRUE,B44*95%,B44)</f>
        <v>#REF!</v>
      </c>
    </row>
    <row r="46" spans="1:2" ht="16.149999999999999" customHeight="1">
      <c r="A46" s="1" t="s">
        <v>585</v>
      </c>
      <c r="B46" s="28" t="e">
        <f>B32-B33</f>
        <v>#REF!</v>
      </c>
    </row>
    <row r="47" spans="1:2" ht="16.149999999999999" customHeight="1">
      <c r="A47" s="1" t="s">
        <v>586</v>
      </c>
      <c r="B47" s="28" t="e">
        <f>RESIDUALACTUAL-RESIDUALREQUIRED</f>
        <v>#REF!</v>
      </c>
    </row>
    <row r="48" spans="1:2" ht="16.149999999999999" customHeight="1">
      <c r="A48" s="1" t="s">
        <v>587</v>
      </c>
      <c r="B48" s="29" t="e">
        <f>IF(B46=0,0,ROUNDDOWN(B47/B44,0))</f>
        <v>#REF!</v>
      </c>
    </row>
    <row r="49" spans="1:14" ht="16.149999999999999" customHeight="1"/>
    <row r="50" spans="1:14" ht="16.149999999999999" customHeight="1"/>
    <row r="51" spans="1:14" ht="16.149999999999999" customHeight="1">
      <c r="A51" s="1" t="s">
        <v>588</v>
      </c>
      <c r="B51" s="1" t="e">
        <f>IF(OR(FAMILYSIZE="",RESIDUALACTUAL=0),"",CONCATENATE(" State of",STATESELECTED," and Family Size of ",FAMILYSIZE,))</f>
        <v>#REF!</v>
      </c>
    </row>
    <row r="52" spans="1:14" ht="16.149999999999999" customHeight="1">
      <c r="A52" s="1" t="s">
        <v>589</v>
      </c>
      <c r="B52" s="1" t="e">
        <f>IF(RESIDUALACTUAL=0,"",CONCATENATE("Actual Residual Income = ",DOLLAR(RESIDUALACTUAL,2)))</f>
        <v>#REF!</v>
      </c>
    </row>
    <row r="53" spans="1:14" ht="16.149999999999999" customHeight="1">
      <c r="A53" s="1" t="s">
        <v>590</v>
      </c>
      <c r="B53" s="1" t="e">
        <f>IF(RESIDUALACTUAL=0,"",CONCATENATE("Actual Residual Income = ",DOLLAR(RESIDUALACTUAL,2)))</f>
        <v>#REF!</v>
      </c>
    </row>
    <row r="54" spans="1:14" ht="16.149999999999999" customHeight="1">
      <c r="A54" s="1" t="s">
        <v>591</v>
      </c>
      <c r="B54" s="1" t="e">
        <f>IF(RESIDUALDIFF=0,"",IF(RESIDUALDIFF&gt;0,CONCATENATE("Actual Residual Income EXCEEDS Guidelines by an additional ",ROUNDDOWN(RESIDUALDIFF*100,0),"%"),IF(RESIDUALDIFF&lt;0,CONCATENATE("Actual Residual Income is INSUFFICIENT and DOES NOT meet minimum requirements."))))</f>
        <v>#REF!</v>
      </c>
    </row>
    <row r="55" spans="1:14" ht="16.149999999999999" customHeight="1"/>
    <row r="56" spans="1:14" ht="16.149999999999999" customHeight="1"/>
    <row r="57" spans="1:14" ht="16.149999999999999" customHeight="1"/>
    <row r="58" spans="1:14">
      <c r="A58" s="459" t="s">
        <v>592</v>
      </c>
      <c r="B58" s="460"/>
      <c r="C58" s="460"/>
      <c r="D58" s="460"/>
      <c r="E58" s="460"/>
      <c r="F58" s="460"/>
      <c r="G58" s="460"/>
      <c r="H58" s="460"/>
      <c r="I58" s="460"/>
      <c r="J58" s="460"/>
      <c r="K58" s="460"/>
      <c r="L58" s="460"/>
      <c r="M58" s="461"/>
    </row>
    <row r="60" spans="1:14" ht="25.15" customHeight="1">
      <c r="B60" s="30" t="s">
        <v>593</v>
      </c>
      <c r="C60" s="31" t="s">
        <v>594</v>
      </c>
      <c r="D60" s="30" t="s">
        <v>593</v>
      </c>
      <c r="E60" s="31" t="s">
        <v>595</v>
      </c>
      <c r="F60" s="31" t="s">
        <v>596</v>
      </c>
      <c r="G60" s="31" t="s">
        <v>597</v>
      </c>
      <c r="H60" s="31" t="s">
        <v>598</v>
      </c>
      <c r="I60" s="31" t="s">
        <v>599</v>
      </c>
      <c r="J60" s="31" t="s">
        <v>600</v>
      </c>
      <c r="K60" s="31" t="s">
        <v>601</v>
      </c>
      <c r="L60" s="31" t="s">
        <v>602</v>
      </c>
      <c r="M60" s="31" t="s">
        <v>603</v>
      </c>
      <c r="N60" s="31" t="s">
        <v>604</v>
      </c>
    </row>
    <row r="61" spans="1:14">
      <c r="B61" s="32" t="s">
        <v>605</v>
      </c>
      <c r="C61" s="33"/>
      <c r="D61" s="32" t="s">
        <v>605</v>
      </c>
      <c r="E61" s="34">
        <v>450</v>
      </c>
      <c r="F61" s="34">
        <v>755</v>
      </c>
      <c r="G61" s="34">
        <v>909</v>
      </c>
      <c r="H61" s="34">
        <v>1025</v>
      </c>
      <c r="I61" s="34">
        <v>1062</v>
      </c>
      <c r="J61" s="34">
        <v>1142</v>
      </c>
      <c r="K61" s="34">
        <v>1222</v>
      </c>
      <c r="L61" s="34">
        <v>1302</v>
      </c>
      <c r="M61" s="34">
        <v>1382</v>
      </c>
      <c r="N61" s="34">
        <v>1462</v>
      </c>
    </row>
    <row r="62" spans="1:14">
      <c r="B62" s="35" t="s">
        <v>606</v>
      </c>
      <c r="C62" s="36"/>
      <c r="D62" s="35" t="s">
        <v>606</v>
      </c>
      <c r="E62" s="37">
        <v>441</v>
      </c>
      <c r="F62" s="37">
        <v>738</v>
      </c>
      <c r="G62" s="37">
        <v>889</v>
      </c>
      <c r="H62" s="37">
        <v>1003</v>
      </c>
      <c r="I62" s="37">
        <v>1039</v>
      </c>
      <c r="J62" s="37">
        <v>1119</v>
      </c>
      <c r="K62" s="37">
        <v>1199</v>
      </c>
      <c r="L62" s="37">
        <v>1279</v>
      </c>
      <c r="M62" s="37">
        <v>1359</v>
      </c>
      <c r="N62" s="37">
        <v>1439</v>
      </c>
    </row>
    <row r="63" spans="1:14">
      <c r="B63" s="35" t="s">
        <v>607</v>
      </c>
      <c r="C63" s="36"/>
      <c r="D63" s="35" t="s">
        <v>607</v>
      </c>
      <c r="E63" s="37">
        <v>441</v>
      </c>
      <c r="F63" s="37">
        <v>738</v>
      </c>
      <c r="G63" s="37">
        <v>889</v>
      </c>
      <c r="H63" s="37">
        <v>1003</v>
      </c>
      <c r="I63" s="37">
        <v>1039</v>
      </c>
      <c r="J63" s="37">
        <v>1119</v>
      </c>
      <c r="K63" s="37">
        <v>1199</v>
      </c>
      <c r="L63" s="37">
        <v>1279</v>
      </c>
      <c r="M63" s="37">
        <v>1359</v>
      </c>
      <c r="N63" s="37">
        <v>1439</v>
      </c>
    </row>
    <row r="64" spans="1:14">
      <c r="B64" s="35" t="s">
        <v>608</v>
      </c>
      <c r="C64" s="36"/>
      <c r="D64" s="35" t="s">
        <v>608</v>
      </c>
      <c r="E64" s="37">
        <v>491</v>
      </c>
      <c r="F64" s="37">
        <v>823</v>
      </c>
      <c r="G64" s="37">
        <v>990</v>
      </c>
      <c r="H64" s="37">
        <v>1117</v>
      </c>
      <c r="I64" s="37">
        <v>1158</v>
      </c>
      <c r="J64" s="37">
        <v>1238</v>
      </c>
      <c r="K64" s="37">
        <v>1318</v>
      </c>
      <c r="L64" s="37">
        <v>1398</v>
      </c>
      <c r="M64" s="37">
        <v>1478</v>
      </c>
      <c r="N64" s="37">
        <v>1558</v>
      </c>
    </row>
    <row r="66" spans="1:15" ht="25.15" customHeight="1">
      <c r="B66" s="30" t="s">
        <v>609</v>
      </c>
      <c r="C66" s="31" t="s">
        <v>594</v>
      </c>
      <c r="D66" s="30" t="s">
        <v>609</v>
      </c>
      <c r="E66" s="31" t="s">
        <v>595</v>
      </c>
      <c r="F66" s="31" t="s">
        <v>596</v>
      </c>
      <c r="G66" s="31" t="s">
        <v>597</v>
      </c>
      <c r="H66" s="31" t="s">
        <v>598</v>
      </c>
      <c r="I66" s="31" t="s">
        <v>599</v>
      </c>
      <c r="J66" s="31" t="s">
        <v>600</v>
      </c>
      <c r="K66" s="31" t="s">
        <v>601</v>
      </c>
      <c r="L66" s="31" t="s">
        <v>602</v>
      </c>
      <c r="M66" s="31" t="s">
        <v>603</v>
      </c>
      <c r="N66" s="31" t="s">
        <v>604</v>
      </c>
      <c r="O66" s="31" t="s">
        <v>610</v>
      </c>
    </row>
    <row r="67" spans="1:15">
      <c r="A67" s="36">
        <v>1</v>
      </c>
      <c r="B67" s="32" t="s">
        <v>611</v>
      </c>
      <c r="C67" s="33" t="s">
        <v>612</v>
      </c>
      <c r="D67" s="32" t="s">
        <v>611</v>
      </c>
      <c r="E67" s="34">
        <f t="shared" ref="E67:N67" si="0">E$63</f>
        <v>441</v>
      </c>
      <c r="F67" s="34">
        <f t="shared" si="0"/>
        <v>738</v>
      </c>
      <c r="G67" s="34">
        <f t="shared" si="0"/>
        <v>889</v>
      </c>
      <c r="H67" s="34">
        <f t="shared" si="0"/>
        <v>1003</v>
      </c>
      <c r="I67" s="34">
        <f t="shared" si="0"/>
        <v>1039</v>
      </c>
      <c r="J67" s="34">
        <f t="shared" si="0"/>
        <v>1119</v>
      </c>
      <c r="K67" s="34">
        <f t="shared" si="0"/>
        <v>1199</v>
      </c>
      <c r="L67" s="34">
        <f t="shared" si="0"/>
        <v>1279</v>
      </c>
      <c r="M67" s="34">
        <f t="shared" si="0"/>
        <v>1359</v>
      </c>
      <c r="N67" s="34">
        <f t="shared" si="0"/>
        <v>1439</v>
      </c>
      <c r="O67" s="34" t="s">
        <v>613</v>
      </c>
    </row>
    <row r="68" spans="1:15">
      <c r="A68" s="36">
        <v>2</v>
      </c>
      <c r="B68" s="35" t="s">
        <v>614</v>
      </c>
      <c r="C68" s="36" t="s">
        <v>615</v>
      </c>
      <c r="D68" s="35" t="s">
        <v>614</v>
      </c>
      <c r="E68" s="37">
        <f t="shared" ref="E68:N69" si="1">E$64</f>
        <v>491</v>
      </c>
      <c r="F68" s="37">
        <f t="shared" si="1"/>
        <v>823</v>
      </c>
      <c r="G68" s="37">
        <f t="shared" si="1"/>
        <v>990</v>
      </c>
      <c r="H68" s="37">
        <f t="shared" si="1"/>
        <v>1117</v>
      </c>
      <c r="I68" s="37">
        <f t="shared" si="1"/>
        <v>1158</v>
      </c>
      <c r="J68" s="37">
        <f t="shared" si="1"/>
        <v>1238</v>
      </c>
      <c r="K68" s="37">
        <f t="shared" si="1"/>
        <v>1318</v>
      </c>
      <c r="L68" s="37">
        <f t="shared" si="1"/>
        <v>1398</v>
      </c>
      <c r="M68" s="37">
        <f t="shared" si="1"/>
        <v>1478</v>
      </c>
      <c r="N68" s="37">
        <f t="shared" si="1"/>
        <v>1558</v>
      </c>
      <c r="O68" s="37" t="s">
        <v>616</v>
      </c>
    </row>
    <row r="69" spans="1:15">
      <c r="A69" s="36">
        <v>3</v>
      </c>
      <c r="B69" s="35" t="s">
        <v>617</v>
      </c>
      <c r="C69" s="36" t="s">
        <v>618</v>
      </c>
      <c r="D69" s="35" t="s">
        <v>617</v>
      </c>
      <c r="E69" s="37">
        <f t="shared" si="1"/>
        <v>491</v>
      </c>
      <c r="F69" s="37">
        <f t="shared" si="1"/>
        <v>823</v>
      </c>
      <c r="G69" s="37">
        <f t="shared" si="1"/>
        <v>990</v>
      </c>
      <c r="H69" s="37">
        <f t="shared" si="1"/>
        <v>1117</v>
      </c>
      <c r="I69" s="37">
        <f t="shared" si="1"/>
        <v>1158</v>
      </c>
      <c r="J69" s="37">
        <f t="shared" si="1"/>
        <v>1238</v>
      </c>
      <c r="K69" s="37">
        <f t="shared" si="1"/>
        <v>1318</v>
      </c>
      <c r="L69" s="37">
        <f t="shared" si="1"/>
        <v>1398</v>
      </c>
      <c r="M69" s="37">
        <f t="shared" si="1"/>
        <v>1478</v>
      </c>
      <c r="N69" s="37">
        <f t="shared" si="1"/>
        <v>1558</v>
      </c>
      <c r="O69" s="37" t="s">
        <v>616</v>
      </c>
    </row>
    <row r="70" spans="1:15">
      <c r="A70" s="36">
        <v>4</v>
      </c>
      <c r="B70" s="35" t="s">
        <v>619</v>
      </c>
      <c r="C70" s="36" t="s">
        <v>620</v>
      </c>
      <c r="D70" s="35" t="s">
        <v>619</v>
      </c>
      <c r="E70" s="37">
        <f t="shared" ref="E70:N70" si="2">E$63</f>
        <v>441</v>
      </c>
      <c r="F70" s="37">
        <f t="shared" si="2"/>
        <v>738</v>
      </c>
      <c r="G70" s="37">
        <f t="shared" si="2"/>
        <v>889</v>
      </c>
      <c r="H70" s="37">
        <f t="shared" si="2"/>
        <v>1003</v>
      </c>
      <c r="I70" s="37">
        <f t="shared" si="2"/>
        <v>1039</v>
      </c>
      <c r="J70" s="37">
        <f t="shared" si="2"/>
        <v>1119</v>
      </c>
      <c r="K70" s="37">
        <f t="shared" si="2"/>
        <v>1199</v>
      </c>
      <c r="L70" s="37">
        <f t="shared" si="2"/>
        <v>1279</v>
      </c>
      <c r="M70" s="37">
        <f t="shared" si="2"/>
        <v>1359</v>
      </c>
      <c r="N70" s="37">
        <f t="shared" si="2"/>
        <v>1439</v>
      </c>
      <c r="O70" s="37" t="s">
        <v>613</v>
      </c>
    </row>
    <row r="71" spans="1:15">
      <c r="A71" s="36">
        <v>5</v>
      </c>
      <c r="B71" s="35" t="s">
        <v>621</v>
      </c>
      <c r="C71" s="36" t="s">
        <v>622</v>
      </c>
      <c r="D71" s="35" t="s">
        <v>621</v>
      </c>
      <c r="E71" s="37">
        <f t="shared" ref="E71:N72" si="3">E$64</f>
        <v>491</v>
      </c>
      <c r="F71" s="37">
        <f t="shared" si="3"/>
        <v>823</v>
      </c>
      <c r="G71" s="37">
        <f t="shared" si="3"/>
        <v>990</v>
      </c>
      <c r="H71" s="37">
        <f t="shared" si="3"/>
        <v>1117</v>
      </c>
      <c r="I71" s="37">
        <f t="shared" si="3"/>
        <v>1158</v>
      </c>
      <c r="J71" s="37">
        <f t="shared" si="3"/>
        <v>1238</v>
      </c>
      <c r="K71" s="37">
        <f t="shared" si="3"/>
        <v>1318</v>
      </c>
      <c r="L71" s="37">
        <f t="shared" si="3"/>
        <v>1398</v>
      </c>
      <c r="M71" s="37">
        <f t="shared" si="3"/>
        <v>1478</v>
      </c>
      <c r="N71" s="37">
        <f t="shared" si="3"/>
        <v>1558</v>
      </c>
      <c r="O71" s="37" t="s">
        <v>616</v>
      </c>
    </row>
    <row r="72" spans="1:15">
      <c r="A72" s="36">
        <v>6</v>
      </c>
      <c r="B72" s="35" t="s">
        <v>623</v>
      </c>
      <c r="C72" s="36" t="s">
        <v>624</v>
      </c>
      <c r="D72" s="35" t="s">
        <v>623</v>
      </c>
      <c r="E72" s="37">
        <f t="shared" si="3"/>
        <v>491</v>
      </c>
      <c r="F72" s="37">
        <f t="shared" si="3"/>
        <v>823</v>
      </c>
      <c r="G72" s="37">
        <f t="shared" si="3"/>
        <v>990</v>
      </c>
      <c r="H72" s="37">
        <f t="shared" si="3"/>
        <v>1117</v>
      </c>
      <c r="I72" s="37">
        <f t="shared" si="3"/>
        <v>1158</v>
      </c>
      <c r="J72" s="37">
        <f t="shared" si="3"/>
        <v>1238</v>
      </c>
      <c r="K72" s="37">
        <f t="shared" si="3"/>
        <v>1318</v>
      </c>
      <c r="L72" s="37">
        <f t="shared" si="3"/>
        <v>1398</v>
      </c>
      <c r="M72" s="37">
        <f t="shared" si="3"/>
        <v>1478</v>
      </c>
      <c r="N72" s="37">
        <f t="shared" si="3"/>
        <v>1558</v>
      </c>
      <c r="O72" s="37" t="s">
        <v>616</v>
      </c>
    </row>
    <row r="73" spans="1:15">
      <c r="A73" s="36">
        <v>7</v>
      </c>
      <c r="B73" s="35" t="s">
        <v>625</v>
      </c>
      <c r="C73" s="36" t="s">
        <v>626</v>
      </c>
      <c r="D73" s="35" t="s">
        <v>625</v>
      </c>
      <c r="E73" s="37">
        <f t="shared" ref="E73:N73" si="4">E$61</f>
        <v>450</v>
      </c>
      <c r="F73" s="37">
        <f t="shared" si="4"/>
        <v>755</v>
      </c>
      <c r="G73" s="37">
        <f t="shared" si="4"/>
        <v>909</v>
      </c>
      <c r="H73" s="37">
        <f t="shared" si="4"/>
        <v>1025</v>
      </c>
      <c r="I73" s="37">
        <f t="shared" si="4"/>
        <v>1062</v>
      </c>
      <c r="J73" s="37">
        <f t="shared" si="4"/>
        <v>1142</v>
      </c>
      <c r="K73" s="37">
        <f t="shared" si="4"/>
        <v>1222</v>
      </c>
      <c r="L73" s="37">
        <f t="shared" si="4"/>
        <v>1302</v>
      </c>
      <c r="M73" s="37">
        <f t="shared" si="4"/>
        <v>1382</v>
      </c>
      <c r="N73" s="37">
        <f t="shared" si="4"/>
        <v>1462</v>
      </c>
      <c r="O73" s="37" t="s">
        <v>627</v>
      </c>
    </row>
    <row r="74" spans="1:15">
      <c r="A74" s="36">
        <v>8</v>
      </c>
      <c r="B74" s="35" t="s">
        <v>628</v>
      </c>
      <c r="C74" s="36" t="s">
        <v>629</v>
      </c>
      <c r="D74" s="35" t="s">
        <v>628</v>
      </c>
      <c r="E74" s="37">
        <f t="shared" ref="E74:N77" si="5">E$63</f>
        <v>441</v>
      </c>
      <c r="F74" s="37">
        <f t="shared" si="5"/>
        <v>738</v>
      </c>
      <c r="G74" s="37">
        <f t="shared" si="5"/>
        <v>889</v>
      </c>
      <c r="H74" s="37">
        <f t="shared" si="5"/>
        <v>1003</v>
      </c>
      <c r="I74" s="37">
        <f t="shared" si="5"/>
        <v>1039</v>
      </c>
      <c r="J74" s="37">
        <f t="shared" si="5"/>
        <v>1119</v>
      </c>
      <c r="K74" s="37">
        <f t="shared" si="5"/>
        <v>1199</v>
      </c>
      <c r="L74" s="37">
        <f t="shared" si="5"/>
        <v>1279</v>
      </c>
      <c r="M74" s="37">
        <f t="shared" si="5"/>
        <v>1359</v>
      </c>
      <c r="N74" s="37">
        <f t="shared" si="5"/>
        <v>1439</v>
      </c>
      <c r="O74" s="37" t="s">
        <v>613</v>
      </c>
    </row>
    <row r="75" spans="1:15">
      <c r="A75" s="36">
        <v>9</v>
      </c>
      <c r="B75" s="35" t="s">
        <v>630</v>
      </c>
      <c r="C75" s="36" t="s">
        <v>631</v>
      </c>
      <c r="D75" s="35" t="s">
        <v>630</v>
      </c>
      <c r="E75" s="37">
        <f t="shared" si="5"/>
        <v>441</v>
      </c>
      <c r="F75" s="37">
        <f t="shared" si="5"/>
        <v>738</v>
      </c>
      <c r="G75" s="37">
        <f t="shared" si="5"/>
        <v>889</v>
      </c>
      <c r="H75" s="37">
        <f t="shared" si="5"/>
        <v>1003</v>
      </c>
      <c r="I75" s="37">
        <f t="shared" si="5"/>
        <v>1039</v>
      </c>
      <c r="J75" s="37">
        <f t="shared" si="5"/>
        <v>1119</v>
      </c>
      <c r="K75" s="37">
        <f t="shared" si="5"/>
        <v>1199</v>
      </c>
      <c r="L75" s="37">
        <f t="shared" si="5"/>
        <v>1279</v>
      </c>
      <c r="M75" s="37">
        <f t="shared" si="5"/>
        <v>1359</v>
      </c>
      <c r="N75" s="37">
        <f t="shared" si="5"/>
        <v>1439</v>
      </c>
      <c r="O75" s="37" t="s">
        <v>613</v>
      </c>
    </row>
    <row r="76" spans="1:15">
      <c r="A76" s="36">
        <v>10</v>
      </c>
      <c r="B76" s="35" t="s">
        <v>632</v>
      </c>
      <c r="C76" s="36" t="s">
        <v>633</v>
      </c>
      <c r="D76" s="35" t="s">
        <v>632</v>
      </c>
      <c r="E76" s="37">
        <f t="shared" si="5"/>
        <v>441</v>
      </c>
      <c r="F76" s="37">
        <f t="shared" si="5"/>
        <v>738</v>
      </c>
      <c r="G76" s="37">
        <f t="shared" si="5"/>
        <v>889</v>
      </c>
      <c r="H76" s="37">
        <f t="shared" si="5"/>
        <v>1003</v>
      </c>
      <c r="I76" s="37">
        <f t="shared" si="5"/>
        <v>1039</v>
      </c>
      <c r="J76" s="37">
        <f t="shared" si="5"/>
        <v>1119</v>
      </c>
      <c r="K76" s="37">
        <f t="shared" si="5"/>
        <v>1199</v>
      </c>
      <c r="L76" s="37">
        <f t="shared" si="5"/>
        <v>1279</v>
      </c>
      <c r="M76" s="37">
        <f t="shared" si="5"/>
        <v>1359</v>
      </c>
      <c r="N76" s="37">
        <f t="shared" si="5"/>
        <v>1439</v>
      </c>
      <c r="O76" s="37" t="s">
        <v>613</v>
      </c>
    </row>
    <row r="77" spans="1:15">
      <c r="A77" s="36">
        <v>11</v>
      </c>
      <c r="B77" s="35" t="s">
        <v>634</v>
      </c>
      <c r="C77" s="36" t="s">
        <v>635</v>
      </c>
      <c r="D77" s="35" t="s">
        <v>634</v>
      </c>
      <c r="E77" s="37">
        <f t="shared" si="5"/>
        <v>441</v>
      </c>
      <c r="F77" s="37">
        <f t="shared" si="5"/>
        <v>738</v>
      </c>
      <c r="G77" s="37">
        <f t="shared" si="5"/>
        <v>889</v>
      </c>
      <c r="H77" s="37">
        <f t="shared" si="5"/>
        <v>1003</v>
      </c>
      <c r="I77" s="37">
        <f t="shared" si="5"/>
        <v>1039</v>
      </c>
      <c r="J77" s="37">
        <f t="shared" si="5"/>
        <v>1119</v>
      </c>
      <c r="K77" s="37">
        <f t="shared" si="5"/>
        <v>1199</v>
      </c>
      <c r="L77" s="37">
        <f t="shared" si="5"/>
        <v>1279</v>
      </c>
      <c r="M77" s="37">
        <f t="shared" si="5"/>
        <v>1359</v>
      </c>
      <c r="N77" s="37">
        <f t="shared" si="5"/>
        <v>1439</v>
      </c>
      <c r="O77" s="37" t="s">
        <v>613</v>
      </c>
    </row>
    <row r="78" spans="1:15">
      <c r="A78" s="36">
        <v>12</v>
      </c>
      <c r="B78" s="35" t="s">
        <v>636</v>
      </c>
      <c r="C78" s="36" t="s">
        <v>637</v>
      </c>
      <c r="D78" s="35" t="s">
        <v>636</v>
      </c>
      <c r="E78" s="37">
        <f t="shared" ref="E78:N79" si="6">E$64</f>
        <v>491</v>
      </c>
      <c r="F78" s="37">
        <f t="shared" si="6"/>
        <v>823</v>
      </c>
      <c r="G78" s="37">
        <f t="shared" si="6"/>
        <v>990</v>
      </c>
      <c r="H78" s="37">
        <f t="shared" si="6"/>
        <v>1117</v>
      </c>
      <c r="I78" s="37">
        <f t="shared" si="6"/>
        <v>1158</v>
      </c>
      <c r="J78" s="37">
        <f t="shared" si="6"/>
        <v>1238</v>
      </c>
      <c r="K78" s="37">
        <f t="shared" si="6"/>
        <v>1318</v>
      </c>
      <c r="L78" s="37">
        <f t="shared" si="6"/>
        <v>1398</v>
      </c>
      <c r="M78" s="37">
        <f t="shared" si="6"/>
        <v>1478</v>
      </c>
      <c r="N78" s="37">
        <f t="shared" si="6"/>
        <v>1558</v>
      </c>
      <c r="O78" s="37" t="s">
        <v>616</v>
      </c>
    </row>
    <row r="79" spans="1:15">
      <c r="A79" s="36">
        <v>13</v>
      </c>
      <c r="B79" s="35" t="s">
        <v>638</v>
      </c>
      <c r="C79" s="36" t="s">
        <v>639</v>
      </c>
      <c r="D79" s="35" t="s">
        <v>638</v>
      </c>
      <c r="E79" s="37">
        <f t="shared" si="6"/>
        <v>491</v>
      </c>
      <c r="F79" s="37">
        <f t="shared" si="6"/>
        <v>823</v>
      </c>
      <c r="G79" s="37">
        <f t="shared" si="6"/>
        <v>990</v>
      </c>
      <c r="H79" s="37">
        <f t="shared" si="6"/>
        <v>1117</v>
      </c>
      <c r="I79" s="37">
        <f t="shared" si="6"/>
        <v>1158</v>
      </c>
      <c r="J79" s="37">
        <f t="shared" si="6"/>
        <v>1238</v>
      </c>
      <c r="K79" s="37">
        <f t="shared" si="6"/>
        <v>1318</v>
      </c>
      <c r="L79" s="37">
        <f t="shared" si="6"/>
        <v>1398</v>
      </c>
      <c r="M79" s="37">
        <f t="shared" si="6"/>
        <v>1478</v>
      </c>
      <c r="N79" s="37">
        <f t="shared" si="6"/>
        <v>1558</v>
      </c>
      <c r="O79" s="37" t="s">
        <v>616</v>
      </c>
    </row>
    <row r="80" spans="1:15">
      <c r="A80" s="36">
        <v>14</v>
      </c>
      <c r="B80" s="35" t="s">
        <v>640</v>
      </c>
      <c r="C80" s="36" t="s">
        <v>641</v>
      </c>
      <c r="D80" s="35" t="s">
        <v>640</v>
      </c>
      <c r="E80" s="37">
        <f t="shared" ref="E80:N83" si="7">E$62</f>
        <v>441</v>
      </c>
      <c r="F80" s="37">
        <f t="shared" si="7"/>
        <v>738</v>
      </c>
      <c r="G80" s="37">
        <f t="shared" si="7"/>
        <v>889</v>
      </c>
      <c r="H80" s="37">
        <f t="shared" si="7"/>
        <v>1003</v>
      </c>
      <c r="I80" s="37">
        <f t="shared" si="7"/>
        <v>1039</v>
      </c>
      <c r="J80" s="37">
        <f t="shared" si="7"/>
        <v>1119</v>
      </c>
      <c r="K80" s="37">
        <f t="shared" si="7"/>
        <v>1199</v>
      </c>
      <c r="L80" s="37">
        <f t="shared" si="7"/>
        <v>1279</v>
      </c>
      <c r="M80" s="37">
        <f t="shared" si="7"/>
        <v>1359</v>
      </c>
      <c r="N80" s="37">
        <f t="shared" si="7"/>
        <v>1439</v>
      </c>
      <c r="O80" s="37" t="s">
        <v>642</v>
      </c>
    </row>
    <row r="81" spans="1:15">
      <c r="A81" s="36">
        <v>15</v>
      </c>
      <c r="B81" s="35" t="s">
        <v>643</v>
      </c>
      <c r="C81" s="36" t="s">
        <v>644</v>
      </c>
      <c r="D81" s="35" t="s">
        <v>643</v>
      </c>
      <c r="E81" s="37">
        <f t="shared" si="7"/>
        <v>441</v>
      </c>
      <c r="F81" s="37">
        <f t="shared" si="7"/>
        <v>738</v>
      </c>
      <c r="G81" s="37">
        <f t="shared" si="7"/>
        <v>889</v>
      </c>
      <c r="H81" s="37">
        <f t="shared" si="7"/>
        <v>1003</v>
      </c>
      <c r="I81" s="37">
        <f t="shared" si="7"/>
        <v>1039</v>
      </c>
      <c r="J81" s="37">
        <f t="shared" si="7"/>
        <v>1119</v>
      </c>
      <c r="K81" s="37">
        <f t="shared" si="7"/>
        <v>1199</v>
      </c>
      <c r="L81" s="37">
        <f t="shared" si="7"/>
        <v>1279</v>
      </c>
      <c r="M81" s="37">
        <f t="shared" si="7"/>
        <v>1359</v>
      </c>
      <c r="N81" s="37">
        <f t="shared" si="7"/>
        <v>1439</v>
      </c>
      <c r="O81" s="37" t="s">
        <v>642</v>
      </c>
    </row>
    <row r="82" spans="1:15">
      <c r="A82" s="36">
        <v>16</v>
      </c>
      <c r="B82" s="35" t="s">
        <v>645</v>
      </c>
      <c r="C82" s="36" t="s">
        <v>646</v>
      </c>
      <c r="D82" s="35" t="s">
        <v>645</v>
      </c>
      <c r="E82" s="37">
        <f t="shared" si="7"/>
        <v>441</v>
      </c>
      <c r="F82" s="37">
        <f t="shared" si="7"/>
        <v>738</v>
      </c>
      <c r="G82" s="37">
        <f t="shared" si="7"/>
        <v>889</v>
      </c>
      <c r="H82" s="37">
        <f t="shared" si="7"/>
        <v>1003</v>
      </c>
      <c r="I82" s="37">
        <f t="shared" si="7"/>
        <v>1039</v>
      </c>
      <c r="J82" s="37">
        <f t="shared" si="7"/>
        <v>1119</v>
      </c>
      <c r="K82" s="37">
        <f t="shared" si="7"/>
        <v>1199</v>
      </c>
      <c r="L82" s="37">
        <f t="shared" si="7"/>
        <v>1279</v>
      </c>
      <c r="M82" s="37">
        <f t="shared" si="7"/>
        <v>1359</v>
      </c>
      <c r="N82" s="37">
        <f t="shared" si="7"/>
        <v>1439</v>
      </c>
      <c r="O82" s="37" t="s">
        <v>642</v>
      </c>
    </row>
    <row r="83" spans="1:15">
      <c r="A83" s="36">
        <v>17</v>
      </c>
      <c r="B83" s="35" t="s">
        <v>647</v>
      </c>
      <c r="C83" s="36" t="s">
        <v>648</v>
      </c>
      <c r="D83" s="35" t="s">
        <v>647</v>
      </c>
      <c r="E83" s="37">
        <f t="shared" si="7"/>
        <v>441</v>
      </c>
      <c r="F83" s="37">
        <f t="shared" si="7"/>
        <v>738</v>
      </c>
      <c r="G83" s="37">
        <f t="shared" si="7"/>
        <v>889</v>
      </c>
      <c r="H83" s="37">
        <f t="shared" si="7"/>
        <v>1003</v>
      </c>
      <c r="I83" s="37">
        <f t="shared" si="7"/>
        <v>1039</v>
      </c>
      <c r="J83" s="37">
        <f t="shared" si="7"/>
        <v>1119</v>
      </c>
      <c r="K83" s="37">
        <f t="shared" si="7"/>
        <v>1199</v>
      </c>
      <c r="L83" s="37">
        <f t="shared" si="7"/>
        <v>1279</v>
      </c>
      <c r="M83" s="37">
        <f t="shared" si="7"/>
        <v>1359</v>
      </c>
      <c r="N83" s="37">
        <f t="shared" si="7"/>
        <v>1439</v>
      </c>
      <c r="O83" s="37" t="s">
        <v>642</v>
      </c>
    </row>
    <row r="84" spans="1:15">
      <c r="A84" s="36">
        <v>18</v>
      </c>
      <c r="B84" s="35" t="s">
        <v>649</v>
      </c>
      <c r="C84" s="36" t="s">
        <v>650</v>
      </c>
      <c r="D84" s="35" t="s">
        <v>649</v>
      </c>
      <c r="E84" s="37">
        <f t="shared" ref="E84:N85" si="8">E$63</f>
        <v>441</v>
      </c>
      <c r="F84" s="37">
        <f t="shared" si="8"/>
        <v>738</v>
      </c>
      <c r="G84" s="37">
        <f t="shared" si="8"/>
        <v>889</v>
      </c>
      <c r="H84" s="37">
        <f t="shared" si="8"/>
        <v>1003</v>
      </c>
      <c r="I84" s="37">
        <f t="shared" si="8"/>
        <v>1039</v>
      </c>
      <c r="J84" s="37">
        <f t="shared" si="8"/>
        <v>1119</v>
      </c>
      <c r="K84" s="37">
        <f t="shared" si="8"/>
        <v>1199</v>
      </c>
      <c r="L84" s="37">
        <f t="shared" si="8"/>
        <v>1279</v>
      </c>
      <c r="M84" s="37">
        <f t="shared" si="8"/>
        <v>1359</v>
      </c>
      <c r="N84" s="37">
        <f t="shared" si="8"/>
        <v>1439</v>
      </c>
      <c r="O84" s="37" t="s">
        <v>613</v>
      </c>
    </row>
    <row r="85" spans="1:15">
      <c r="A85" s="36">
        <v>19</v>
      </c>
      <c r="B85" s="35" t="s">
        <v>651</v>
      </c>
      <c r="C85" s="36" t="s">
        <v>652</v>
      </c>
      <c r="D85" s="35" t="s">
        <v>651</v>
      </c>
      <c r="E85" s="37">
        <f t="shared" si="8"/>
        <v>441</v>
      </c>
      <c r="F85" s="37">
        <f t="shared" si="8"/>
        <v>738</v>
      </c>
      <c r="G85" s="37">
        <f t="shared" si="8"/>
        <v>889</v>
      </c>
      <c r="H85" s="37">
        <f t="shared" si="8"/>
        <v>1003</v>
      </c>
      <c r="I85" s="37">
        <f t="shared" si="8"/>
        <v>1039</v>
      </c>
      <c r="J85" s="37">
        <f t="shared" si="8"/>
        <v>1119</v>
      </c>
      <c r="K85" s="37">
        <f t="shared" si="8"/>
        <v>1199</v>
      </c>
      <c r="L85" s="37">
        <f t="shared" si="8"/>
        <v>1279</v>
      </c>
      <c r="M85" s="37">
        <f t="shared" si="8"/>
        <v>1359</v>
      </c>
      <c r="N85" s="37">
        <f t="shared" si="8"/>
        <v>1439</v>
      </c>
      <c r="O85" s="37" t="s">
        <v>613</v>
      </c>
    </row>
    <row r="86" spans="1:15">
      <c r="A86" s="36">
        <v>20</v>
      </c>
      <c r="B86" s="35" t="s">
        <v>653</v>
      </c>
      <c r="C86" s="36" t="s">
        <v>654</v>
      </c>
      <c r="D86" s="35" t="s">
        <v>653</v>
      </c>
      <c r="E86" s="37">
        <f t="shared" ref="E86:N86" si="9">E$61</f>
        <v>450</v>
      </c>
      <c r="F86" s="37">
        <f t="shared" si="9"/>
        <v>755</v>
      </c>
      <c r="G86" s="37">
        <f t="shared" si="9"/>
        <v>909</v>
      </c>
      <c r="H86" s="37">
        <f t="shared" si="9"/>
        <v>1025</v>
      </c>
      <c r="I86" s="37">
        <f t="shared" si="9"/>
        <v>1062</v>
      </c>
      <c r="J86" s="37">
        <f t="shared" si="9"/>
        <v>1142</v>
      </c>
      <c r="K86" s="37">
        <f t="shared" si="9"/>
        <v>1222</v>
      </c>
      <c r="L86" s="37">
        <f t="shared" si="9"/>
        <v>1302</v>
      </c>
      <c r="M86" s="37">
        <f t="shared" si="9"/>
        <v>1382</v>
      </c>
      <c r="N86" s="37">
        <f t="shared" si="9"/>
        <v>1462</v>
      </c>
      <c r="O86" s="37" t="s">
        <v>627</v>
      </c>
    </row>
    <row r="87" spans="1:15">
      <c r="A87" s="36">
        <v>21</v>
      </c>
      <c r="B87" s="35" t="s">
        <v>655</v>
      </c>
      <c r="C87" s="36" t="s">
        <v>656</v>
      </c>
      <c r="D87" s="35" t="s">
        <v>655</v>
      </c>
      <c r="E87" s="37">
        <f t="shared" ref="E87:N87" si="10">E$63</f>
        <v>441</v>
      </c>
      <c r="F87" s="37">
        <f t="shared" si="10"/>
        <v>738</v>
      </c>
      <c r="G87" s="37">
        <f t="shared" si="10"/>
        <v>889</v>
      </c>
      <c r="H87" s="37">
        <f t="shared" si="10"/>
        <v>1003</v>
      </c>
      <c r="I87" s="37">
        <f t="shared" si="10"/>
        <v>1039</v>
      </c>
      <c r="J87" s="37">
        <f t="shared" si="10"/>
        <v>1119</v>
      </c>
      <c r="K87" s="37">
        <f t="shared" si="10"/>
        <v>1199</v>
      </c>
      <c r="L87" s="37">
        <f t="shared" si="10"/>
        <v>1279</v>
      </c>
      <c r="M87" s="37">
        <f t="shared" si="10"/>
        <v>1359</v>
      </c>
      <c r="N87" s="37">
        <f t="shared" si="10"/>
        <v>1439</v>
      </c>
      <c r="O87" s="37" t="s">
        <v>613</v>
      </c>
    </row>
    <row r="88" spans="1:15">
      <c r="A88" s="36">
        <v>22</v>
      </c>
      <c r="B88" s="35" t="s">
        <v>657</v>
      </c>
      <c r="C88" s="36" t="s">
        <v>658</v>
      </c>
      <c r="D88" s="35" t="s">
        <v>657</v>
      </c>
      <c r="E88" s="37">
        <f t="shared" ref="E88:N88" si="11">E$61</f>
        <v>450</v>
      </c>
      <c r="F88" s="37">
        <f t="shared" si="11"/>
        <v>755</v>
      </c>
      <c r="G88" s="37">
        <f t="shared" si="11"/>
        <v>909</v>
      </c>
      <c r="H88" s="37">
        <f t="shared" si="11"/>
        <v>1025</v>
      </c>
      <c r="I88" s="37">
        <f t="shared" si="11"/>
        <v>1062</v>
      </c>
      <c r="J88" s="37">
        <f t="shared" si="11"/>
        <v>1142</v>
      </c>
      <c r="K88" s="37">
        <f t="shared" si="11"/>
        <v>1222</v>
      </c>
      <c r="L88" s="37">
        <f t="shared" si="11"/>
        <v>1302</v>
      </c>
      <c r="M88" s="37">
        <f t="shared" si="11"/>
        <v>1382</v>
      </c>
      <c r="N88" s="37">
        <f t="shared" si="11"/>
        <v>1462</v>
      </c>
      <c r="O88" s="37" t="s">
        <v>627</v>
      </c>
    </row>
    <row r="89" spans="1:15">
      <c r="A89" s="36">
        <v>23</v>
      </c>
      <c r="B89" s="35" t="s">
        <v>659</v>
      </c>
      <c r="C89" s="36" t="s">
        <v>660</v>
      </c>
      <c r="D89" s="35" t="s">
        <v>659</v>
      </c>
      <c r="E89" s="37">
        <f t="shared" ref="E89:N90" si="12">E$62</f>
        <v>441</v>
      </c>
      <c r="F89" s="37">
        <f t="shared" si="12"/>
        <v>738</v>
      </c>
      <c r="G89" s="37">
        <f t="shared" si="12"/>
        <v>889</v>
      </c>
      <c r="H89" s="37">
        <f t="shared" si="12"/>
        <v>1003</v>
      </c>
      <c r="I89" s="37">
        <f t="shared" si="12"/>
        <v>1039</v>
      </c>
      <c r="J89" s="37">
        <f t="shared" si="12"/>
        <v>1119</v>
      </c>
      <c r="K89" s="37">
        <f t="shared" si="12"/>
        <v>1199</v>
      </c>
      <c r="L89" s="37">
        <f t="shared" si="12"/>
        <v>1279</v>
      </c>
      <c r="M89" s="37">
        <f t="shared" si="12"/>
        <v>1359</v>
      </c>
      <c r="N89" s="37">
        <f t="shared" si="12"/>
        <v>1439</v>
      </c>
      <c r="O89" s="37" t="s">
        <v>642</v>
      </c>
    </row>
    <row r="90" spans="1:15">
      <c r="A90" s="36">
        <v>24</v>
      </c>
      <c r="B90" s="35" t="s">
        <v>661</v>
      </c>
      <c r="C90" s="36" t="s">
        <v>662</v>
      </c>
      <c r="D90" s="35" t="s">
        <v>661</v>
      </c>
      <c r="E90" s="37">
        <f t="shared" si="12"/>
        <v>441</v>
      </c>
      <c r="F90" s="37">
        <f t="shared" si="12"/>
        <v>738</v>
      </c>
      <c r="G90" s="37">
        <f t="shared" si="12"/>
        <v>889</v>
      </c>
      <c r="H90" s="37">
        <f t="shared" si="12"/>
        <v>1003</v>
      </c>
      <c r="I90" s="37">
        <f t="shared" si="12"/>
        <v>1039</v>
      </c>
      <c r="J90" s="37">
        <f t="shared" si="12"/>
        <v>1119</v>
      </c>
      <c r="K90" s="37">
        <f t="shared" si="12"/>
        <v>1199</v>
      </c>
      <c r="L90" s="37">
        <f t="shared" si="12"/>
        <v>1279</v>
      </c>
      <c r="M90" s="37">
        <f t="shared" si="12"/>
        <v>1359</v>
      </c>
      <c r="N90" s="37">
        <f t="shared" si="12"/>
        <v>1439</v>
      </c>
      <c r="O90" s="37" t="s">
        <v>642</v>
      </c>
    </row>
    <row r="91" spans="1:15">
      <c r="A91" s="36">
        <v>25</v>
      </c>
      <c r="B91" s="35" t="s">
        <v>663</v>
      </c>
      <c r="C91" s="36" t="s">
        <v>664</v>
      </c>
      <c r="D91" s="35" t="s">
        <v>663</v>
      </c>
      <c r="E91" s="37">
        <f t="shared" ref="E91:N91" si="13">E$63</f>
        <v>441</v>
      </c>
      <c r="F91" s="37">
        <f t="shared" si="13"/>
        <v>738</v>
      </c>
      <c r="G91" s="37">
        <f t="shared" si="13"/>
        <v>889</v>
      </c>
      <c r="H91" s="37">
        <f t="shared" si="13"/>
        <v>1003</v>
      </c>
      <c r="I91" s="37">
        <f t="shared" si="13"/>
        <v>1039</v>
      </c>
      <c r="J91" s="37">
        <f t="shared" si="13"/>
        <v>1119</v>
      </c>
      <c r="K91" s="37">
        <f t="shared" si="13"/>
        <v>1199</v>
      </c>
      <c r="L91" s="37">
        <f t="shared" si="13"/>
        <v>1279</v>
      </c>
      <c r="M91" s="37">
        <f t="shared" si="13"/>
        <v>1359</v>
      </c>
      <c r="N91" s="37">
        <f t="shared" si="13"/>
        <v>1439</v>
      </c>
      <c r="O91" s="37" t="s">
        <v>613</v>
      </c>
    </row>
    <row r="92" spans="1:15">
      <c r="A92" s="36">
        <v>26</v>
      </c>
      <c r="B92" s="35" t="s">
        <v>665</v>
      </c>
      <c r="C92" s="36" t="s">
        <v>666</v>
      </c>
      <c r="D92" s="35" t="s">
        <v>665</v>
      </c>
      <c r="E92" s="37">
        <f t="shared" ref="E92:N92" si="14">E$62</f>
        <v>441</v>
      </c>
      <c r="F92" s="37">
        <f t="shared" si="14"/>
        <v>738</v>
      </c>
      <c r="G92" s="37">
        <f t="shared" si="14"/>
        <v>889</v>
      </c>
      <c r="H92" s="37">
        <f t="shared" si="14"/>
        <v>1003</v>
      </c>
      <c r="I92" s="37">
        <f t="shared" si="14"/>
        <v>1039</v>
      </c>
      <c r="J92" s="37">
        <f t="shared" si="14"/>
        <v>1119</v>
      </c>
      <c r="K92" s="37">
        <f t="shared" si="14"/>
        <v>1199</v>
      </c>
      <c r="L92" s="37">
        <f t="shared" si="14"/>
        <v>1279</v>
      </c>
      <c r="M92" s="37">
        <f t="shared" si="14"/>
        <v>1359</v>
      </c>
      <c r="N92" s="37">
        <f t="shared" si="14"/>
        <v>1439</v>
      </c>
      <c r="O92" s="37" t="s">
        <v>642</v>
      </c>
    </row>
    <row r="93" spans="1:15">
      <c r="A93" s="36">
        <v>27</v>
      </c>
      <c r="B93" s="35" t="s">
        <v>667</v>
      </c>
      <c r="C93" s="36" t="s">
        <v>668</v>
      </c>
      <c r="D93" s="35" t="s">
        <v>667</v>
      </c>
      <c r="E93" s="37">
        <f t="shared" ref="E93:N93" si="15">E$64</f>
        <v>491</v>
      </c>
      <c r="F93" s="37">
        <f t="shared" si="15"/>
        <v>823</v>
      </c>
      <c r="G93" s="37">
        <f t="shared" si="15"/>
        <v>990</v>
      </c>
      <c r="H93" s="37">
        <f t="shared" si="15"/>
        <v>1117</v>
      </c>
      <c r="I93" s="37">
        <f t="shared" si="15"/>
        <v>1158</v>
      </c>
      <c r="J93" s="37">
        <f t="shared" si="15"/>
        <v>1238</v>
      </c>
      <c r="K93" s="37">
        <f t="shared" si="15"/>
        <v>1318</v>
      </c>
      <c r="L93" s="37">
        <f t="shared" si="15"/>
        <v>1398</v>
      </c>
      <c r="M93" s="37">
        <f t="shared" si="15"/>
        <v>1478</v>
      </c>
      <c r="N93" s="37">
        <f t="shared" si="15"/>
        <v>1558</v>
      </c>
      <c r="O93" s="37" t="s">
        <v>616</v>
      </c>
    </row>
    <row r="94" spans="1:15">
      <c r="A94" s="36">
        <v>28</v>
      </c>
      <c r="B94" s="35" t="s">
        <v>669</v>
      </c>
      <c r="C94" s="36" t="s">
        <v>627</v>
      </c>
      <c r="D94" s="35" t="s">
        <v>669</v>
      </c>
      <c r="E94" s="37">
        <f t="shared" ref="E94:N94" si="16">E$62</f>
        <v>441</v>
      </c>
      <c r="F94" s="37">
        <f t="shared" si="16"/>
        <v>738</v>
      </c>
      <c r="G94" s="37">
        <f t="shared" si="16"/>
        <v>889</v>
      </c>
      <c r="H94" s="37">
        <f t="shared" si="16"/>
        <v>1003</v>
      </c>
      <c r="I94" s="37">
        <f t="shared" si="16"/>
        <v>1039</v>
      </c>
      <c r="J94" s="37">
        <f t="shared" si="16"/>
        <v>1119</v>
      </c>
      <c r="K94" s="37">
        <f t="shared" si="16"/>
        <v>1199</v>
      </c>
      <c r="L94" s="37">
        <f t="shared" si="16"/>
        <v>1279</v>
      </c>
      <c r="M94" s="37">
        <f t="shared" si="16"/>
        <v>1359</v>
      </c>
      <c r="N94" s="37">
        <f t="shared" si="16"/>
        <v>1439</v>
      </c>
      <c r="O94" s="37" t="s">
        <v>642</v>
      </c>
    </row>
    <row r="95" spans="1:15">
      <c r="A95" s="36">
        <v>29</v>
      </c>
      <c r="B95" s="35" t="s">
        <v>670</v>
      </c>
      <c r="C95" s="36" t="s">
        <v>671</v>
      </c>
      <c r="D95" s="35" t="s">
        <v>670</v>
      </c>
      <c r="E95" s="37">
        <f t="shared" ref="E95:N95" si="17">E$64</f>
        <v>491</v>
      </c>
      <c r="F95" s="37">
        <f t="shared" si="17"/>
        <v>823</v>
      </c>
      <c r="G95" s="37">
        <f t="shared" si="17"/>
        <v>990</v>
      </c>
      <c r="H95" s="37">
        <f t="shared" si="17"/>
        <v>1117</v>
      </c>
      <c r="I95" s="37">
        <f t="shared" si="17"/>
        <v>1158</v>
      </c>
      <c r="J95" s="37">
        <f t="shared" si="17"/>
        <v>1238</v>
      </c>
      <c r="K95" s="37">
        <f t="shared" si="17"/>
        <v>1318</v>
      </c>
      <c r="L95" s="37">
        <f t="shared" si="17"/>
        <v>1398</v>
      </c>
      <c r="M95" s="37">
        <f t="shared" si="17"/>
        <v>1478</v>
      </c>
      <c r="N95" s="37">
        <f t="shared" si="17"/>
        <v>1558</v>
      </c>
      <c r="O95" s="37" t="s">
        <v>616</v>
      </c>
    </row>
    <row r="96" spans="1:15">
      <c r="A96" s="36">
        <v>30</v>
      </c>
      <c r="B96" s="35" t="s">
        <v>672</v>
      </c>
      <c r="C96" s="36" t="s">
        <v>673</v>
      </c>
      <c r="D96" s="35" t="s">
        <v>672</v>
      </c>
      <c r="E96" s="37">
        <f t="shared" ref="E96:N97" si="18">E$61</f>
        <v>450</v>
      </c>
      <c r="F96" s="37">
        <f t="shared" si="18"/>
        <v>755</v>
      </c>
      <c r="G96" s="37">
        <f t="shared" si="18"/>
        <v>909</v>
      </c>
      <c r="H96" s="37">
        <f t="shared" si="18"/>
        <v>1025</v>
      </c>
      <c r="I96" s="37">
        <f t="shared" si="18"/>
        <v>1062</v>
      </c>
      <c r="J96" s="37">
        <f t="shared" si="18"/>
        <v>1142</v>
      </c>
      <c r="K96" s="37">
        <f t="shared" si="18"/>
        <v>1222</v>
      </c>
      <c r="L96" s="37">
        <f t="shared" si="18"/>
        <v>1302</v>
      </c>
      <c r="M96" s="37">
        <f t="shared" si="18"/>
        <v>1382</v>
      </c>
      <c r="N96" s="37">
        <f t="shared" si="18"/>
        <v>1462</v>
      </c>
      <c r="O96" s="37" t="s">
        <v>627</v>
      </c>
    </row>
    <row r="97" spans="1:15">
      <c r="A97" s="36">
        <v>31</v>
      </c>
      <c r="B97" s="35" t="s">
        <v>674</v>
      </c>
      <c r="C97" s="36" t="s">
        <v>675</v>
      </c>
      <c r="D97" s="35" t="s">
        <v>674</v>
      </c>
      <c r="E97" s="37">
        <f t="shared" si="18"/>
        <v>450</v>
      </c>
      <c r="F97" s="37">
        <f t="shared" si="18"/>
        <v>755</v>
      </c>
      <c r="G97" s="37">
        <f t="shared" si="18"/>
        <v>909</v>
      </c>
      <c r="H97" s="37">
        <f t="shared" si="18"/>
        <v>1025</v>
      </c>
      <c r="I97" s="37">
        <f t="shared" si="18"/>
        <v>1062</v>
      </c>
      <c r="J97" s="37">
        <f t="shared" si="18"/>
        <v>1142</v>
      </c>
      <c r="K97" s="37">
        <f t="shared" si="18"/>
        <v>1222</v>
      </c>
      <c r="L97" s="37">
        <f t="shared" si="18"/>
        <v>1302</v>
      </c>
      <c r="M97" s="37">
        <f t="shared" si="18"/>
        <v>1382</v>
      </c>
      <c r="N97" s="37">
        <f t="shared" si="18"/>
        <v>1462</v>
      </c>
      <c r="O97" s="37" t="s">
        <v>627</v>
      </c>
    </row>
    <row r="98" spans="1:15">
      <c r="A98" s="36">
        <v>32</v>
      </c>
      <c r="B98" s="35" t="s">
        <v>676</v>
      </c>
      <c r="C98" s="36" t="s">
        <v>677</v>
      </c>
      <c r="D98" s="35" t="s">
        <v>676</v>
      </c>
      <c r="E98" s="37">
        <f t="shared" ref="E98:N98" si="19">E$64</f>
        <v>491</v>
      </c>
      <c r="F98" s="37">
        <f t="shared" si="19"/>
        <v>823</v>
      </c>
      <c r="G98" s="37">
        <f t="shared" si="19"/>
        <v>990</v>
      </c>
      <c r="H98" s="37">
        <f t="shared" si="19"/>
        <v>1117</v>
      </c>
      <c r="I98" s="37">
        <f t="shared" si="19"/>
        <v>1158</v>
      </c>
      <c r="J98" s="37">
        <f t="shared" si="19"/>
        <v>1238</v>
      </c>
      <c r="K98" s="37">
        <f t="shared" si="19"/>
        <v>1318</v>
      </c>
      <c r="L98" s="37">
        <f t="shared" si="19"/>
        <v>1398</v>
      </c>
      <c r="M98" s="37">
        <f t="shared" si="19"/>
        <v>1478</v>
      </c>
      <c r="N98" s="37">
        <f t="shared" si="19"/>
        <v>1558</v>
      </c>
      <c r="O98" s="37" t="s">
        <v>616</v>
      </c>
    </row>
    <row r="99" spans="1:15">
      <c r="A99" s="36">
        <v>33</v>
      </c>
      <c r="B99" s="35" t="s">
        <v>678</v>
      </c>
      <c r="C99" s="36" t="s">
        <v>679</v>
      </c>
      <c r="D99" s="35" t="s">
        <v>678</v>
      </c>
      <c r="E99" s="37">
        <f t="shared" ref="E99:N99" si="20">E$61</f>
        <v>450</v>
      </c>
      <c r="F99" s="37">
        <f t="shared" si="20"/>
        <v>755</v>
      </c>
      <c r="G99" s="37">
        <f t="shared" si="20"/>
        <v>909</v>
      </c>
      <c r="H99" s="37">
        <f t="shared" si="20"/>
        <v>1025</v>
      </c>
      <c r="I99" s="37">
        <f t="shared" si="20"/>
        <v>1062</v>
      </c>
      <c r="J99" s="37">
        <f t="shared" si="20"/>
        <v>1142</v>
      </c>
      <c r="K99" s="37">
        <f t="shared" si="20"/>
        <v>1222</v>
      </c>
      <c r="L99" s="37">
        <f t="shared" si="20"/>
        <v>1302</v>
      </c>
      <c r="M99" s="37">
        <f t="shared" si="20"/>
        <v>1382</v>
      </c>
      <c r="N99" s="37">
        <f t="shared" si="20"/>
        <v>1462</v>
      </c>
      <c r="O99" s="37" t="s">
        <v>627</v>
      </c>
    </row>
    <row r="100" spans="1:15">
      <c r="A100" s="36">
        <v>34</v>
      </c>
      <c r="B100" s="35" t="s">
        <v>680</v>
      </c>
      <c r="C100" s="36" t="s">
        <v>681</v>
      </c>
      <c r="D100" s="35" t="s">
        <v>680</v>
      </c>
      <c r="E100" s="37">
        <f t="shared" ref="E100:N100" si="21">E$63</f>
        <v>441</v>
      </c>
      <c r="F100" s="37">
        <f t="shared" si="21"/>
        <v>738</v>
      </c>
      <c r="G100" s="37">
        <f t="shared" si="21"/>
        <v>889</v>
      </c>
      <c r="H100" s="37">
        <f t="shared" si="21"/>
        <v>1003</v>
      </c>
      <c r="I100" s="37">
        <f t="shared" si="21"/>
        <v>1039</v>
      </c>
      <c r="J100" s="37">
        <f t="shared" si="21"/>
        <v>1119</v>
      </c>
      <c r="K100" s="37">
        <f t="shared" si="21"/>
        <v>1199</v>
      </c>
      <c r="L100" s="37">
        <f t="shared" si="21"/>
        <v>1279</v>
      </c>
      <c r="M100" s="37">
        <f t="shared" si="21"/>
        <v>1359</v>
      </c>
      <c r="N100" s="37">
        <f t="shared" si="21"/>
        <v>1439</v>
      </c>
      <c r="O100" s="37" t="s">
        <v>613</v>
      </c>
    </row>
    <row r="101" spans="1:15">
      <c r="A101" s="36">
        <v>35</v>
      </c>
      <c r="B101" s="35" t="s">
        <v>682</v>
      </c>
      <c r="C101" s="36" t="s">
        <v>683</v>
      </c>
      <c r="D101" s="35" t="s">
        <v>682</v>
      </c>
      <c r="E101" s="37">
        <f t="shared" ref="E101:N102" si="22">E$62</f>
        <v>441</v>
      </c>
      <c r="F101" s="37">
        <f t="shared" si="22"/>
        <v>738</v>
      </c>
      <c r="G101" s="37">
        <f t="shared" si="22"/>
        <v>889</v>
      </c>
      <c r="H101" s="37">
        <f t="shared" si="22"/>
        <v>1003</v>
      </c>
      <c r="I101" s="37">
        <f t="shared" si="22"/>
        <v>1039</v>
      </c>
      <c r="J101" s="37">
        <f t="shared" si="22"/>
        <v>1119</v>
      </c>
      <c r="K101" s="37">
        <f t="shared" si="22"/>
        <v>1199</v>
      </c>
      <c r="L101" s="37">
        <f t="shared" si="22"/>
        <v>1279</v>
      </c>
      <c r="M101" s="37">
        <f t="shared" si="22"/>
        <v>1359</v>
      </c>
      <c r="N101" s="37">
        <f t="shared" si="22"/>
        <v>1439</v>
      </c>
      <c r="O101" s="37" t="s">
        <v>642</v>
      </c>
    </row>
    <row r="102" spans="1:15">
      <c r="A102" s="36">
        <v>36</v>
      </c>
      <c r="B102" s="35" t="s">
        <v>684</v>
      </c>
      <c r="C102" s="36" t="s">
        <v>685</v>
      </c>
      <c r="D102" s="35" t="s">
        <v>684</v>
      </c>
      <c r="E102" s="37">
        <f t="shared" si="22"/>
        <v>441</v>
      </c>
      <c r="F102" s="37">
        <f t="shared" si="22"/>
        <v>738</v>
      </c>
      <c r="G102" s="37">
        <f t="shared" si="22"/>
        <v>889</v>
      </c>
      <c r="H102" s="37">
        <f t="shared" si="22"/>
        <v>1003</v>
      </c>
      <c r="I102" s="37">
        <f t="shared" si="22"/>
        <v>1039</v>
      </c>
      <c r="J102" s="37">
        <f t="shared" si="22"/>
        <v>1119</v>
      </c>
      <c r="K102" s="37">
        <f t="shared" si="22"/>
        <v>1199</v>
      </c>
      <c r="L102" s="37">
        <f t="shared" si="22"/>
        <v>1279</v>
      </c>
      <c r="M102" s="37">
        <f t="shared" si="22"/>
        <v>1359</v>
      </c>
      <c r="N102" s="37">
        <f t="shared" si="22"/>
        <v>1439</v>
      </c>
      <c r="O102" s="37" t="s">
        <v>642</v>
      </c>
    </row>
    <row r="103" spans="1:15">
      <c r="A103" s="36">
        <v>37</v>
      </c>
      <c r="B103" s="35" t="s">
        <v>686</v>
      </c>
      <c r="C103" s="36" t="s">
        <v>687</v>
      </c>
      <c r="D103" s="35" t="s">
        <v>686</v>
      </c>
      <c r="E103" s="37">
        <f t="shared" ref="E103:N103" si="23">E$63</f>
        <v>441</v>
      </c>
      <c r="F103" s="37">
        <f t="shared" si="23"/>
        <v>738</v>
      </c>
      <c r="G103" s="37">
        <f t="shared" si="23"/>
        <v>889</v>
      </c>
      <c r="H103" s="37">
        <f t="shared" si="23"/>
        <v>1003</v>
      </c>
      <c r="I103" s="37">
        <f t="shared" si="23"/>
        <v>1039</v>
      </c>
      <c r="J103" s="37">
        <f t="shared" si="23"/>
        <v>1119</v>
      </c>
      <c r="K103" s="37">
        <f t="shared" si="23"/>
        <v>1199</v>
      </c>
      <c r="L103" s="37">
        <f t="shared" si="23"/>
        <v>1279</v>
      </c>
      <c r="M103" s="37">
        <f t="shared" si="23"/>
        <v>1359</v>
      </c>
      <c r="N103" s="37">
        <f t="shared" si="23"/>
        <v>1439</v>
      </c>
      <c r="O103" s="37" t="s">
        <v>613</v>
      </c>
    </row>
    <row r="104" spans="1:15">
      <c r="A104" s="36">
        <v>38</v>
      </c>
      <c r="B104" s="35" t="s">
        <v>688</v>
      </c>
      <c r="C104" s="36" t="s">
        <v>689</v>
      </c>
      <c r="D104" s="35" t="s">
        <v>688</v>
      </c>
      <c r="E104" s="37">
        <f t="shared" ref="E104:N104" si="24">E$64</f>
        <v>491</v>
      </c>
      <c r="F104" s="37">
        <f t="shared" si="24"/>
        <v>823</v>
      </c>
      <c r="G104" s="37">
        <f t="shared" si="24"/>
        <v>990</v>
      </c>
      <c r="H104" s="37">
        <f t="shared" si="24"/>
        <v>1117</v>
      </c>
      <c r="I104" s="37">
        <f t="shared" si="24"/>
        <v>1158</v>
      </c>
      <c r="J104" s="37">
        <f t="shared" si="24"/>
        <v>1238</v>
      </c>
      <c r="K104" s="37">
        <f t="shared" si="24"/>
        <v>1318</v>
      </c>
      <c r="L104" s="37">
        <f t="shared" si="24"/>
        <v>1398</v>
      </c>
      <c r="M104" s="37">
        <f t="shared" si="24"/>
        <v>1478</v>
      </c>
      <c r="N104" s="37">
        <f t="shared" si="24"/>
        <v>1558</v>
      </c>
      <c r="O104" s="37" t="s">
        <v>616</v>
      </c>
    </row>
    <row r="105" spans="1:15">
      <c r="A105" s="36">
        <v>39</v>
      </c>
      <c r="B105" s="35" t="s">
        <v>690</v>
      </c>
      <c r="C105" s="36" t="s">
        <v>691</v>
      </c>
      <c r="D105" s="35" t="s">
        <v>690</v>
      </c>
      <c r="E105" s="37">
        <f t="shared" ref="E105:N105" si="25">E$61</f>
        <v>450</v>
      </c>
      <c r="F105" s="37">
        <f t="shared" si="25"/>
        <v>755</v>
      </c>
      <c r="G105" s="37">
        <f t="shared" si="25"/>
        <v>909</v>
      </c>
      <c r="H105" s="37">
        <f t="shared" si="25"/>
        <v>1025</v>
      </c>
      <c r="I105" s="37">
        <f t="shared" si="25"/>
        <v>1062</v>
      </c>
      <c r="J105" s="37">
        <f t="shared" si="25"/>
        <v>1142</v>
      </c>
      <c r="K105" s="37">
        <f t="shared" si="25"/>
        <v>1222</v>
      </c>
      <c r="L105" s="37">
        <f t="shared" si="25"/>
        <v>1302</v>
      </c>
      <c r="M105" s="37">
        <f t="shared" si="25"/>
        <v>1382</v>
      </c>
      <c r="N105" s="37">
        <f t="shared" si="25"/>
        <v>1462</v>
      </c>
      <c r="O105" s="37" t="s">
        <v>627</v>
      </c>
    </row>
    <row r="106" spans="1:15">
      <c r="A106" s="36">
        <v>40</v>
      </c>
      <c r="B106" s="35" t="s">
        <v>692</v>
      </c>
      <c r="C106" s="36" t="s">
        <v>693</v>
      </c>
      <c r="D106" s="35" t="s">
        <v>692</v>
      </c>
      <c r="E106" s="37">
        <f t="shared" ref="E106:N106" si="26">E$63</f>
        <v>441</v>
      </c>
      <c r="F106" s="37">
        <f t="shared" si="26"/>
        <v>738</v>
      </c>
      <c r="G106" s="37">
        <f t="shared" si="26"/>
        <v>889</v>
      </c>
      <c r="H106" s="37">
        <f t="shared" si="26"/>
        <v>1003</v>
      </c>
      <c r="I106" s="37">
        <f t="shared" si="26"/>
        <v>1039</v>
      </c>
      <c r="J106" s="37">
        <f t="shared" si="26"/>
        <v>1119</v>
      </c>
      <c r="K106" s="37">
        <f t="shared" si="26"/>
        <v>1199</v>
      </c>
      <c r="L106" s="37">
        <f t="shared" si="26"/>
        <v>1279</v>
      </c>
      <c r="M106" s="37">
        <f t="shared" si="26"/>
        <v>1359</v>
      </c>
      <c r="N106" s="37">
        <f t="shared" si="26"/>
        <v>1439</v>
      </c>
      <c r="O106" s="37" t="s">
        <v>613</v>
      </c>
    </row>
    <row r="107" spans="1:15">
      <c r="A107" s="36">
        <v>41</v>
      </c>
      <c r="B107" s="35" t="s">
        <v>694</v>
      </c>
      <c r="C107" s="36" t="s">
        <v>695</v>
      </c>
      <c r="D107" s="35" t="s">
        <v>694</v>
      </c>
      <c r="E107" s="37">
        <f t="shared" ref="E107:N107" si="27">E$61</f>
        <v>450</v>
      </c>
      <c r="F107" s="37">
        <f t="shared" si="27"/>
        <v>755</v>
      </c>
      <c r="G107" s="37">
        <f t="shared" si="27"/>
        <v>909</v>
      </c>
      <c r="H107" s="37">
        <f t="shared" si="27"/>
        <v>1025</v>
      </c>
      <c r="I107" s="37">
        <f t="shared" si="27"/>
        <v>1062</v>
      </c>
      <c r="J107" s="37">
        <f t="shared" si="27"/>
        <v>1142</v>
      </c>
      <c r="K107" s="37">
        <f t="shared" si="27"/>
        <v>1222</v>
      </c>
      <c r="L107" s="37">
        <f t="shared" si="27"/>
        <v>1302</v>
      </c>
      <c r="M107" s="37">
        <f t="shared" si="27"/>
        <v>1382</v>
      </c>
      <c r="N107" s="37">
        <f t="shared" si="27"/>
        <v>1462</v>
      </c>
      <c r="O107" s="37" t="s">
        <v>627</v>
      </c>
    </row>
    <row r="108" spans="1:15">
      <c r="A108" s="36">
        <v>42</v>
      </c>
      <c r="B108" s="35" t="s">
        <v>696</v>
      </c>
      <c r="C108" s="36" t="s">
        <v>697</v>
      </c>
      <c r="D108" s="35" t="s">
        <v>696</v>
      </c>
      <c r="E108" s="37">
        <f t="shared" ref="E108:N108" si="28">E$63</f>
        <v>441</v>
      </c>
      <c r="F108" s="37">
        <f t="shared" si="28"/>
        <v>738</v>
      </c>
      <c r="G108" s="37">
        <f t="shared" si="28"/>
        <v>889</v>
      </c>
      <c r="H108" s="37">
        <f t="shared" si="28"/>
        <v>1003</v>
      </c>
      <c r="I108" s="37">
        <f t="shared" si="28"/>
        <v>1039</v>
      </c>
      <c r="J108" s="37">
        <f t="shared" si="28"/>
        <v>1119</v>
      </c>
      <c r="K108" s="37">
        <f t="shared" si="28"/>
        <v>1199</v>
      </c>
      <c r="L108" s="37">
        <f t="shared" si="28"/>
        <v>1279</v>
      </c>
      <c r="M108" s="37">
        <f t="shared" si="28"/>
        <v>1359</v>
      </c>
      <c r="N108" s="37">
        <f t="shared" si="28"/>
        <v>1439</v>
      </c>
      <c r="O108" s="37" t="s">
        <v>613</v>
      </c>
    </row>
    <row r="109" spans="1:15">
      <c r="A109" s="36">
        <v>43</v>
      </c>
      <c r="B109" s="35" t="s">
        <v>698</v>
      </c>
      <c r="C109" s="36" t="s">
        <v>699</v>
      </c>
      <c r="D109" s="35" t="s">
        <v>698</v>
      </c>
      <c r="E109" s="37">
        <f t="shared" ref="E109:N109" si="29">E$62</f>
        <v>441</v>
      </c>
      <c r="F109" s="37">
        <f t="shared" si="29"/>
        <v>738</v>
      </c>
      <c r="G109" s="37">
        <f t="shared" si="29"/>
        <v>889</v>
      </c>
      <c r="H109" s="37">
        <f t="shared" si="29"/>
        <v>1003</v>
      </c>
      <c r="I109" s="37">
        <f t="shared" si="29"/>
        <v>1039</v>
      </c>
      <c r="J109" s="37">
        <f t="shared" si="29"/>
        <v>1119</v>
      </c>
      <c r="K109" s="37">
        <f t="shared" si="29"/>
        <v>1199</v>
      </c>
      <c r="L109" s="37">
        <f t="shared" si="29"/>
        <v>1279</v>
      </c>
      <c r="M109" s="37">
        <f t="shared" si="29"/>
        <v>1359</v>
      </c>
      <c r="N109" s="37">
        <f t="shared" si="29"/>
        <v>1439</v>
      </c>
      <c r="O109" s="37" t="s">
        <v>642</v>
      </c>
    </row>
    <row r="110" spans="1:15">
      <c r="A110" s="36">
        <v>44</v>
      </c>
      <c r="B110" s="35" t="s">
        <v>700</v>
      </c>
      <c r="C110" s="36" t="s">
        <v>701</v>
      </c>
      <c r="D110" s="35" t="s">
        <v>700</v>
      </c>
      <c r="E110" s="37">
        <f t="shared" ref="E110:N111" si="30">E$63</f>
        <v>441</v>
      </c>
      <c r="F110" s="37">
        <f t="shared" si="30"/>
        <v>738</v>
      </c>
      <c r="G110" s="37">
        <f t="shared" si="30"/>
        <v>889</v>
      </c>
      <c r="H110" s="37">
        <f t="shared" si="30"/>
        <v>1003</v>
      </c>
      <c r="I110" s="37">
        <f t="shared" si="30"/>
        <v>1039</v>
      </c>
      <c r="J110" s="37">
        <f t="shared" si="30"/>
        <v>1119</v>
      </c>
      <c r="K110" s="37">
        <f t="shared" si="30"/>
        <v>1199</v>
      </c>
      <c r="L110" s="37">
        <f t="shared" si="30"/>
        <v>1279</v>
      </c>
      <c r="M110" s="37">
        <f t="shared" si="30"/>
        <v>1359</v>
      </c>
      <c r="N110" s="37">
        <f t="shared" si="30"/>
        <v>1439</v>
      </c>
      <c r="O110" s="37" t="s">
        <v>613</v>
      </c>
    </row>
    <row r="111" spans="1:15">
      <c r="A111" s="36">
        <v>45</v>
      </c>
      <c r="B111" s="35" t="s">
        <v>702</v>
      </c>
      <c r="C111" s="36" t="s">
        <v>703</v>
      </c>
      <c r="D111" s="35" t="s">
        <v>702</v>
      </c>
      <c r="E111" s="37">
        <f t="shared" si="30"/>
        <v>441</v>
      </c>
      <c r="F111" s="37">
        <f t="shared" si="30"/>
        <v>738</v>
      </c>
      <c r="G111" s="37">
        <f t="shared" si="30"/>
        <v>889</v>
      </c>
      <c r="H111" s="37">
        <f t="shared" si="30"/>
        <v>1003</v>
      </c>
      <c r="I111" s="37">
        <f t="shared" si="30"/>
        <v>1039</v>
      </c>
      <c r="J111" s="37">
        <f t="shared" si="30"/>
        <v>1119</v>
      </c>
      <c r="K111" s="37">
        <f t="shared" si="30"/>
        <v>1199</v>
      </c>
      <c r="L111" s="37">
        <f t="shared" si="30"/>
        <v>1279</v>
      </c>
      <c r="M111" s="37">
        <f t="shared" si="30"/>
        <v>1359</v>
      </c>
      <c r="N111" s="37">
        <f t="shared" si="30"/>
        <v>1439</v>
      </c>
      <c r="O111" s="37" t="s">
        <v>613</v>
      </c>
    </row>
    <row r="112" spans="1:15">
      <c r="A112" s="36">
        <v>46</v>
      </c>
      <c r="B112" s="35" t="s">
        <v>704</v>
      </c>
      <c r="C112" s="36" t="s">
        <v>705</v>
      </c>
      <c r="D112" s="35" t="s">
        <v>704</v>
      </c>
      <c r="E112" s="37">
        <f t="shared" ref="E112:N112" si="31">E$64</f>
        <v>491</v>
      </c>
      <c r="F112" s="37">
        <f t="shared" si="31"/>
        <v>823</v>
      </c>
      <c r="G112" s="37">
        <f t="shared" si="31"/>
        <v>990</v>
      </c>
      <c r="H112" s="37">
        <f t="shared" si="31"/>
        <v>1117</v>
      </c>
      <c r="I112" s="37">
        <f t="shared" si="31"/>
        <v>1158</v>
      </c>
      <c r="J112" s="37">
        <f t="shared" si="31"/>
        <v>1238</v>
      </c>
      <c r="K112" s="37">
        <f t="shared" si="31"/>
        <v>1318</v>
      </c>
      <c r="L112" s="37">
        <f t="shared" si="31"/>
        <v>1398</v>
      </c>
      <c r="M112" s="37">
        <f t="shared" si="31"/>
        <v>1478</v>
      </c>
      <c r="N112" s="37">
        <f t="shared" si="31"/>
        <v>1558</v>
      </c>
      <c r="O112" s="37" t="s">
        <v>616</v>
      </c>
    </row>
    <row r="113" spans="1:15">
      <c r="A113" s="36">
        <v>47</v>
      </c>
      <c r="B113" s="35" t="s">
        <v>706</v>
      </c>
      <c r="C113" s="36" t="s">
        <v>707</v>
      </c>
      <c r="D113" s="35" t="s">
        <v>706</v>
      </c>
      <c r="E113" s="37">
        <f t="shared" ref="E113:N113" si="32">E$61</f>
        <v>450</v>
      </c>
      <c r="F113" s="37">
        <f t="shared" si="32"/>
        <v>755</v>
      </c>
      <c r="G113" s="37">
        <f t="shared" si="32"/>
        <v>909</v>
      </c>
      <c r="H113" s="37">
        <f t="shared" si="32"/>
        <v>1025</v>
      </c>
      <c r="I113" s="37">
        <f t="shared" si="32"/>
        <v>1062</v>
      </c>
      <c r="J113" s="37">
        <f t="shared" si="32"/>
        <v>1142</v>
      </c>
      <c r="K113" s="37">
        <f t="shared" si="32"/>
        <v>1222</v>
      </c>
      <c r="L113" s="37">
        <f t="shared" si="32"/>
        <v>1302</v>
      </c>
      <c r="M113" s="37">
        <f t="shared" si="32"/>
        <v>1382</v>
      </c>
      <c r="N113" s="37">
        <f t="shared" si="32"/>
        <v>1462</v>
      </c>
      <c r="O113" s="37" t="s">
        <v>627</v>
      </c>
    </row>
    <row r="114" spans="1:15">
      <c r="A114" s="36">
        <v>48</v>
      </c>
      <c r="B114" s="35" t="s">
        <v>708</v>
      </c>
      <c r="C114" s="36" t="s">
        <v>709</v>
      </c>
      <c r="D114" s="35" t="s">
        <v>708</v>
      </c>
      <c r="E114" s="37">
        <f t="shared" ref="E114:N114" si="33">E$63</f>
        <v>441</v>
      </c>
      <c r="F114" s="37">
        <f t="shared" si="33"/>
        <v>738</v>
      </c>
      <c r="G114" s="37">
        <f t="shared" si="33"/>
        <v>889</v>
      </c>
      <c r="H114" s="37">
        <f t="shared" si="33"/>
        <v>1003</v>
      </c>
      <c r="I114" s="37">
        <f t="shared" si="33"/>
        <v>1039</v>
      </c>
      <c r="J114" s="37">
        <f t="shared" si="33"/>
        <v>1119</v>
      </c>
      <c r="K114" s="37">
        <f t="shared" si="33"/>
        <v>1199</v>
      </c>
      <c r="L114" s="37">
        <f t="shared" si="33"/>
        <v>1279</v>
      </c>
      <c r="M114" s="37">
        <f t="shared" si="33"/>
        <v>1359</v>
      </c>
      <c r="N114" s="37">
        <f t="shared" si="33"/>
        <v>1439</v>
      </c>
      <c r="O114" s="37" t="s">
        <v>613</v>
      </c>
    </row>
    <row r="115" spans="1:15">
      <c r="A115" s="36">
        <v>49</v>
      </c>
      <c r="B115" s="35" t="s">
        <v>710</v>
      </c>
      <c r="C115" s="36" t="s">
        <v>711</v>
      </c>
      <c r="D115" s="35" t="s">
        <v>710</v>
      </c>
      <c r="E115" s="37">
        <f t="shared" ref="E115:N115" si="34">E$64</f>
        <v>491</v>
      </c>
      <c r="F115" s="37">
        <f t="shared" si="34"/>
        <v>823</v>
      </c>
      <c r="G115" s="37">
        <f t="shared" si="34"/>
        <v>990</v>
      </c>
      <c r="H115" s="37">
        <f t="shared" si="34"/>
        <v>1117</v>
      </c>
      <c r="I115" s="37">
        <f t="shared" si="34"/>
        <v>1158</v>
      </c>
      <c r="J115" s="37">
        <f t="shared" si="34"/>
        <v>1238</v>
      </c>
      <c r="K115" s="37">
        <f t="shared" si="34"/>
        <v>1318</v>
      </c>
      <c r="L115" s="37">
        <f t="shared" si="34"/>
        <v>1398</v>
      </c>
      <c r="M115" s="37">
        <f t="shared" si="34"/>
        <v>1478</v>
      </c>
      <c r="N115" s="37">
        <f t="shared" si="34"/>
        <v>1558</v>
      </c>
      <c r="O115" s="37" t="s">
        <v>616</v>
      </c>
    </row>
    <row r="116" spans="1:15">
      <c r="A116" s="36">
        <v>50</v>
      </c>
      <c r="B116" s="35" t="s">
        <v>712</v>
      </c>
      <c r="C116" s="36" t="s">
        <v>713</v>
      </c>
      <c r="D116" s="35" t="s">
        <v>712</v>
      </c>
      <c r="E116" s="37">
        <f t="shared" ref="E116:N116" si="35">E$63</f>
        <v>441</v>
      </c>
      <c r="F116" s="37">
        <f t="shared" si="35"/>
        <v>738</v>
      </c>
      <c r="G116" s="37">
        <f t="shared" si="35"/>
        <v>889</v>
      </c>
      <c r="H116" s="37">
        <f t="shared" si="35"/>
        <v>1003</v>
      </c>
      <c r="I116" s="37">
        <f t="shared" si="35"/>
        <v>1039</v>
      </c>
      <c r="J116" s="37">
        <f t="shared" si="35"/>
        <v>1119</v>
      </c>
      <c r="K116" s="37">
        <f t="shared" si="35"/>
        <v>1199</v>
      </c>
      <c r="L116" s="37">
        <f t="shared" si="35"/>
        <v>1279</v>
      </c>
      <c r="M116" s="37">
        <f t="shared" si="35"/>
        <v>1359</v>
      </c>
      <c r="N116" s="37">
        <f t="shared" si="35"/>
        <v>1439</v>
      </c>
      <c r="O116" s="37" t="s">
        <v>613</v>
      </c>
    </row>
    <row r="117" spans="1:15">
      <c r="A117" s="36">
        <v>51</v>
      </c>
      <c r="B117" s="35" t="s">
        <v>714</v>
      </c>
      <c r="C117" s="36" t="s">
        <v>715</v>
      </c>
      <c r="D117" s="35" t="s">
        <v>714</v>
      </c>
      <c r="E117" s="37">
        <f t="shared" ref="E117:N117" si="36">E$62</f>
        <v>441</v>
      </c>
      <c r="F117" s="37">
        <f t="shared" si="36"/>
        <v>738</v>
      </c>
      <c r="G117" s="37">
        <f t="shared" si="36"/>
        <v>889</v>
      </c>
      <c r="H117" s="37">
        <f t="shared" si="36"/>
        <v>1003</v>
      </c>
      <c r="I117" s="37">
        <f t="shared" si="36"/>
        <v>1039</v>
      </c>
      <c r="J117" s="37">
        <f t="shared" si="36"/>
        <v>1119</v>
      </c>
      <c r="K117" s="37">
        <f t="shared" si="36"/>
        <v>1199</v>
      </c>
      <c r="L117" s="37">
        <f t="shared" si="36"/>
        <v>1279</v>
      </c>
      <c r="M117" s="37">
        <f t="shared" si="36"/>
        <v>1359</v>
      </c>
      <c r="N117" s="37">
        <f t="shared" si="36"/>
        <v>1439</v>
      </c>
      <c r="O117" s="37" t="s">
        <v>642</v>
      </c>
    </row>
    <row r="118" spans="1:15">
      <c r="A118" s="36">
        <v>52</v>
      </c>
      <c r="B118" s="35" t="s">
        <v>716</v>
      </c>
      <c r="C118" s="36" t="s">
        <v>717</v>
      </c>
      <c r="D118" s="35" t="s">
        <v>716</v>
      </c>
      <c r="E118" s="37">
        <f t="shared" ref="E118:N118" si="37">E$64</f>
        <v>491</v>
      </c>
      <c r="F118" s="37">
        <f t="shared" si="37"/>
        <v>823</v>
      </c>
      <c r="G118" s="37">
        <f t="shared" si="37"/>
        <v>990</v>
      </c>
      <c r="H118" s="37">
        <f t="shared" si="37"/>
        <v>1117</v>
      </c>
      <c r="I118" s="37">
        <f t="shared" si="37"/>
        <v>1158</v>
      </c>
      <c r="J118" s="37">
        <f t="shared" si="37"/>
        <v>1238</v>
      </c>
      <c r="K118" s="37">
        <f t="shared" si="37"/>
        <v>1318</v>
      </c>
      <c r="L118" s="37">
        <f t="shared" si="37"/>
        <v>1398</v>
      </c>
      <c r="M118" s="37">
        <f t="shared" si="37"/>
        <v>1478</v>
      </c>
      <c r="N118" s="37">
        <f t="shared" si="37"/>
        <v>1558</v>
      </c>
      <c r="O118" s="37" t="s">
        <v>616</v>
      </c>
    </row>
    <row r="120" spans="1:15">
      <c r="B120" s="459" t="s">
        <v>718</v>
      </c>
      <c r="C120" s="460"/>
      <c r="D120" s="460"/>
      <c r="E120" s="460"/>
      <c r="F120" s="460"/>
      <c r="G120" s="460"/>
      <c r="H120" s="460"/>
      <c r="I120" s="460"/>
      <c r="J120" s="460"/>
      <c r="K120" s="460"/>
      <c r="L120" s="460"/>
      <c r="M120" s="460"/>
      <c r="N120" s="461"/>
    </row>
    <row r="122" spans="1:15" ht="25.15" customHeight="1">
      <c r="B122" s="30" t="s">
        <v>593</v>
      </c>
      <c r="C122" s="31" t="s">
        <v>594</v>
      </c>
      <c r="D122" s="30" t="s">
        <v>593</v>
      </c>
      <c r="E122" s="38" t="s">
        <v>595</v>
      </c>
      <c r="F122" s="38" t="s">
        <v>596</v>
      </c>
      <c r="G122" s="38" t="s">
        <v>597</v>
      </c>
      <c r="H122" s="38" t="s">
        <v>598</v>
      </c>
      <c r="I122" s="38" t="s">
        <v>599</v>
      </c>
      <c r="J122" s="38" t="s">
        <v>600</v>
      </c>
      <c r="K122" s="38" t="s">
        <v>601</v>
      </c>
      <c r="L122" s="38" t="s">
        <v>602</v>
      </c>
      <c r="M122" s="38" t="s">
        <v>603</v>
      </c>
      <c r="N122" s="38" t="s">
        <v>604</v>
      </c>
    </row>
    <row r="123" spans="1:15">
      <c r="B123" s="32" t="s">
        <v>605</v>
      </c>
      <c r="C123" s="33"/>
      <c r="D123" s="32" t="s">
        <v>605</v>
      </c>
      <c r="E123" s="37">
        <v>390</v>
      </c>
      <c r="F123" s="37">
        <v>654</v>
      </c>
      <c r="G123" s="37">
        <v>788</v>
      </c>
      <c r="H123" s="37">
        <v>888</v>
      </c>
      <c r="I123" s="37">
        <v>921</v>
      </c>
      <c r="J123" s="37">
        <v>996</v>
      </c>
      <c r="K123" s="37">
        <v>1071</v>
      </c>
      <c r="L123" s="37">
        <v>1146</v>
      </c>
      <c r="M123" s="37">
        <v>1221</v>
      </c>
      <c r="N123" s="37">
        <v>1296</v>
      </c>
    </row>
    <row r="124" spans="1:15">
      <c r="B124" s="35" t="s">
        <v>606</v>
      </c>
      <c r="C124" s="36"/>
      <c r="D124" s="35" t="s">
        <v>606</v>
      </c>
      <c r="E124" s="37">
        <v>382</v>
      </c>
      <c r="F124" s="37">
        <v>641</v>
      </c>
      <c r="G124" s="37">
        <v>772</v>
      </c>
      <c r="H124" s="37">
        <v>868</v>
      </c>
      <c r="I124" s="37">
        <v>902</v>
      </c>
      <c r="J124" s="37">
        <v>977</v>
      </c>
      <c r="K124" s="37">
        <v>1052</v>
      </c>
      <c r="L124" s="37">
        <v>1127</v>
      </c>
      <c r="M124" s="37">
        <v>1202</v>
      </c>
      <c r="N124" s="37">
        <v>1277</v>
      </c>
    </row>
    <row r="125" spans="1:15">
      <c r="B125" s="35" t="s">
        <v>607</v>
      </c>
      <c r="C125" s="36"/>
      <c r="D125" s="35" t="s">
        <v>607</v>
      </c>
      <c r="E125" s="37">
        <v>382</v>
      </c>
      <c r="F125" s="37">
        <v>641</v>
      </c>
      <c r="G125" s="37">
        <v>772</v>
      </c>
      <c r="H125" s="37">
        <v>868</v>
      </c>
      <c r="I125" s="37">
        <v>902</v>
      </c>
      <c r="J125" s="37">
        <v>977</v>
      </c>
      <c r="K125" s="37">
        <v>1052</v>
      </c>
      <c r="L125" s="37">
        <v>1127</v>
      </c>
      <c r="M125" s="37">
        <v>1202</v>
      </c>
      <c r="N125" s="37">
        <v>1277</v>
      </c>
    </row>
    <row r="126" spans="1:15">
      <c r="B126" s="35" t="s">
        <v>608</v>
      </c>
      <c r="C126" s="36"/>
      <c r="D126" s="35" t="s">
        <v>608</v>
      </c>
      <c r="E126" s="37">
        <v>425</v>
      </c>
      <c r="F126" s="37">
        <v>713</v>
      </c>
      <c r="G126" s="37">
        <v>859</v>
      </c>
      <c r="H126" s="37">
        <v>967</v>
      </c>
      <c r="I126" s="37">
        <v>1004</v>
      </c>
      <c r="J126" s="37">
        <v>1079</v>
      </c>
      <c r="K126" s="37">
        <v>1154</v>
      </c>
      <c r="L126" s="37">
        <v>1229</v>
      </c>
      <c r="M126" s="37">
        <v>1304</v>
      </c>
      <c r="N126" s="37">
        <v>1379</v>
      </c>
    </row>
    <row r="128" spans="1:15" ht="25.15" customHeight="1">
      <c r="B128" s="30" t="s">
        <v>609</v>
      </c>
      <c r="C128" s="31" t="s">
        <v>594</v>
      </c>
      <c r="D128" s="30" t="s">
        <v>609</v>
      </c>
      <c r="E128" s="31" t="s">
        <v>595</v>
      </c>
      <c r="F128" s="31" t="s">
        <v>596</v>
      </c>
      <c r="G128" s="31" t="s">
        <v>597</v>
      </c>
      <c r="H128" s="31" t="s">
        <v>598</v>
      </c>
      <c r="I128" s="31" t="s">
        <v>599</v>
      </c>
      <c r="J128" s="31" t="s">
        <v>600</v>
      </c>
      <c r="K128" s="31" t="s">
        <v>601</v>
      </c>
      <c r="L128" s="31" t="s">
        <v>602</v>
      </c>
      <c r="M128" s="31" t="s">
        <v>603</v>
      </c>
      <c r="N128" s="31" t="s">
        <v>604</v>
      </c>
      <c r="O128" s="31" t="s">
        <v>610</v>
      </c>
    </row>
    <row r="129" spans="2:15">
      <c r="B129" s="32" t="s">
        <v>611</v>
      </c>
      <c r="C129" s="33" t="s">
        <v>612</v>
      </c>
      <c r="D129" s="32" t="s">
        <v>611</v>
      </c>
      <c r="E129" s="34">
        <f>E$125</f>
        <v>382</v>
      </c>
      <c r="F129" s="34">
        <v>641</v>
      </c>
      <c r="G129" s="34">
        <v>772</v>
      </c>
      <c r="H129" s="34">
        <v>868</v>
      </c>
      <c r="I129" s="34">
        <v>902</v>
      </c>
      <c r="J129" s="34">
        <v>977</v>
      </c>
      <c r="K129" s="34">
        <v>1052</v>
      </c>
      <c r="L129" s="34">
        <v>1127</v>
      </c>
      <c r="M129" s="34">
        <v>1202</v>
      </c>
      <c r="N129" s="34">
        <v>1277</v>
      </c>
      <c r="O129" s="34" t="s">
        <v>613</v>
      </c>
    </row>
    <row r="130" spans="2:15">
      <c r="B130" s="35" t="s">
        <v>614</v>
      </c>
      <c r="C130" s="36" t="s">
        <v>615</v>
      </c>
      <c r="D130" s="35" t="s">
        <v>614</v>
      </c>
      <c r="E130" s="37">
        <f>E$126</f>
        <v>425</v>
      </c>
      <c r="F130" s="37">
        <v>713</v>
      </c>
      <c r="G130" s="37">
        <v>859</v>
      </c>
      <c r="H130" s="37">
        <v>967</v>
      </c>
      <c r="I130" s="37">
        <v>1004</v>
      </c>
      <c r="J130" s="37">
        <v>1079</v>
      </c>
      <c r="K130" s="37">
        <v>1154</v>
      </c>
      <c r="L130" s="37">
        <v>1229</v>
      </c>
      <c r="M130" s="37">
        <v>1304</v>
      </c>
      <c r="N130" s="37">
        <v>1379</v>
      </c>
      <c r="O130" s="37" t="s">
        <v>616</v>
      </c>
    </row>
    <row r="131" spans="2:15">
      <c r="B131" s="35" t="s">
        <v>617</v>
      </c>
      <c r="C131" s="36" t="s">
        <v>618</v>
      </c>
      <c r="D131" s="35" t="s">
        <v>617</v>
      </c>
      <c r="E131" s="37">
        <f>E$126</f>
        <v>425</v>
      </c>
      <c r="F131" s="37">
        <v>713</v>
      </c>
      <c r="G131" s="37">
        <v>859</v>
      </c>
      <c r="H131" s="37">
        <v>967</v>
      </c>
      <c r="I131" s="37">
        <v>1004</v>
      </c>
      <c r="J131" s="37">
        <v>1079</v>
      </c>
      <c r="K131" s="37">
        <v>1154</v>
      </c>
      <c r="L131" s="37">
        <v>1229</v>
      </c>
      <c r="M131" s="37">
        <v>1304</v>
      </c>
      <c r="N131" s="37">
        <v>1379</v>
      </c>
      <c r="O131" s="37" t="s">
        <v>616</v>
      </c>
    </row>
    <row r="132" spans="2:15">
      <c r="B132" s="35" t="s">
        <v>619</v>
      </c>
      <c r="C132" s="36" t="s">
        <v>620</v>
      </c>
      <c r="D132" s="35" t="s">
        <v>619</v>
      </c>
      <c r="E132" s="37">
        <f>E$125</f>
        <v>382</v>
      </c>
      <c r="F132" s="37">
        <v>641</v>
      </c>
      <c r="G132" s="37">
        <v>772</v>
      </c>
      <c r="H132" s="37">
        <v>868</v>
      </c>
      <c r="I132" s="37">
        <v>902</v>
      </c>
      <c r="J132" s="37">
        <v>977</v>
      </c>
      <c r="K132" s="37">
        <v>1052</v>
      </c>
      <c r="L132" s="37">
        <v>1127</v>
      </c>
      <c r="M132" s="37">
        <v>1202</v>
      </c>
      <c r="N132" s="37">
        <v>1277</v>
      </c>
      <c r="O132" s="37" t="s">
        <v>613</v>
      </c>
    </row>
    <row r="133" spans="2:15">
      <c r="B133" s="35" t="s">
        <v>621</v>
      </c>
      <c r="C133" s="36" t="s">
        <v>622</v>
      </c>
      <c r="D133" s="35" t="s">
        <v>621</v>
      </c>
      <c r="E133" s="37">
        <f>E$126</f>
        <v>425</v>
      </c>
      <c r="F133" s="37">
        <v>713</v>
      </c>
      <c r="G133" s="37">
        <v>859</v>
      </c>
      <c r="H133" s="37">
        <v>967</v>
      </c>
      <c r="I133" s="37">
        <v>1004</v>
      </c>
      <c r="J133" s="37">
        <v>1079</v>
      </c>
      <c r="K133" s="37">
        <v>1154</v>
      </c>
      <c r="L133" s="37">
        <v>1229</v>
      </c>
      <c r="M133" s="37">
        <v>1304</v>
      </c>
      <c r="N133" s="37">
        <v>1379</v>
      </c>
      <c r="O133" s="37" t="s">
        <v>616</v>
      </c>
    </row>
    <row r="134" spans="2:15">
      <c r="B134" s="35" t="s">
        <v>623</v>
      </c>
      <c r="C134" s="36" t="s">
        <v>624</v>
      </c>
      <c r="D134" s="35" t="s">
        <v>623</v>
      </c>
      <c r="E134" s="37">
        <f>E$126</f>
        <v>425</v>
      </c>
      <c r="F134" s="37">
        <v>713</v>
      </c>
      <c r="G134" s="37">
        <v>859</v>
      </c>
      <c r="H134" s="37">
        <v>967</v>
      </c>
      <c r="I134" s="37">
        <v>1004</v>
      </c>
      <c r="J134" s="37">
        <v>1079</v>
      </c>
      <c r="K134" s="37">
        <v>1154</v>
      </c>
      <c r="L134" s="37">
        <v>1229</v>
      </c>
      <c r="M134" s="37">
        <v>1304</v>
      </c>
      <c r="N134" s="37">
        <v>1379</v>
      </c>
      <c r="O134" s="37" t="s">
        <v>616</v>
      </c>
    </row>
    <row r="135" spans="2:15">
      <c r="B135" s="35" t="s">
        <v>625</v>
      </c>
      <c r="C135" s="36" t="s">
        <v>626</v>
      </c>
      <c r="D135" s="35" t="s">
        <v>625</v>
      </c>
      <c r="E135" s="37">
        <v>390</v>
      </c>
      <c r="F135" s="37">
        <v>654</v>
      </c>
      <c r="G135" s="37">
        <v>788</v>
      </c>
      <c r="H135" s="37">
        <v>888</v>
      </c>
      <c r="I135" s="37">
        <v>921</v>
      </c>
      <c r="J135" s="37">
        <v>996</v>
      </c>
      <c r="K135" s="37">
        <v>1071</v>
      </c>
      <c r="L135" s="37">
        <v>1146</v>
      </c>
      <c r="M135" s="37">
        <v>1221</v>
      </c>
      <c r="N135" s="37">
        <v>1296</v>
      </c>
      <c r="O135" s="37" t="s">
        <v>627</v>
      </c>
    </row>
    <row r="136" spans="2:15">
      <c r="B136" s="35" t="s">
        <v>628</v>
      </c>
      <c r="C136" s="36" t="s">
        <v>629</v>
      </c>
      <c r="D136" s="35" t="s">
        <v>628</v>
      </c>
      <c r="E136" s="37">
        <f>E$125</f>
        <v>382</v>
      </c>
      <c r="F136" s="37">
        <v>641</v>
      </c>
      <c r="G136" s="37">
        <v>772</v>
      </c>
      <c r="H136" s="37">
        <v>868</v>
      </c>
      <c r="I136" s="37">
        <v>902</v>
      </c>
      <c r="J136" s="37">
        <v>977</v>
      </c>
      <c r="K136" s="37">
        <v>1052</v>
      </c>
      <c r="L136" s="37">
        <v>1127</v>
      </c>
      <c r="M136" s="37">
        <v>1202</v>
      </c>
      <c r="N136" s="37">
        <v>1277</v>
      </c>
      <c r="O136" s="37" t="s">
        <v>613</v>
      </c>
    </row>
    <row r="137" spans="2:15">
      <c r="B137" s="35" t="s">
        <v>630</v>
      </c>
      <c r="C137" s="36" t="s">
        <v>631</v>
      </c>
      <c r="D137" s="35" t="s">
        <v>630</v>
      </c>
      <c r="E137" s="37">
        <f>E$125</f>
        <v>382</v>
      </c>
      <c r="F137" s="37">
        <v>641</v>
      </c>
      <c r="G137" s="37">
        <v>772</v>
      </c>
      <c r="H137" s="37">
        <v>868</v>
      </c>
      <c r="I137" s="37">
        <v>902</v>
      </c>
      <c r="J137" s="37">
        <v>977</v>
      </c>
      <c r="K137" s="37">
        <v>1052</v>
      </c>
      <c r="L137" s="37">
        <v>1127</v>
      </c>
      <c r="M137" s="37">
        <v>1202</v>
      </c>
      <c r="N137" s="37">
        <v>1277</v>
      </c>
      <c r="O137" s="37" t="s">
        <v>613</v>
      </c>
    </row>
    <row r="138" spans="2:15">
      <c r="B138" s="35" t="s">
        <v>632</v>
      </c>
      <c r="C138" s="36" t="s">
        <v>633</v>
      </c>
      <c r="D138" s="35" t="s">
        <v>632</v>
      </c>
      <c r="E138" s="37">
        <f>E$125</f>
        <v>382</v>
      </c>
      <c r="F138" s="37">
        <v>641</v>
      </c>
      <c r="G138" s="37">
        <v>772</v>
      </c>
      <c r="H138" s="37">
        <v>868</v>
      </c>
      <c r="I138" s="37">
        <v>902</v>
      </c>
      <c r="J138" s="37">
        <v>977</v>
      </c>
      <c r="K138" s="37">
        <v>1052</v>
      </c>
      <c r="L138" s="37">
        <v>1127</v>
      </c>
      <c r="M138" s="37">
        <v>1202</v>
      </c>
      <c r="N138" s="37">
        <v>1277</v>
      </c>
      <c r="O138" s="37" t="s">
        <v>613</v>
      </c>
    </row>
    <row r="139" spans="2:15">
      <c r="B139" s="35" t="s">
        <v>634</v>
      </c>
      <c r="C139" s="36" t="s">
        <v>635</v>
      </c>
      <c r="D139" s="35" t="s">
        <v>634</v>
      </c>
      <c r="E139" s="37">
        <f>E$125</f>
        <v>382</v>
      </c>
      <c r="F139" s="37">
        <v>641</v>
      </c>
      <c r="G139" s="37">
        <v>772</v>
      </c>
      <c r="H139" s="37">
        <v>868</v>
      </c>
      <c r="I139" s="37">
        <v>902</v>
      </c>
      <c r="J139" s="37">
        <v>977</v>
      </c>
      <c r="K139" s="37">
        <v>1052</v>
      </c>
      <c r="L139" s="37">
        <v>1127</v>
      </c>
      <c r="M139" s="37">
        <v>1202</v>
      </c>
      <c r="N139" s="37">
        <v>1277</v>
      </c>
      <c r="O139" s="37" t="s">
        <v>613</v>
      </c>
    </row>
    <row r="140" spans="2:15">
      <c r="B140" s="35" t="s">
        <v>636</v>
      </c>
      <c r="C140" s="36" t="s">
        <v>637</v>
      </c>
      <c r="D140" s="35" t="s">
        <v>636</v>
      </c>
      <c r="E140" s="37">
        <f>E$126</f>
        <v>425</v>
      </c>
      <c r="F140" s="37">
        <v>713</v>
      </c>
      <c r="G140" s="37">
        <v>859</v>
      </c>
      <c r="H140" s="37">
        <v>967</v>
      </c>
      <c r="I140" s="37">
        <v>1004</v>
      </c>
      <c r="J140" s="37">
        <v>1079</v>
      </c>
      <c r="K140" s="37">
        <v>1154</v>
      </c>
      <c r="L140" s="37">
        <v>1229</v>
      </c>
      <c r="M140" s="37">
        <v>1304</v>
      </c>
      <c r="N140" s="37">
        <v>1379</v>
      </c>
      <c r="O140" s="37" t="s">
        <v>616</v>
      </c>
    </row>
    <row r="141" spans="2:15">
      <c r="B141" s="35" t="s">
        <v>638</v>
      </c>
      <c r="C141" s="36" t="s">
        <v>639</v>
      </c>
      <c r="D141" s="35" t="s">
        <v>638</v>
      </c>
      <c r="E141" s="37">
        <f>E$126</f>
        <v>425</v>
      </c>
      <c r="F141" s="37">
        <v>713</v>
      </c>
      <c r="G141" s="37">
        <v>859</v>
      </c>
      <c r="H141" s="37">
        <v>967</v>
      </c>
      <c r="I141" s="37">
        <v>1004</v>
      </c>
      <c r="J141" s="37">
        <v>1079</v>
      </c>
      <c r="K141" s="37">
        <v>1154</v>
      </c>
      <c r="L141" s="37">
        <v>1229</v>
      </c>
      <c r="M141" s="37">
        <v>1304</v>
      </c>
      <c r="N141" s="37">
        <v>1379</v>
      </c>
      <c r="O141" s="37" t="s">
        <v>616</v>
      </c>
    </row>
    <row r="142" spans="2:15">
      <c r="B142" s="35" t="s">
        <v>640</v>
      </c>
      <c r="C142" s="36" t="s">
        <v>641</v>
      </c>
      <c r="D142" s="35" t="s">
        <v>640</v>
      </c>
      <c r="E142" s="37">
        <f>E$124</f>
        <v>382</v>
      </c>
      <c r="F142" s="37">
        <v>641</v>
      </c>
      <c r="G142" s="37">
        <v>772</v>
      </c>
      <c r="H142" s="37">
        <v>868</v>
      </c>
      <c r="I142" s="37">
        <v>902</v>
      </c>
      <c r="J142" s="37">
        <v>977</v>
      </c>
      <c r="K142" s="37">
        <v>1052</v>
      </c>
      <c r="L142" s="37">
        <v>1127</v>
      </c>
      <c r="M142" s="37">
        <v>1202</v>
      </c>
      <c r="N142" s="37">
        <v>1277</v>
      </c>
      <c r="O142" s="37" t="s">
        <v>642</v>
      </c>
    </row>
    <row r="143" spans="2:15">
      <c r="B143" s="35" t="s">
        <v>643</v>
      </c>
      <c r="C143" s="36" t="s">
        <v>644</v>
      </c>
      <c r="D143" s="35" t="s">
        <v>643</v>
      </c>
      <c r="E143" s="37">
        <f>E$124</f>
        <v>382</v>
      </c>
      <c r="F143" s="37">
        <v>641</v>
      </c>
      <c r="G143" s="37">
        <v>772</v>
      </c>
      <c r="H143" s="37">
        <v>868</v>
      </c>
      <c r="I143" s="37">
        <v>902</v>
      </c>
      <c r="J143" s="37">
        <v>977</v>
      </c>
      <c r="K143" s="37">
        <v>1052</v>
      </c>
      <c r="L143" s="37">
        <v>1127</v>
      </c>
      <c r="M143" s="37">
        <v>1202</v>
      </c>
      <c r="N143" s="37">
        <v>1277</v>
      </c>
      <c r="O143" s="37" t="s">
        <v>642</v>
      </c>
    </row>
    <row r="144" spans="2:15">
      <c r="B144" s="35" t="s">
        <v>645</v>
      </c>
      <c r="C144" s="36" t="s">
        <v>646</v>
      </c>
      <c r="D144" s="35" t="s">
        <v>645</v>
      </c>
      <c r="E144" s="37">
        <f>E$124</f>
        <v>382</v>
      </c>
      <c r="F144" s="37">
        <v>641</v>
      </c>
      <c r="G144" s="37">
        <v>772</v>
      </c>
      <c r="H144" s="37">
        <v>868</v>
      </c>
      <c r="I144" s="37">
        <v>902</v>
      </c>
      <c r="J144" s="37">
        <v>977</v>
      </c>
      <c r="K144" s="37">
        <v>1052</v>
      </c>
      <c r="L144" s="37">
        <v>1127</v>
      </c>
      <c r="M144" s="37">
        <v>1202</v>
      </c>
      <c r="N144" s="37">
        <v>1277</v>
      </c>
      <c r="O144" s="37" t="s">
        <v>642</v>
      </c>
    </row>
    <row r="145" spans="2:15">
      <c r="B145" s="35" t="s">
        <v>647</v>
      </c>
      <c r="C145" s="36" t="s">
        <v>648</v>
      </c>
      <c r="D145" s="35" t="s">
        <v>647</v>
      </c>
      <c r="E145" s="37">
        <f>E$124</f>
        <v>382</v>
      </c>
      <c r="F145" s="37">
        <v>641</v>
      </c>
      <c r="G145" s="37">
        <v>772</v>
      </c>
      <c r="H145" s="37">
        <v>868</v>
      </c>
      <c r="I145" s="37">
        <v>902</v>
      </c>
      <c r="J145" s="37">
        <v>977</v>
      </c>
      <c r="K145" s="37">
        <v>1052</v>
      </c>
      <c r="L145" s="37">
        <v>1127</v>
      </c>
      <c r="M145" s="37">
        <v>1202</v>
      </c>
      <c r="N145" s="37">
        <v>1277</v>
      </c>
      <c r="O145" s="37" t="s">
        <v>642</v>
      </c>
    </row>
    <row r="146" spans="2:15">
      <c r="B146" s="35" t="s">
        <v>649</v>
      </c>
      <c r="C146" s="36" t="s">
        <v>650</v>
      </c>
      <c r="D146" s="35" t="s">
        <v>649</v>
      </c>
      <c r="E146" s="37">
        <f>E$125</f>
        <v>382</v>
      </c>
      <c r="F146" s="37">
        <v>641</v>
      </c>
      <c r="G146" s="37">
        <v>772</v>
      </c>
      <c r="H146" s="37">
        <v>868</v>
      </c>
      <c r="I146" s="37">
        <v>902</v>
      </c>
      <c r="J146" s="37">
        <v>977</v>
      </c>
      <c r="K146" s="37">
        <v>1052</v>
      </c>
      <c r="L146" s="37">
        <v>1127</v>
      </c>
      <c r="M146" s="37">
        <v>1202</v>
      </c>
      <c r="N146" s="37">
        <v>1277</v>
      </c>
      <c r="O146" s="37" t="s">
        <v>613</v>
      </c>
    </row>
    <row r="147" spans="2:15">
      <c r="B147" s="35" t="s">
        <v>651</v>
      </c>
      <c r="C147" s="36" t="s">
        <v>652</v>
      </c>
      <c r="D147" s="35" t="s">
        <v>651</v>
      </c>
      <c r="E147" s="37">
        <f>E$125</f>
        <v>382</v>
      </c>
      <c r="F147" s="37">
        <v>641</v>
      </c>
      <c r="G147" s="37">
        <v>772</v>
      </c>
      <c r="H147" s="37">
        <v>868</v>
      </c>
      <c r="I147" s="37">
        <v>902</v>
      </c>
      <c r="J147" s="37">
        <v>977</v>
      </c>
      <c r="K147" s="37">
        <v>1052</v>
      </c>
      <c r="L147" s="37">
        <v>1127</v>
      </c>
      <c r="M147" s="37">
        <v>1202</v>
      </c>
      <c r="N147" s="37">
        <v>1277</v>
      </c>
      <c r="O147" s="37" t="s">
        <v>613</v>
      </c>
    </row>
    <row r="148" spans="2:15">
      <c r="B148" s="35" t="s">
        <v>653</v>
      </c>
      <c r="C148" s="36" t="s">
        <v>654</v>
      </c>
      <c r="D148" s="35" t="s">
        <v>653</v>
      </c>
      <c r="E148" s="37">
        <v>390</v>
      </c>
      <c r="F148" s="37">
        <v>654</v>
      </c>
      <c r="G148" s="37">
        <v>788</v>
      </c>
      <c r="H148" s="37">
        <v>888</v>
      </c>
      <c r="I148" s="37">
        <v>921</v>
      </c>
      <c r="J148" s="37">
        <v>996</v>
      </c>
      <c r="K148" s="37">
        <v>1071</v>
      </c>
      <c r="L148" s="37">
        <v>1146</v>
      </c>
      <c r="M148" s="37">
        <v>1221</v>
      </c>
      <c r="N148" s="37">
        <v>1296</v>
      </c>
      <c r="O148" s="37" t="s">
        <v>627</v>
      </c>
    </row>
    <row r="149" spans="2:15">
      <c r="B149" s="35" t="s">
        <v>655</v>
      </c>
      <c r="C149" s="36" t="s">
        <v>656</v>
      </c>
      <c r="D149" s="35" t="s">
        <v>655</v>
      </c>
      <c r="E149" s="37">
        <f>E$125</f>
        <v>382</v>
      </c>
      <c r="F149" s="37">
        <v>641</v>
      </c>
      <c r="G149" s="37">
        <v>772</v>
      </c>
      <c r="H149" s="37">
        <v>868</v>
      </c>
      <c r="I149" s="37">
        <v>902</v>
      </c>
      <c r="J149" s="37">
        <v>977</v>
      </c>
      <c r="K149" s="37">
        <v>1052</v>
      </c>
      <c r="L149" s="37">
        <v>1127</v>
      </c>
      <c r="M149" s="37">
        <v>1202</v>
      </c>
      <c r="N149" s="37">
        <v>1277</v>
      </c>
      <c r="O149" s="37" t="s">
        <v>613</v>
      </c>
    </row>
    <row r="150" spans="2:15">
      <c r="B150" s="35" t="s">
        <v>657</v>
      </c>
      <c r="C150" s="36" t="s">
        <v>658</v>
      </c>
      <c r="D150" s="35" t="s">
        <v>657</v>
      </c>
      <c r="E150" s="37">
        <v>390</v>
      </c>
      <c r="F150" s="37">
        <v>654</v>
      </c>
      <c r="G150" s="37">
        <v>788</v>
      </c>
      <c r="H150" s="37">
        <v>888</v>
      </c>
      <c r="I150" s="37">
        <v>921</v>
      </c>
      <c r="J150" s="37">
        <v>996</v>
      </c>
      <c r="K150" s="37">
        <v>1071</v>
      </c>
      <c r="L150" s="37">
        <v>1146</v>
      </c>
      <c r="M150" s="37">
        <v>1221</v>
      </c>
      <c r="N150" s="37">
        <v>1296</v>
      </c>
      <c r="O150" s="37" t="s">
        <v>627</v>
      </c>
    </row>
    <row r="151" spans="2:15">
      <c r="B151" s="35" t="s">
        <v>659</v>
      </c>
      <c r="C151" s="36" t="s">
        <v>660</v>
      </c>
      <c r="D151" s="35" t="s">
        <v>659</v>
      </c>
      <c r="E151" s="37">
        <f>E$124</f>
        <v>382</v>
      </c>
      <c r="F151" s="37">
        <v>641</v>
      </c>
      <c r="G151" s="37">
        <v>772</v>
      </c>
      <c r="H151" s="37">
        <v>868</v>
      </c>
      <c r="I151" s="37">
        <v>902</v>
      </c>
      <c r="J151" s="37">
        <v>977</v>
      </c>
      <c r="K151" s="37">
        <v>1052</v>
      </c>
      <c r="L151" s="37">
        <v>1127</v>
      </c>
      <c r="M151" s="37">
        <v>1202</v>
      </c>
      <c r="N151" s="37">
        <v>1277</v>
      </c>
      <c r="O151" s="37" t="s">
        <v>642</v>
      </c>
    </row>
    <row r="152" spans="2:15">
      <c r="B152" s="35" t="s">
        <v>661</v>
      </c>
      <c r="C152" s="36" t="s">
        <v>662</v>
      </c>
      <c r="D152" s="35" t="s">
        <v>661</v>
      </c>
      <c r="E152" s="37">
        <f>E$124</f>
        <v>382</v>
      </c>
      <c r="F152" s="37">
        <v>641</v>
      </c>
      <c r="G152" s="37">
        <v>772</v>
      </c>
      <c r="H152" s="37">
        <v>868</v>
      </c>
      <c r="I152" s="37">
        <v>902</v>
      </c>
      <c r="J152" s="37">
        <v>977</v>
      </c>
      <c r="K152" s="37">
        <v>1052</v>
      </c>
      <c r="L152" s="37">
        <v>1127</v>
      </c>
      <c r="M152" s="37">
        <v>1202</v>
      </c>
      <c r="N152" s="37">
        <v>1277</v>
      </c>
      <c r="O152" s="37" t="s">
        <v>642</v>
      </c>
    </row>
    <row r="153" spans="2:15">
      <c r="B153" s="35" t="s">
        <v>663</v>
      </c>
      <c r="C153" s="36" t="s">
        <v>664</v>
      </c>
      <c r="D153" s="35" t="s">
        <v>663</v>
      </c>
      <c r="E153" s="37">
        <f>E$125</f>
        <v>382</v>
      </c>
      <c r="F153" s="37">
        <v>641</v>
      </c>
      <c r="G153" s="37">
        <v>772</v>
      </c>
      <c r="H153" s="37">
        <v>868</v>
      </c>
      <c r="I153" s="37">
        <v>902</v>
      </c>
      <c r="J153" s="37">
        <v>977</v>
      </c>
      <c r="K153" s="37">
        <v>1052</v>
      </c>
      <c r="L153" s="37">
        <v>1127</v>
      </c>
      <c r="M153" s="37">
        <v>1202</v>
      </c>
      <c r="N153" s="37">
        <v>1277</v>
      </c>
      <c r="O153" s="37" t="s">
        <v>613</v>
      </c>
    </row>
    <row r="154" spans="2:15">
      <c r="B154" s="35" t="s">
        <v>665</v>
      </c>
      <c r="C154" s="36" t="s">
        <v>666</v>
      </c>
      <c r="D154" s="35" t="s">
        <v>665</v>
      </c>
      <c r="E154" s="37">
        <f>E$124</f>
        <v>382</v>
      </c>
      <c r="F154" s="37">
        <v>641</v>
      </c>
      <c r="G154" s="37">
        <v>772</v>
      </c>
      <c r="H154" s="37">
        <v>868</v>
      </c>
      <c r="I154" s="37">
        <v>902</v>
      </c>
      <c r="J154" s="37">
        <v>977</v>
      </c>
      <c r="K154" s="37">
        <v>1052</v>
      </c>
      <c r="L154" s="37">
        <v>1127</v>
      </c>
      <c r="M154" s="37">
        <v>1202</v>
      </c>
      <c r="N154" s="37">
        <v>1277</v>
      </c>
      <c r="O154" s="37" t="s">
        <v>642</v>
      </c>
    </row>
    <row r="155" spans="2:15">
      <c r="B155" s="35" t="s">
        <v>667</v>
      </c>
      <c r="C155" s="36" t="s">
        <v>668</v>
      </c>
      <c r="D155" s="35" t="s">
        <v>667</v>
      </c>
      <c r="E155" s="37">
        <f>E$126</f>
        <v>425</v>
      </c>
      <c r="F155" s="37">
        <v>713</v>
      </c>
      <c r="G155" s="37">
        <v>859</v>
      </c>
      <c r="H155" s="37">
        <v>967</v>
      </c>
      <c r="I155" s="37">
        <v>1004</v>
      </c>
      <c r="J155" s="37">
        <v>1079</v>
      </c>
      <c r="K155" s="37">
        <v>1154</v>
      </c>
      <c r="L155" s="37">
        <v>1229</v>
      </c>
      <c r="M155" s="37">
        <v>1304</v>
      </c>
      <c r="N155" s="37">
        <v>1379</v>
      </c>
      <c r="O155" s="37" t="s">
        <v>616</v>
      </c>
    </row>
    <row r="156" spans="2:15">
      <c r="B156" s="35" t="s">
        <v>669</v>
      </c>
      <c r="C156" s="36" t="s">
        <v>627</v>
      </c>
      <c r="D156" s="35" t="s">
        <v>669</v>
      </c>
      <c r="E156" s="37">
        <f>E$124</f>
        <v>382</v>
      </c>
      <c r="F156" s="37">
        <v>641</v>
      </c>
      <c r="G156" s="37">
        <v>772</v>
      </c>
      <c r="H156" s="37">
        <v>868</v>
      </c>
      <c r="I156" s="37">
        <v>902</v>
      </c>
      <c r="J156" s="37">
        <v>977</v>
      </c>
      <c r="K156" s="37">
        <v>1052</v>
      </c>
      <c r="L156" s="37">
        <v>1127</v>
      </c>
      <c r="M156" s="37">
        <v>1202</v>
      </c>
      <c r="N156" s="37">
        <v>1277</v>
      </c>
      <c r="O156" s="37" t="s">
        <v>642</v>
      </c>
    </row>
    <row r="157" spans="2:15">
      <c r="B157" s="35" t="s">
        <v>670</v>
      </c>
      <c r="C157" s="36" t="s">
        <v>671</v>
      </c>
      <c r="D157" s="35" t="s">
        <v>670</v>
      </c>
      <c r="E157" s="37">
        <f>E$126</f>
        <v>425</v>
      </c>
      <c r="F157" s="37">
        <v>713</v>
      </c>
      <c r="G157" s="37">
        <v>859</v>
      </c>
      <c r="H157" s="37">
        <v>967</v>
      </c>
      <c r="I157" s="37">
        <v>1004</v>
      </c>
      <c r="J157" s="37">
        <v>1079</v>
      </c>
      <c r="K157" s="37">
        <v>1154</v>
      </c>
      <c r="L157" s="37">
        <v>1229</v>
      </c>
      <c r="M157" s="37">
        <v>1304</v>
      </c>
      <c r="N157" s="37">
        <v>1379</v>
      </c>
      <c r="O157" s="37" t="s">
        <v>616</v>
      </c>
    </row>
    <row r="158" spans="2:15">
      <c r="B158" s="35" t="s">
        <v>672</v>
      </c>
      <c r="C158" s="36" t="s">
        <v>673</v>
      </c>
      <c r="D158" s="35" t="s">
        <v>672</v>
      </c>
      <c r="E158" s="37">
        <v>390</v>
      </c>
      <c r="F158" s="37">
        <v>654</v>
      </c>
      <c r="G158" s="37">
        <v>788</v>
      </c>
      <c r="H158" s="37">
        <v>888</v>
      </c>
      <c r="I158" s="37">
        <v>921</v>
      </c>
      <c r="J158" s="37">
        <v>996</v>
      </c>
      <c r="K158" s="37">
        <v>1071</v>
      </c>
      <c r="L158" s="37">
        <v>1146</v>
      </c>
      <c r="M158" s="37">
        <v>1221</v>
      </c>
      <c r="N158" s="37">
        <v>1296</v>
      </c>
      <c r="O158" s="37" t="s">
        <v>627</v>
      </c>
    </row>
    <row r="159" spans="2:15">
      <c r="B159" s="35" t="s">
        <v>674</v>
      </c>
      <c r="C159" s="36" t="s">
        <v>675</v>
      </c>
      <c r="D159" s="35" t="s">
        <v>674</v>
      </c>
      <c r="E159" s="37">
        <v>390</v>
      </c>
      <c r="F159" s="37">
        <v>654</v>
      </c>
      <c r="G159" s="37">
        <v>788</v>
      </c>
      <c r="H159" s="37">
        <v>888</v>
      </c>
      <c r="I159" s="37">
        <v>921</v>
      </c>
      <c r="J159" s="37">
        <v>996</v>
      </c>
      <c r="K159" s="37">
        <v>1071</v>
      </c>
      <c r="L159" s="37">
        <v>1146</v>
      </c>
      <c r="M159" s="37">
        <v>1221</v>
      </c>
      <c r="N159" s="37">
        <v>1296</v>
      </c>
      <c r="O159" s="37" t="s">
        <v>627</v>
      </c>
    </row>
    <row r="160" spans="2:15">
      <c r="B160" s="35" t="s">
        <v>676</v>
      </c>
      <c r="C160" s="36" t="s">
        <v>677</v>
      </c>
      <c r="D160" s="35" t="s">
        <v>676</v>
      </c>
      <c r="E160" s="37">
        <f>E$126</f>
        <v>425</v>
      </c>
      <c r="F160" s="37">
        <v>713</v>
      </c>
      <c r="G160" s="37">
        <v>859</v>
      </c>
      <c r="H160" s="37">
        <v>967</v>
      </c>
      <c r="I160" s="37">
        <v>1004</v>
      </c>
      <c r="J160" s="37">
        <v>1079</v>
      </c>
      <c r="K160" s="37">
        <v>1154</v>
      </c>
      <c r="L160" s="37">
        <v>1229</v>
      </c>
      <c r="M160" s="37">
        <v>1304</v>
      </c>
      <c r="N160" s="37">
        <v>1379</v>
      </c>
      <c r="O160" s="37" t="s">
        <v>616</v>
      </c>
    </row>
    <row r="161" spans="2:15">
      <c r="B161" s="35" t="s">
        <v>678</v>
      </c>
      <c r="C161" s="36" t="s">
        <v>679</v>
      </c>
      <c r="D161" s="35" t="s">
        <v>678</v>
      </c>
      <c r="E161" s="37">
        <v>390</v>
      </c>
      <c r="F161" s="37">
        <v>654</v>
      </c>
      <c r="G161" s="37">
        <v>788</v>
      </c>
      <c r="H161" s="37">
        <v>888</v>
      </c>
      <c r="I161" s="37">
        <v>921</v>
      </c>
      <c r="J161" s="37">
        <v>996</v>
      </c>
      <c r="K161" s="37">
        <v>1071</v>
      </c>
      <c r="L161" s="37">
        <v>1146</v>
      </c>
      <c r="M161" s="37">
        <v>1221</v>
      </c>
      <c r="N161" s="37">
        <v>1296</v>
      </c>
      <c r="O161" s="37" t="s">
        <v>627</v>
      </c>
    </row>
    <row r="162" spans="2:15">
      <c r="B162" s="35" t="s">
        <v>680</v>
      </c>
      <c r="C162" s="36" t="s">
        <v>681</v>
      </c>
      <c r="D162" s="35" t="s">
        <v>680</v>
      </c>
      <c r="E162" s="37">
        <f>E$125</f>
        <v>382</v>
      </c>
      <c r="F162" s="37">
        <v>641</v>
      </c>
      <c r="G162" s="37">
        <v>772</v>
      </c>
      <c r="H162" s="37">
        <v>868</v>
      </c>
      <c r="I162" s="37">
        <v>902</v>
      </c>
      <c r="J162" s="37">
        <v>977</v>
      </c>
      <c r="K162" s="37">
        <v>1052</v>
      </c>
      <c r="L162" s="37">
        <v>1127</v>
      </c>
      <c r="M162" s="37">
        <v>1202</v>
      </c>
      <c r="N162" s="37">
        <v>1277</v>
      </c>
      <c r="O162" s="37" t="s">
        <v>613</v>
      </c>
    </row>
    <row r="163" spans="2:15">
      <c r="B163" s="35" t="s">
        <v>682</v>
      </c>
      <c r="C163" s="36" t="s">
        <v>683</v>
      </c>
      <c r="D163" s="35" t="s">
        <v>682</v>
      </c>
      <c r="E163" s="37">
        <f>E$124</f>
        <v>382</v>
      </c>
      <c r="F163" s="37">
        <v>641</v>
      </c>
      <c r="G163" s="37">
        <v>772</v>
      </c>
      <c r="H163" s="37">
        <v>868</v>
      </c>
      <c r="I163" s="37">
        <v>902</v>
      </c>
      <c r="J163" s="37">
        <v>977</v>
      </c>
      <c r="K163" s="37">
        <v>1052</v>
      </c>
      <c r="L163" s="37">
        <v>1127</v>
      </c>
      <c r="M163" s="37">
        <v>1202</v>
      </c>
      <c r="N163" s="37">
        <v>1277</v>
      </c>
      <c r="O163" s="37" t="s">
        <v>642</v>
      </c>
    </row>
    <row r="164" spans="2:15">
      <c r="B164" s="35" t="s">
        <v>684</v>
      </c>
      <c r="C164" s="36" t="s">
        <v>685</v>
      </c>
      <c r="D164" s="35" t="s">
        <v>684</v>
      </c>
      <c r="E164" s="37">
        <f>E$124</f>
        <v>382</v>
      </c>
      <c r="F164" s="37">
        <v>641</v>
      </c>
      <c r="G164" s="37">
        <v>772</v>
      </c>
      <c r="H164" s="37">
        <v>868</v>
      </c>
      <c r="I164" s="37">
        <v>902</v>
      </c>
      <c r="J164" s="37">
        <v>977</v>
      </c>
      <c r="K164" s="37">
        <v>1052</v>
      </c>
      <c r="L164" s="37">
        <v>1127</v>
      </c>
      <c r="M164" s="37">
        <v>1202</v>
      </c>
      <c r="N164" s="37">
        <v>1277</v>
      </c>
      <c r="O164" s="37" t="s">
        <v>642</v>
      </c>
    </row>
    <row r="165" spans="2:15">
      <c r="B165" s="35" t="s">
        <v>686</v>
      </c>
      <c r="C165" s="36" t="s">
        <v>687</v>
      </c>
      <c r="D165" s="35" t="s">
        <v>686</v>
      </c>
      <c r="E165" s="37">
        <f>E$125</f>
        <v>382</v>
      </c>
      <c r="F165" s="37">
        <v>641</v>
      </c>
      <c r="G165" s="37">
        <v>772</v>
      </c>
      <c r="H165" s="37">
        <v>868</v>
      </c>
      <c r="I165" s="37">
        <v>902</v>
      </c>
      <c r="J165" s="37">
        <v>977</v>
      </c>
      <c r="K165" s="37">
        <v>1052</v>
      </c>
      <c r="L165" s="37">
        <v>1127</v>
      </c>
      <c r="M165" s="37">
        <v>1202</v>
      </c>
      <c r="N165" s="37">
        <v>1277</v>
      </c>
      <c r="O165" s="37" t="s">
        <v>613</v>
      </c>
    </row>
    <row r="166" spans="2:15">
      <c r="B166" s="35" t="s">
        <v>688</v>
      </c>
      <c r="C166" s="36" t="s">
        <v>689</v>
      </c>
      <c r="D166" s="35" t="s">
        <v>688</v>
      </c>
      <c r="E166" s="37">
        <f>E$126</f>
        <v>425</v>
      </c>
      <c r="F166" s="37">
        <v>713</v>
      </c>
      <c r="G166" s="37">
        <v>859</v>
      </c>
      <c r="H166" s="37">
        <v>967</v>
      </c>
      <c r="I166" s="37">
        <v>1004</v>
      </c>
      <c r="J166" s="37">
        <v>1079</v>
      </c>
      <c r="K166" s="37">
        <v>1154</v>
      </c>
      <c r="L166" s="37">
        <v>1229</v>
      </c>
      <c r="M166" s="37">
        <v>1304</v>
      </c>
      <c r="N166" s="37">
        <v>1379</v>
      </c>
      <c r="O166" s="37" t="s">
        <v>616</v>
      </c>
    </row>
    <row r="167" spans="2:15">
      <c r="B167" s="35" t="s">
        <v>690</v>
      </c>
      <c r="C167" s="36" t="s">
        <v>691</v>
      </c>
      <c r="D167" s="35" t="s">
        <v>690</v>
      </c>
      <c r="E167" s="37">
        <v>390</v>
      </c>
      <c r="F167" s="37">
        <v>654</v>
      </c>
      <c r="G167" s="37">
        <v>788</v>
      </c>
      <c r="H167" s="37">
        <v>888</v>
      </c>
      <c r="I167" s="37">
        <v>921</v>
      </c>
      <c r="J167" s="37">
        <v>996</v>
      </c>
      <c r="K167" s="37">
        <v>1071</v>
      </c>
      <c r="L167" s="37">
        <v>1146</v>
      </c>
      <c r="M167" s="37">
        <v>1221</v>
      </c>
      <c r="N167" s="37">
        <v>1296</v>
      </c>
      <c r="O167" s="37" t="s">
        <v>627</v>
      </c>
    </row>
    <row r="168" spans="2:15">
      <c r="B168" s="35" t="s">
        <v>692</v>
      </c>
      <c r="C168" s="36" t="s">
        <v>693</v>
      </c>
      <c r="D168" s="35" t="s">
        <v>692</v>
      </c>
      <c r="E168" s="37">
        <f>E$125</f>
        <v>382</v>
      </c>
      <c r="F168" s="37">
        <v>641</v>
      </c>
      <c r="G168" s="37">
        <v>772</v>
      </c>
      <c r="H168" s="37">
        <v>868</v>
      </c>
      <c r="I168" s="37">
        <v>902</v>
      </c>
      <c r="J168" s="37">
        <v>977</v>
      </c>
      <c r="K168" s="37">
        <v>1052</v>
      </c>
      <c r="L168" s="37">
        <v>1127</v>
      </c>
      <c r="M168" s="37">
        <v>1202</v>
      </c>
      <c r="N168" s="37">
        <v>1277</v>
      </c>
      <c r="O168" s="37" t="s">
        <v>613</v>
      </c>
    </row>
    <row r="169" spans="2:15">
      <c r="B169" s="35" t="s">
        <v>694</v>
      </c>
      <c r="C169" s="36" t="s">
        <v>695</v>
      </c>
      <c r="D169" s="35" t="s">
        <v>694</v>
      </c>
      <c r="E169" s="37">
        <v>390</v>
      </c>
      <c r="F169" s="37">
        <v>654</v>
      </c>
      <c r="G169" s="37">
        <v>788</v>
      </c>
      <c r="H169" s="37">
        <v>888</v>
      </c>
      <c r="I169" s="37">
        <v>921</v>
      </c>
      <c r="J169" s="37">
        <v>996</v>
      </c>
      <c r="K169" s="37">
        <v>1071</v>
      </c>
      <c r="L169" s="37">
        <v>1146</v>
      </c>
      <c r="M169" s="37">
        <v>1221</v>
      </c>
      <c r="N169" s="37">
        <v>1296</v>
      </c>
      <c r="O169" s="37" t="s">
        <v>627</v>
      </c>
    </row>
    <row r="170" spans="2:15">
      <c r="B170" s="35" t="s">
        <v>696</v>
      </c>
      <c r="C170" s="36" t="s">
        <v>697</v>
      </c>
      <c r="D170" s="35" t="s">
        <v>696</v>
      </c>
      <c r="E170" s="37">
        <f>E$125</f>
        <v>382</v>
      </c>
      <c r="F170" s="37">
        <v>641</v>
      </c>
      <c r="G170" s="37">
        <v>772</v>
      </c>
      <c r="H170" s="37">
        <v>868</v>
      </c>
      <c r="I170" s="37">
        <v>902</v>
      </c>
      <c r="J170" s="37">
        <v>977</v>
      </c>
      <c r="K170" s="37">
        <v>1052</v>
      </c>
      <c r="L170" s="37">
        <v>1127</v>
      </c>
      <c r="M170" s="37">
        <v>1202</v>
      </c>
      <c r="N170" s="37">
        <v>1277</v>
      </c>
      <c r="O170" s="37" t="s">
        <v>613</v>
      </c>
    </row>
    <row r="171" spans="2:15">
      <c r="B171" s="35" t="s">
        <v>698</v>
      </c>
      <c r="C171" s="36" t="s">
        <v>699</v>
      </c>
      <c r="D171" s="35" t="s">
        <v>698</v>
      </c>
      <c r="E171" s="37">
        <f>E$124</f>
        <v>382</v>
      </c>
      <c r="F171" s="37">
        <v>641</v>
      </c>
      <c r="G171" s="37">
        <v>772</v>
      </c>
      <c r="H171" s="37">
        <v>868</v>
      </c>
      <c r="I171" s="37">
        <v>902</v>
      </c>
      <c r="J171" s="37">
        <v>977</v>
      </c>
      <c r="K171" s="37">
        <v>1052</v>
      </c>
      <c r="L171" s="37">
        <v>1127</v>
      </c>
      <c r="M171" s="37">
        <v>1202</v>
      </c>
      <c r="N171" s="37">
        <v>1277</v>
      </c>
      <c r="O171" s="37" t="s">
        <v>642</v>
      </c>
    </row>
    <row r="172" spans="2:15">
      <c r="B172" s="35" t="s">
        <v>700</v>
      </c>
      <c r="C172" s="36" t="s">
        <v>701</v>
      </c>
      <c r="D172" s="35" t="s">
        <v>700</v>
      </c>
      <c r="E172" s="37">
        <f>E$125</f>
        <v>382</v>
      </c>
      <c r="F172" s="37">
        <v>641</v>
      </c>
      <c r="G172" s="37">
        <v>772</v>
      </c>
      <c r="H172" s="37">
        <v>868</v>
      </c>
      <c r="I172" s="37">
        <v>902</v>
      </c>
      <c r="J172" s="37">
        <v>977</v>
      </c>
      <c r="K172" s="37">
        <v>1052</v>
      </c>
      <c r="L172" s="37">
        <v>1127</v>
      </c>
      <c r="M172" s="37">
        <v>1202</v>
      </c>
      <c r="N172" s="37">
        <v>1277</v>
      </c>
      <c r="O172" s="37" t="s">
        <v>613</v>
      </c>
    </row>
    <row r="173" spans="2:15">
      <c r="B173" s="35" t="s">
        <v>702</v>
      </c>
      <c r="C173" s="36" t="s">
        <v>703</v>
      </c>
      <c r="D173" s="35" t="s">
        <v>702</v>
      </c>
      <c r="E173" s="37">
        <f>E$125</f>
        <v>382</v>
      </c>
      <c r="F173" s="37">
        <v>641</v>
      </c>
      <c r="G173" s="37">
        <v>772</v>
      </c>
      <c r="H173" s="37">
        <v>868</v>
      </c>
      <c r="I173" s="37">
        <v>902</v>
      </c>
      <c r="J173" s="37">
        <v>977</v>
      </c>
      <c r="K173" s="37">
        <v>1052</v>
      </c>
      <c r="L173" s="37">
        <v>1127</v>
      </c>
      <c r="M173" s="37">
        <v>1202</v>
      </c>
      <c r="N173" s="37">
        <v>1277</v>
      </c>
      <c r="O173" s="37" t="s">
        <v>613</v>
      </c>
    </row>
    <row r="174" spans="2:15">
      <c r="B174" s="35" t="s">
        <v>704</v>
      </c>
      <c r="C174" s="36" t="s">
        <v>705</v>
      </c>
      <c r="D174" s="35" t="s">
        <v>704</v>
      </c>
      <c r="E174" s="37">
        <f>E$126</f>
        <v>425</v>
      </c>
      <c r="F174" s="37">
        <v>713</v>
      </c>
      <c r="G174" s="37">
        <v>859</v>
      </c>
      <c r="H174" s="37">
        <v>967</v>
      </c>
      <c r="I174" s="37">
        <v>1004</v>
      </c>
      <c r="J174" s="37">
        <v>1079</v>
      </c>
      <c r="K174" s="37">
        <v>1154</v>
      </c>
      <c r="L174" s="37">
        <v>1229</v>
      </c>
      <c r="M174" s="37">
        <v>1304</v>
      </c>
      <c r="N174" s="37">
        <v>1379</v>
      </c>
      <c r="O174" s="37" t="s">
        <v>616</v>
      </c>
    </row>
    <row r="175" spans="2:15">
      <c r="B175" s="35" t="s">
        <v>706</v>
      </c>
      <c r="C175" s="36" t="s">
        <v>707</v>
      </c>
      <c r="D175" s="35" t="s">
        <v>706</v>
      </c>
      <c r="E175" s="37">
        <v>390</v>
      </c>
      <c r="F175" s="37">
        <v>654</v>
      </c>
      <c r="G175" s="37">
        <v>788</v>
      </c>
      <c r="H175" s="37">
        <v>888</v>
      </c>
      <c r="I175" s="37">
        <v>921</v>
      </c>
      <c r="J175" s="37">
        <v>996</v>
      </c>
      <c r="K175" s="37">
        <v>1071</v>
      </c>
      <c r="L175" s="37">
        <v>1146</v>
      </c>
      <c r="M175" s="37">
        <v>1221</v>
      </c>
      <c r="N175" s="37">
        <v>1296</v>
      </c>
      <c r="O175" s="37" t="s">
        <v>627</v>
      </c>
    </row>
    <row r="176" spans="2:15">
      <c r="B176" s="35" t="s">
        <v>708</v>
      </c>
      <c r="C176" s="36" t="s">
        <v>709</v>
      </c>
      <c r="D176" s="35" t="s">
        <v>708</v>
      </c>
      <c r="E176" s="37">
        <f>E$125</f>
        <v>382</v>
      </c>
      <c r="F176" s="37">
        <v>641</v>
      </c>
      <c r="G176" s="37">
        <v>772</v>
      </c>
      <c r="H176" s="37">
        <v>868</v>
      </c>
      <c r="I176" s="37">
        <v>902</v>
      </c>
      <c r="J176" s="37">
        <v>977</v>
      </c>
      <c r="K176" s="37">
        <v>1052</v>
      </c>
      <c r="L176" s="37">
        <v>1127</v>
      </c>
      <c r="M176" s="37">
        <v>1202</v>
      </c>
      <c r="N176" s="37">
        <v>1277</v>
      </c>
      <c r="O176" s="37" t="s">
        <v>613</v>
      </c>
    </row>
    <row r="177" spans="2:15">
      <c r="B177" s="35" t="s">
        <v>710</v>
      </c>
      <c r="C177" s="36" t="s">
        <v>711</v>
      </c>
      <c r="D177" s="35" t="s">
        <v>710</v>
      </c>
      <c r="E177" s="37">
        <f>E$126</f>
        <v>425</v>
      </c>
      <c r="F177" s="37">
        <v>713</v>
      </c>
      <c r="G177" s="37">
        <v>859</v>
      </c>
      <c r="H177" s="37">
        <v>967</v>
      </c>
      <c r="I177" s="37">
        <v>1004</v>
      </c>
      <c r="J177" s="37">
        <v>1079</v>
      </c>
      <c r="K177" s="37">
        <v>1154</v>
      </c>
      <c r="L177" s="37">
        <v>1229</v>
      </c>
      <c r="M177" s="37">
        <v>1304</v>
      </c>
      <c r="N177" s="37">
        <v>1379</v>
      </c>
      <c r="O177" s="37" t="s">
        <v>616</v>
      </c>
    </row>
    <row r="178" spans="2:15">
      <c r="B178" s="35" t="s">
        <v>712</v>
      </c>
      <c r="C178" s="36" t="s">
        <v>713</v>
      </c>
      <c r="D178" s="35" t="s">
        <v>712</v>
      </c>
      <c r="E178" s="37">
        <f>E$125</f>
        <v>382</v>
      </c>
      <c r="F178" s="37">
        <v>641</v>
      </c>
      <c r="G178" s="37">
        <v>772</v>
      </c>
      <c r="H178" s="37">
        <v>868</v>
      </c>
      <c r="I178" s="37">
        <v>902</v>
      </c>
      <c r="J178" s="37">
        <v>977</v>
      </c>
      <c r="K178" s="37">
        <v>1052</v>
      </c>
      <c r="L178" s="37">
        <v>1127</v>
      </c>
      <c r="M178" s="37">
        <v>1202</v>
      </c>
      <c r="N178" s="37">
        <v>1277</v>
      </c>
      <c r="O178" s="37" t="s">
        <v>613</v>
      </c>
    </row>
    <row r="179" spans="2:15">
      <c r="B179" s="35" t="s">
        <v>714</v>
      </c>
      <c r="C179" s="36" t="s">
        <v>715</v>
      </c>
      <c r="D179" s="35" t="s">
        <v>714</v>
      </c>
      <c r="E179" s="37">
        <f>E$124</f>
        <v>382</v>
      </c>
      <c r="F179" s="37">
        <v>641</v>
      </c>
      <c r="G179" s="37">
        <v>772</v>
      </c>
      <c r="H179" s="37">
        <v>868</v>
      </c>
      <c r="I179" s="37">
        <v>902</v>
      </c>
      <c r="J179" s="37">
        <v>977</v>
      </c>
      <c r="K179" s="37">
        <v>1052</v>
      </c>
      <c r="L179" s="37">
        <v>1127</v>
      </c>
      <c r="M179" s="37">
        <v>1202</v>
      </c>
      <c r="N179" s="37">
        <v>1277</v>
      </c>
      <c r="O179" s="37" t="s">
        <v>642</v>
      </c>
    </row>
    <row r="180" spans="2:15">
      <c r="B180" s="35" t="s">
        <v>716</v>
      </c>
      <c r="C180" s="36" t="s">
        <v>717</v>
      </c>
      <c r="D180" s="35" t="s">
        <v>716</v>
      </c>
      <c r="E180" s="37">
        <f>E$126</f>
        <v>425</v>
      </c>
      <c r="F180" s="37">
        <v>713</v>
      </c>
      <c r="G180" s="37">
        <v>859</v>
      </c>
      <c r="H180" s="37">
        <v>967</v>
      </c>
      <c r="I180" s="37">
        <v>1004</v>
      </c>
      <c r="J180" s="37">
        <v>1079</v>
      </c>
      <c r="K180" s="37">
        <v>1154</v>
      </c>
      <c r="L180" s="37">
        <v>1229</v>
      </c>
      <c r="M180" s="37">
        <v>1304</v>
      </c>
      <c r="N180" s="37">
        <v>1379</v>
      </c>
      <c r="O180" s="37" t="s">
        <v>616</v>
      </c>
    </row>
  </sheetData>
  <mergeCells count="2">
    <mergeCell ref="A58:M58"/>
    <mergeCell ref="B120:N120"/>
  </mergeCells>
  <phoneticPr fontId="1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800000"/>
    <pageSetUpPr fitToPage="1"/>
  </sheetPr>
  <dimension ref="A1:DD48"/>
  <sheetViews>
    <sheetView showGridLines="0" showRowColHeaders="0" workbookViewId="0">
      <selection activeCell="O8" sqref="O8:BP8"/>
    </sheetView>
  </sheetViews>
  <sheetFormatPr defaultColWidth="9.7109375" defaultRowHeight="12.75"/>
  <cols>
    <col min="1" max="1" width="2.7109375" style="1" customWidth="1"/>
    <col min="2" max="2" width="2.28515625" style="1" customWidth="1"/>
    <col min="3" max="102" width="0.7109375" style="1" customWidth="1"/>
    <col min="103" max="103" width="2.28515625" style="1" customWidth="1"/>
    <col min="104" max="104" width="2.7109375" style="1" customWidth="1"/>
    <col min="105" max="105" width="9.7109375" style="1" customWidth="1"/>
    <col min="106" max="16384" width="9.7109375" style="1"/>
  </cols>
  <sheetData>
    <row r="1" spans="1:108">
      <c r="A1" s="2"/>
      <c r="B1" s="462"/>
      <c r="C1" s="462"/>
      <c r="D1" s="462"/>
      <c r="E1" s="462"/>
      <c r="F1" s="462"/>
      <c r="G1" s="462"/>
      <c r="H1" s="462"/>
      <c r="I1" s="462"/>
      <c r="J1" s="462"/>
      <c r="K1" s="462"/>
      <c r="L1" s="462"/>
      <c r="M1" s="462"/>
      <c r="N1" s="462"/>
      <c r="O1" s="462"/>
      <c r="P1" s="462"/>
      <c r="Q1" s="462"/>
      <c r="R1" s="462"/>
      <c r="S1" s="462"/>
      <c r="T1" s="462"/>
      <c r="U1" s="462"/>
      <c r="V1" s="462"/>
      <c r="W1" s="462"/>
      <c r="X1" s="462"/>
      <c r="Y1" s="462"/>
      <c r="Z1" s="462"/>
      <c r="AA1" s="462"/>
      <c r="AB1" s="462"/>
      <c r="AC1" s="462"/>
      <c r="AD1" s="462"/>
      <c r="AE1" s="462"/>
      <c r="AF1" s="462"/>
      <c r="AG1" s="462"/>
      <c r="AH1" s="462"/>
      <c r="AI1" s="462"/>
      <c r="AJ1" s="462"/>
      <c r="AK1" s="462"/>
      <c r="AL1" s="462"/>
      <c r="AM1" s="462"/>
      <c r="AN1" s="462"/>
      <c r="AO1" s="462"/>
      <c r="AP1" s="462"/>
      <c r="AQ1" s="462"/>
      <c r="AR1" s="462"/>
      <c r="AS1" s="462"/>
      <c r="AT1" s="462"/>
      <c r="AU1" s="462"/>
      <c r="AV1" s="462"/>
      <c r="AW1" s="462"/>
      <c r="AX1" s="462"/>
      <c r="AY1" s="462"/>
      <c r="AZ1" s="462"/>
      <c r="BA1" s="462"/>
      <c r="BB1" s="462"/>
      <c r="BC1" s="462"/>
      <c r="BD1" s="462"/>
      <c r="BE1" s="462"/>
      <c r="BF1" s="462"/>
      <c r="BG1" s="462"/>
      <c r="BH1" s="462"/>
      <c r="BI1" s="462"/>
      <c r="BJ1" s="462"/>
      <c r="BK1" s="462"/>
      <c r="BL1" s="462"/>
      <c r="BM1" s="462"/>
      <c r="BN1" s="462"/>
      <c r="BO1" s="462"/>
      <c r="BP1" s="462"/>
      <c r="BQ1" s="462"/>
      <c r="BR1" s="462"/>
      <c r="BS1" s="462"/>
      <c r="BT1" s="462"/>
      <c r="BU1" s="462"/>
      <c r="BV1" s="462"/>
      <c r="BW1" s="462"/>
      <c r="BX1" s="462"/>
      <c r="BY1" s="462"/>
      <c r="BZ1" s="462"/>
      <c r="CA1" s="462"/>
      <c r="CB1" s="462"/>
      <c r="CC1" s="462"/>
      <c r="CD1" s="462"/>
      <c r="CE1" s="462"/>
      <c r="CF1" s="462"/>
      <c r="CG1" s="462"/>
      <c r="CH1" s="462"/>
      <c r="CI1" s="462"/>
      <c r="CJ1" s="462"/>
      <c r="CK1" s="462"/>
      <c r="CL1" s="462"/>
      <c r="CM1" s="462"/>
      <c r="CN1" s="462"/>
      <c r="CO1" s="462"/>
      <c r="CP1" s="462"/>
      <c r="CQ1" s="462"/>
      <c r="CR1" s="462"/>
      <c r="CS1" s="462"/>
      <c r="CT1" s="462"/>
      <c r="CU1" s="462"/>
      <c r="CV1" s="462"/>
      <c r="CW1" s="462"/>
      <c r="CX1" s="462"/>
      <c r="CY1" s="462"/>
      <c r="CZ1" s="2"/>
      <c r="DA1" s="2"/>
      <c r="DB1" s="2"/>
    </row>
    <row r="2" spans="1:108" ht="12" customHeight="1">
      <c r="A2" s="2"/>
      <c r="B2" s="4"/>
      <c r="C2" s="463"/>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c r="AK2" s="464"/>
      <c r="AL2" s="464"/>
      <c r="AM2" s="464"/>
      <c r="AN2" s="464"/>
      <c r="AO2" s="464"/>
      <c r="AP2" s="464"/>
      <c r="AQ2" s="464"/>
      <c r="AR2" s="464"/>
      <c r="AS2" s="464"/>
      <c r="AT2" s="464"/>
      <c r="AU2" s="464"/>
      <c r="AV2" s="464"/>
      <c r="AW2" s="464"/>
      <c r="AX2" s="464"/>
      <c r="AY2" s="464"/>
      <c r="AZ2" s="464"/>
      <c r="BA2" s="464"/>
      <c r="BB2" s="464"/>
      <c r="BC2" s="464"/>
      <c r="BD2" s="464"/>
      <c r="BE2" s="464"/>
      <c r="BF2" s="464"/>
      <c r="BG2" s="464"/>
      <c r="BH2" s="464"/>
      <c r="BI2" s="464"/>
      <c r="BJ2" s="464"/>
      <c r="BK2" s="464"/>
      <c r="BL2" s="464"/>
      <c r="BM2" s="464"/>
      <c r="BN2" s="464"/>
      <c r="BO2" s="464"/>
      <c r="BP2" s="464"/>
      <c r="BQ2" s="464"/>
      <c r="BR2" s="464"/>
      <c r="BS2" s="464"/>
      <c r="BT2" s="464"/>
      <c r="BU2" s="464"/>
      <c r="BV2" s="464"/>
      <c r="BW2" s="464"/>
      <c r="BX2" s="464"/>
      <c r="BY2" s="464"/>
      <c r="BZ2" s="464"/>
      <c r="CA2" s="464"/>
      <c r="CB2" s="464"/>
      <c r="CC2" s="464"/>
      <c r="CD2" s="464"/>
      <c r="CE2" s="464"/>
      <c r="CF2" s="464"/>
      <c r="CG2" s="464"/>
      <c r="CH2" s="464"/>
      <c r="CI2" s="464"/>
      <c r="CJ2" s="464"/>
      <c r="CK2" s="464"/>
      <c r="CL2" s="464"/>
      <c r="CM2" s="464"/>
      <c r="CN2" s="464"/>
      <c r="CO2" s="464"/>
      <c r="CP2" s="464"/>
      <c r="CQ2" s="464"/>
      <c r="CR2" s="464"/>
      <c r="CS2" s="464"/>
      <c r="CT2" s="464"/>
      <c r="CU2" s="464"/>
      <c r="CV2" s="464"/>
      <c r="CW2" s="464"/>
      <c r="CX2" s="464"/>
      <c r="CY2" s="4"/>
      <c r="CZ2" s="2"/>
      <c r="DA2" s="2"/>
      <c r="DB2" s="2"/>
    </row>
    <row r="3" spans="1:108" ht="16.149999999999999" customHeight="1">
      <c r="A3" s="462"/>
      <c r="B3" s="5"/>
      <c r="C3" s="499" t="s">
        <v>719</v>
      </c>
      <c r="D3" s="499"/>
      <c r="E3" s="499"/>
      <c r="F3" s="499"/>
      <c r="G3" s="499"/>
      <c r="H3" s="499"/>
      <c r="I3" s="499"/>
      <c r="J3" s="499"/>
      <c r="K3" s="499"/>
      <c r="L3" s="499"/>
      <c r="M3" s="499"/>
      <c r="N3" s="499"/>
      <c r="O3" s="499"/>
      <c r="P3" s="499"/>
      <c r="Q3" s="499"/>
      <c r="R3" s="499"/>
      <c r="S3" s="499"/>
      <c r="T3" s="499"/>
      <c r="U3" s="499"/>
      <c r="V3" s="499"/>
      <c r="W3" s="499"/>
      <c r="X3" s="499"/>
      <c r="Y3" s="499"/>
      <c r="Z3" s="499"/>
      <c r="AA3" s="499"/>
      <c r="AB3" s="499"/>
      <c r="AC3" s="499"/>
      <c r="AD3" s="499"/>
      <c r="AE3" s="499"/>
      <c r="AF3" s="499"/>
      <c r="AG3" s="499"/>
      <c r="AH3" s="499"/>
      <c r="AI3" s="499"/>
      <c r="AJ3" s="499"/>
      <c r="AK3" s="499"/>
      <c r="AL3" s="499"/>
      <c r="AM3" s="499"/>
      <c r="AN3" s="499"/>
      <c r="AO3" s="499"/>
      <c r="AP3" s="499"/>
      <c r="AQ3" s="499"/>
      <c r="AR3" s="499"/>
      <c r="AS3" s="499"/>
      <c r="AT3" s="499"/>
      <c r="AU3" s="499"/>
      <c r="AV3" s="499"/>
      <c r="AW3" s="499"/>
      <c r="AX3" s="499"/>
      <c r="AY3" s="499"/>
      <c r="AZ3" s="499"/>
      <c r="BA3" s="499"/>
      <c r="BB3" s="499"/>
      <c r="BC3" s="499"/>
      <c r="BD3" s="499"/>
      <c r="BE3" s="499"/>
      <c r="BF3" s="499"/>
      <c r="BG3" s="499"/>
      <c r="BH3" s="499"/>
      <c r="BI3" s="499"/>
      <c r="BJ3" s="499"/>
      <c r="BK3" s="499"/>
      <c r="BL3" s="499"/>
      <c r="BM3" s="499"/>
      <c r="BN3" s="499"/>
      <c r="BO3" s="499"/>
      <c r="BP3" s="499"/>
      <c r="BQ3" s="499"/>
      <c r="BR3" s="499"/>
      <c r="BS3" s="499"/>
      <c r="BT3" s="499"/>
      <c r="BU3" s="499"/>
      <c r="BV3" s="499"/>
      <c r="BW3" s="499"/>
      <c r="BX3" s="499"/>
      <c r="BY3" s="499"/>
      <c r="BZ3" s="499"/>
      <c r="CA3" s="499"/>
      <c r="CB3" s="499"/>
      <c r="CC3" s="499"/>
      <c r="CD3" s="499"/>
      <c r="CE3" s="499"/>
      <c r="CF3" s="499"/>
      <c r="CG3" s="499"/>
      <c r="CH3" s="499"/>
      <c r="CI3" s="499"/>
      <c r="CJ3" s="499"/>
      <c r="CK3" s="499"/>
      <c r="CL3" s="499"/>
      <c r="CM3" s="499"/>
      <c r="CN3" s="499"/>
      <c r="CO3" s="499"/>
      <c r="CP3" s="499"/>
      <c r="CQ3" s="499"/>
      <c r="CR3" s="499"/>
      <c r="CS3" s="499"/>
      <c r="CT3" s="499"/>
      <c r="CU3" s="499"/>
      <c r="CV3" s="499"/>
      <c r="CW3" s="499"/>
      <c r="CX3" s="499"/>
      <c r="CY3" s="15"/>
      <c r="CZ3" s="462"/>
      <c r="DA3" s="2"/>
      <c r="DB3" s="2"/>
      <c r="DD3" s="5"/>
    </row>
    <row r="4" spans="1:108" ht="10.15" customHeight="1">
      <c r="A4" s="462"/>
      <c r="C4" s="499"/>
      <c r="D4" s="499"/>
      <c r="E4" s="499"/>
      <c r="F4" s="499"/>
      <c r="G4" s="499"/>
      <c r="H4" s="499"/>
      <c r="I4" s="499"/>
      <c r="J4" s="499"/>
      <c r="K4" s="499"/>
      <c r="L4" s="499"/>
      <c r="M4" s="499"/>
      <c r="N4" s="499"/>
      <c r="O4" s="499"/>
      <c r="P4" s="499"/>
      <c r="Q4" s="499"/>
      <c r="R4" s="499"/>
      <c r="S4" s="499"/>
      <c r="T4" s="499"/>
      <c r="U4" s="499"/>
      <c r="V4" s="499"/>
      <c r="W4" s="499"/>
      <c r="X4" s="499"/>
      <c r="Y4" s="499"/>
      <c r="Z4" s="499"/>
      <c r="AA4" s="499"/>
      <c r="AB4" s="499"/>
      <c r="AC4" s="499"/>
      <c r="AD4" s="499"/>
      <c r="AE4" s="499"/>
      <c r="AF4" s="499"/>
      <c r="AG4" s="499"/>
      <c r="AH4" s="499"/>
      <c r="AI4" s="499"/>
      <c r="AJ4" s="499"/>
      <c r="AK4" s="499"/>
      <c r="AL4" s="499"/>
      <c r="AM4" s="499"/>
      <c r="AN4" s="499"/>
      <c r="AO4" s="499"/>
      <c r="AP4" s="499"/>
      <c r="AQ4" s="499"/>
      <c r="AR4" s="499"/>
      <c r="AS4" s="499"/>
      <c r="AT4" s="499"/>
      <c r="AU4" s="499"/>
      <c r="AV4" s="499"/>
      <c r="AW4" s="499"/>
      <c r="AX4" s="499"/>
      <c r="AY4" s="499"/>
      <c r="AZ4" s="499"/>
      <c r="BA4" s="499"/>
      <c r="BB4" s="499"/>
      <c r="BC4" s="499"/>
      <c r="BD4" s="499"/>
      <c r="BE4" s="499"/>
      <c r="BF4" s="499"/>
      <c r="BG4" s="499"/>
      <c r="BH4" s="499"/>
      <c r="BI4" s="499"/>
      <c r="BJ4" s="499"/>
      <c r="BK4" s="499"/>
      <c r="BL4" s="499"/>
      <c r="BM4" s="499"/>
      <c r="BN4" s="499"/>
      <c r="BO4" s="499"/>
      <c r="BP4" s="499"/>
      <c r="BQ4" s="499"/>
      <c r="BR4" s="499"/>
      <c r="BS4" s="499"/>
      <c r="BT4" s="499"/>
      <c r="BU4" s="499"/>
      <c r="BV4" s="499"/>
      <c r="BW4" s="499"/>
      <c r="BX4" s="499"/>
      <c r="BY4" s="499"/>
      <c r="BZ4" s="499"/>
      <c r="CA4" s="499"/>
      <c r="CB4" s="499"/>
      <c r="CC4" s="499"/>
      <c r="CD4" s="499"/>
      <c r="CE4" s="499"/>
      <c r="CF4" s="499"/>
      <c r="CG4" s="499"/>
      <c r="CH4" s="499"/>
      <c r="CI4" s="499"/>
      <c r="CJ4" s="499"/>
      <c r="CK4" s="499"/>
      <c r="CL4" s="499"/>
      <c r="CM4" s="499"/>
      <c r="CN4" s="499"/>
      <c r="CO4" s="499"/>
      <c r="CP4" s="499"/>
      <c r="CQ4" s="499"/>
      <c r="CR4" s="499"/>
      <c r="CS4" s="499"/>
      <c r="CT4" s="499"/>
      <c r="CU4" s="499"/>
      <c r="CV4" s="499"/>
      <c r="CW4" s="499"/>
      <c r="CX4" s="499"/>
      <c r="CZ4" s="462"/>
      <c r="DA4" s="2"/>
      <c r="DB4" s="2"/>
    </row>
    <row r="5" spans="1:108" ht="10.15" customHeight="1">
      <c r="A5" s="462"/>
      <c r="C5" s="499"/>
      <c r="D5" s="499"/>
      <c r="E5" s="499"/>
      <c r="F5" s="499"/>
      <c r="G5" s="499"/>
      <c r="H5" s="499"/>
      <c r="I5" s="499"/>
      <c r="J5" s="499"/>
      <c r="K5" s="499"/>
      <c r="L5" s="499"/>
      <c r="M5" s="499"/>
      <c r="N5" s="499"/>
      <c r="O5" s="499"/>
      <c r="P5" s="499"/>
      <c r="Q5" s="499"/>
      <c r="R5" s="499"/>
      <c r="S5" s="499"/>
      <c r="T5" s="499"/>
      <c r="U5" s="499"/>
      <c r="V5" s="499"/>
      <c r="W5" s="499"/>
      <c r="X5" s="499"/>
      <c r="Y5" s="499"/>
      <c r="Z5" s="499"/>
      <c r="AA5" s="499"/>
      <c r="AB5" s="499"/>
      <c r="AC5" s="499"/>
      <c r="AD5" s="499"/>
      <c r="AE5" s="499"/>
      <c r="AF5" s="499"/>
      <c r="AG5" s="499"/>
      <c r="AH5" s="499"/>
      <c r="AI5" s="499"/>
      <c r="AJ5" s="499"/>
      <c r="AK5" s="499"/>
      <c r="AL5" s="499"/>
      <c r="AM5" s="499"/>
      <c r="AN5" s="499"/>
      <c r="AO5" s="499"/>
      <c r="AP5" s="499"/>
      <c r="AQ5" s="499"/>
      <c r="AR5" s="499"/>
      <c r="AS5" s="499"/>
      <c r="AT5" s="499"/>
      <c r="AU5" s="499"/>
      <c r="AV5" s="499"/>
      <c r="AW5" s="499"/>
      <c r="AX5" s="499"/>
      <c r="AY5" s="499"/>
      <c r="AZ5" s="499"/>
      <c r="BA5" s="499"/>
      <c r="BB5" s="499"/>
      <c r="BC5" s="499"/>
      <c r="BD5" s="499"/>
      <c r="BE5" s="499"/>
      <c r="BF5" s="499"/>
      <c r="BG5" s="499"/>
      <c r="BH5" s="499"/>
      <c r="BI5" s="499"/>
      <c r="BJ5" s="499"/>
      <c r="BK5" s="499"/>
      <c r="BL5" s="499"/>
      <c r="BM5" s="499"/>
      <c r="BN5" s="499"/>
      <c r="BO5" s="499"/>
      <c r="BP5" s="499"/>
      <c r="BQ5" s="499"/>
      <c r="BR5" s="499"/>
      <c r="BS5" s="499"/>
      <c r="BT5" s="499"/>
      <c r="BU5" s="499"/>
      <c r="BV5" s="499"/>
      <c r="BW5" s="499"/>
      <c r="BX5" s="499"/>
      <c r="BY5" s="499"/>
      <c r="BZ5" s="499"/>
      <c r="CA5" s="499"/>
      <c r="CB5" s="499"/>
      <c r="CC5" s="499"/>
      <c r="CD5" s="499"/>
      <c r="CE5" s="499"/>
      <c r="CF5" s="499"/>
      <c r="CG5" s="499"/>
      <c r="CH5" s="499"/>
      <c r="CI5" s="499"/>
      <c r="CJ5" s="499"/>
      <c r="CK5" s="499"/>
      <c r="CL5" s="499"/>
      <c r="CM5" s="499"/>
      <c r="CN5" s="499"/>
      <c r="CO5" s="499"/>
      <c r="CP5" s="499"/>
      <c r="CQ5" s="499"/>
      <c r="CR5" s="499"/>
      <c r="CS5" s="499"/>
      <c r="CT5" s="499"/>
      <c r="CU5" s="499"/>
      <c r="CV5" s="499"/>
      <c r="CW5" s="499"/>
      <c r="CX5" s="499"/>
      <c r="CZ5" s="462"/>
      <c r="DA5" s="2"/>
      <c r="DB5" s="2"/>
    </row>
    <row r="6" spans="1:108" ht="10.15" customHeight="1">
      <c r="A6" s="462"/>
      <c r="C6" s="465"/>
      <c r="D6" s="465"/>
      <c r="E6" s="465"/>
      <c r="F6" s="465"/>
      <c r="G6" s="465"/>
      <c r="H6" s="465"/>
      <c r="I6" s="465"/>
      <c r="J6" s="465"/>
      <c r="K6" s="465"/>
      <c r="L6" s="465"/>
      <c r="M6" s="465"/>
      <c r="N6" s="465"/>
      <c r="O6" s="465"/>
      <c r="P6" s="465"/>
      <c r="Q6" s="465"/>
      <c r="R6" s="465"/>
      <c r="S6" s="465"/>
      <c r="T6" s="465"/>
      <c r="U6" s="465"/>
      <c r="V6" s="465"/>
      <c r="W6" s="465"/>
      <c r="X6" s="465"/>
      <c r="Y6" s="465"/>
      <c r="Z6" s="465"/>
      <c r="AA6" s="465"/>
      <c r="AB6" s="465"/>
      <c r="AC6" s="465"/>
      <c r="AD6" s="465"/>
      <c r="AE6" s="465"/>
      <c r="AF6" s="465"/>
      <c r="AG6" s="465"/>
      <c r="AH6" s="465"/>
      <c r="AI6" s="465"/>
      <c r="AJ6" s="465"/>
      <c r="AK6" s="465"/>
      <c r="AL6" s="465"/>
      <c r="AM6" s="465"/>
      <c r="AN6" s="465"/>
      <c r="AO6" s="465"/>
      <c r="AP6" s="465"/>
      <c r="AQ6" s="466" t="e">
        <f>PREPAREDBY&amp;" "&amp;VERSIONMSG</f>
        <v>#NAME?</v>
      </c>
      <c r="AR6" s="466"/>
      <c r="AS6" s="466"/>
      <c r="AT6" s="466"/>
      <c r="AU6" s="466"/>
      <c r="AV6" s="466"/>
      <c r="AW6" s="466"/>
      <c r="AX6" s="466"/>
      <c r="AY6" s="466"/>
      <c r="AZ6" s="466"/>
      <c r="BA6" s="466"/>
      <c r="BB6" s="466"/>
      <c r="BC6" s="466"/>
      <c r="BD6" s="466"/>
      <c r="BE6" s="466"/>
      <c r="BF6" s="466"/>
      <c r="BG6" s="466"/>
      <c r="BH6" s="466"/>
      <c r="BI6" s="466"/>
      <c r="BJ6" s="466"/>
      <c r="BK6" s="466"/>
      <c r="BL6" s="466"/>
      <c r="BM6" s="466"/>
      <c r="BN6" s="466"/>
      <c r="BO6" s="466"/>
      <c r="BP6" s="466"/>
      <c r="BQ6" s="466"/>
      <c r="BR6" s="466"/>
      <c r="BS6" s="466"/>
      <c r="BT6" s="466"/>
      <c r="BU6" s="466"/>
      <c r="BV6" s="466"/>
      <c r="BW6" s="466"/>
      <c r="BX6" s="466"/>
      <c r="BY6" s="466"/>
      <c r="BZ6" s="466"/>
      <c r="CA6" s="466"/>
      <c r="CB6" s="466"/>
      <c r="CC6" s="466"/>
      <c r="CD6" s="466"/>
      <c r="CE6" s="466"/>
      <c r="CF6" s="466"/>
      <c r="CG6" s="466"/>
      <c r="CH6" s="466"/>
      <c r="CI6" s="466"/>
      <c r="CJ6" s="466"/>
      <c r="CK6" s="466"/>
      <c r="CL6" s="466"/>
      <c r="CM6" s="466"/>
      <c r="CN6" s="466"/>
      <c r="CO6" s="466"/>
      <c r="CP6" s="466"/>
      <c r="CQ6" s="466"/>
      <c r="CR6" s="466"/>
      <c r="CS6" s="466"/>
      <c r="CT6" s="466"/>
      <c r="CU6" s="466"/>
      <c r="CV6" s="466"/>
      <c r="CW6" s="466"/>
      <c r="CX6" s="466"/>
      <c r="CZ6" s="462"/>
      <c r="DA6" s="2"/>
      <c r="DB6" s="2"/>
    </row>
    <row r="7" spans="1:108" ht="10.15" customHeight="1">
      <c r="A7" s="462"/>
      <c r="C7" s="467"/>
      <c r="D7" s="467"/>
      <c r="E7" s="467"/>
      <c r="F7" s="467"/>
      <c r="G7" s="467"/>
      <c r="H7" s="467"/>
      <c r="I7" s="467"/>
      <c r="J7" s="467"/>
      <c r="K7" s="467"/>
      <c r="L7" s="467"/>
      <c r="M7" s="467"/>
      <c r="N7" s="467"/>
      <c r="O7" s="467"/>
      <c r="P7" s="467"/>
      <c r="Q7" s="467"/>
      <c r="R7" s="467"/>
      <c r="S7" s="467"/>
      <c r="T7" s="467"/>
      <c r="U7" s="467"/>
      <c r="V7" s="467"/>
      <c r="W7" s="467"/>
      <c r="X7" s="467"/>
      <c r="Y7" s="467"/>
      <c r="Z7" s="467"/>
      <c r="AA7" s="467"/>
      <c r="AB7" s="467"/>
      <c r="AC7" s="467"/>
      <c r="AD7" s="467"/>
      <c r="AE7" s="467"/>
      <c r="AF7" s="467"/>
      <c r="AG7" s="467"/>
      <c r="AH7" s="467"/>
      <c r="AI7" s="467"/>
      <c r="AJ7" s="467"/>
      <c r="AK7" s="467"/>
      <c r="AL7" s="467"/>
      <c r="AM7" s="467"/>
      <c r="AN7" s="467"/>
      <c r="AO7" s="467"/>
      <c r="AP7" s="467"/>
      <c r="AQ7" s="467"/>
      <c r="AR7" s="467"/>
      <c r="AS7" s="467"/>
      <c r="AT7" s="467"/>
      <c r="AU7" s="467"/>
      <c r="AV7" s="467"/>
      <c r="AW7" s="467"/>
      <c r="AX7" s="467"/>
      <c r="AY7" s="467"/>
      <c r="AZ7" s="467"/>
      <c r="BA7" s="467"/>
      <c r="BB7" s="467"/>
      <c r="BC7" s="467"/>
      <c r="BD7" s="467"/>
      <c r="BE7" s="467"/>
      <c r="BF7" s="467"/>
      <c r="BG7" s="467"/>
      <c r="BH7" s="467"/>
      <c r="BI7" s="467"/>
      <c r="BJ7" s="467"/>
      <c r="BK7" s="467"/>
      <c r="BL7" s="467"/>
      <c r="BM7" s="467"/>
      <c r="BN7" s="467"/>
      <c r="BO7" s="467"/>
      <c r="BP7" s="467"/>
      <c r="BQ7" s="467"/>
      <c r="BR7" s="467"/>
      <c r="BS7" s="467"/>
      <c r="BT7" s="467"/>
      <c r="BU7" s="467"/>
      <c r="BV7" s="467"/>
      <c r="BW7" s="467"/>
      <c r="BX7" s="467"/>
      <c r="BY7" s="467"/>
      <c r="BZ7" s="467"/>
      <c r="CA7" s="467"/>
      <c r="CB7" s="467"/>
      <c r="CC7" s="467"/>
      <c r="CD7" s="467"/>
      <c r="CE7" s="467"/>
      <c r="CF7" s="467"/>
      <c r="CG7" s="467"/>
      <c r="CH7" s="467"/>
      <c r="CI7" s="467"/>
      <c r="CJ7" s="467"/>
      <c r="CK7" s="467"/>
      <c r="CL7" s="467"/>
      <c r="CM7" s="467"/>
      <c r="CN7" s="467"/>
      <c r="CO7" s="467"/>
      <c r="CP7" s="467"/>
      <c r="CQ7" s="467"/>
      <c r="CR7" s="467"/>
      <c r="CS7" s="467"/>
      <c r="CT7" s="467"/>
      <c r="CU7" s="467"/>
      <c r="CV7" s="467"/>
      <c r="CW7" s="467"/>
      <c r="CX7" s="467"/>
      <c r="CZ7" s="462"/>
      <c r="DA7" s="2"/>
      <c r="DB7" s="2"/>
    </row>
    <row r="8" spans="1:108" ht="16.149999999999999" customHeight="1">
      <c r="A8" s="462"/>
      <c r="C8" s="468" t="s">
        <v>74</v>
      </c>
      <c r="D8" s="468"/>
      <c r="E8" s="468"/>
      <c r="F8" s="468"/>
      <c r="G8" s="468"/>
      <c r="H8" s="468"/>
      <c r="I8" s="468"/>
      <c r="J8" s="468"/>
      <c r="K8" s="468"/>
      <c r="L8" s="468"/>
      <c r="M8" s="468"/>
      <c r="N8" s="468"/>
      <c r="O8" s="469" t="e">
        <f>IF(#REF!="","",#REF!)</f>
        <v>#REF!</v>
      </c>
      <c r="P8" s="469"/>
      <c r="Q8" s="469"/>
      <c r="R8" s="469"/>
      <c r="S8" s="469"/>
      <c r="T8" s="469"/>
      <c r="U8" s="469"/>
      <c r="V8" s="469"/>
      <c r="W8" s="469"/>
      <c r="X8" s="469"/>
      <c r="Y8" s="469"/>
      <c r="Z8" s="469"/>
      <c r="AA8" s="469"/>
      <c r="AB8" s="469"/>
      <c r="AC8" s="469"/>
      <c r="AD8" s="469"/>
      <c r="AE8" s="469"/>
      <c r="AF8" s="469"/>
      <c r="AG8" s="469"/>
      <c r="AH8" s="469"/>
      <c r="AI8" s="469"/>
      <c r="AJ8" s="469"/>
      <c r="AK8" s="469"/>
      <c r="AL8" s="469"/>
      <c r="AM8" s="469"/>
      <c r="AN8" s="469"/>
      <c r="AO8" s="469"/>
      <c r="AP8" s="469"/>
      <c r="AQ8" s="469"/>
      <c r="AR8" s="469"/>
      <c r="AS8" s="469"/>
      <c r="AT8" s="469"/>
      <c r="AU8" s="469"/>
      <c r="AV8" s="469"/>
      <c r="AW8" s="469"/>
      <c r="AX8" s="469"/>
      <c r="AY8" s="469"/>
      <c r="AZ8" s="469"/>
      <c r="BA8" s="469"/>
      <c r="BB8" s="469"/>
      <c r="BC8" s="469"/>
      <c r="BD8" s="469"/>
      <c r="BE8" s="469"/>
      <c r="BF8" s="469"/>
      <c r="BG8" s="469"/>
      <c r="BH8" s="469"/>
      <c r="BI8" s="469"/>
      <c r="BJ8" s="469"/>
      <c r="BK8" s="469"/>
      <c r="BL8" s="469"/>
      <c r="BM8" s="469"/>
      <c r="BN8" s="469"/>
      <c r="BO8" s="469"/>
      <c r="BP8" s="469"/>
      <c r="BQ8" s="470" t="s">
        <v>75</v>
      </c>
      <c r="BR8" s="471"/>
      <c r="BS8" s="471"/>
      <c r="BT8" s="471"/>
      <c r="BU8" s="471"/>
      <c r="BV8" s="471"/>
      <c r="BW8" s="471"/>
      <c r="BX8" s="471"/>
      <c r="BY8" s="471"/>
      <c r="BZ8" s="471"/>
      <c r="CA8" s="471"/>
      <c r="CB8" s="471"/>
      <c r="CC8" s="472" t="e">
        <f>IF(#REF!="","",#REF!)</f>
        <v>#REF!</v>
      </c>
      <c r="CD8" s="473"/>
      <c r="CE8" s="473"/>
      <c r="CF8" s="473"/>
      <c r="CG8" s="473"/>
      <c r="CH8" s="473"/>
      <c r="CI8" s="473"/>
      <c r="CJ8" s="473"/>
      <c r="CK8" s="473"/>
      <c r="CL8" s="473"/>
      <c r="CM8" s="473"/>
      <c r="CN8" s="473"/>
      <c r="CO8" s="473"/>
      <c r="CP8" s="473"/>
      <c r="CQ8" s="473"/>
      <c r="CR8" s="473"/>
      <c r="CS8" s="473"/>
      <c r="CT8" s="473"/>
      <c r="CU8" s="473"/>
      <c r="CV8" s="473"/>
      <c r="CW8" s="473"/>
      <c r="CX8" s="473"/>
      <c r="CZ8" s="462"/>
      <c r="DA8" s="2"/>
      <c r="DB8" s="2"/>
    </row>
    <row r="9" spans="1:108" ht="13.15" customHeight="1">
      <c r="A9" s="3"/>
      <c r="B9" s="464"/>
      <c r="C9" s="464"/>
      <c r="D9" s="464"/>
      <c r="E9" s="464"/>
      <c r="F9" s="464"/>
      <c r="G9" s="464"/>
      <c r="H9" s="464"/>
      <c r="I9" s="464"/>
      <c r="J9" s="464"/>
      <c r="K9" s="464"/>
      <c r="L9" s="464"/>
      <c r="M9" s="464"/>
      <c r="N9" s="464"/>
      <c r="O9" s="464"/>
      <c r="P9" s="464"/>
      <c r="Q9" s="464"/>
      <c r="R9" s="464"/>
      <c r="S9" s="464"/>
      <c r="T9" s="464"/>
      <c r="U9" s="464"/>
      <c r="V9" s="464"/>
      <c r="W9" s="464"/>
      <c r="X9" s="464"/>
      <c r="Y9" s="464"/>
      <c r="Z9" s="464"/>
      <c r="AA9" s="464"/>
      <c r="AB9" s="464"/>
      <c r="AC9" s="464"/>
      <c r="AD9" s="464"/>
      <c r="AE9" s="464"/>
      <c r="AF9" s="464"/>
      <c r="AG9" s="464"/>
      <c r="AH9" s="464"/>
      <c r="AI9" s="464"/>
      <c r="AJ9" s="464"/>
      <c r="AK9" s="464"/>
      <c r="AL9" s="464"/>
      <c r="AM9" s="464"/>
      <c r="AN9" s="464"/>
      <c r="AO9" s="464"/>
      <c r="AP9" s="464"/>
      <c r="AQ9" s="464"/>
      <c r="AR9" s="464"/>
      <c r="AS9" s="464"/>
      <c r="AT9" s="464"/>
      <c r="AU9" s="464"/>
      <c r="AV9" s="464"/>
      <c r="AW9" s="464"/>
      <c r="AX9" s="464"/>
      <c r="AY9" s="464"/>
      <c r="AZ9" s="464"/>
      <c r="BA9" s="464"/>
      <c r="BB9" s="464"/>
      <c r="BC9" s="464"/>
      <c r="BD9" s="464"/>
      <c r="BE9" s="464"/>
      <c r="BF9" s="464"/>
      <c r="BG9" s="464"/>
      <c r="BH9" s="464"/>
      <c r="BI9" s="464"/>
      <c r="BJ9" s="464"/>
      <c r="BK9" s="464"/>
      <c r="BL9" s="464"/>
      <c r="BM9" s="464"/>
      <c r="BN9" s="464"/>
      <c r="BO9" s="464"/>
      <c r="BP9" s="464"/>
      <c r="BQ9" s="464"/>
      <c r="BR9" s="464"/>
      <c r="BS9" s="464"/>
      <c r="BT9" s="464"/>
      <c r="BU9" s="464"/>
      <c r="BV9" s="464"/>
      <c r="BW9" s="464"/>
      <c r="BX9" s="464"/>
      <c r="BY9" s="464"/>
      <c r="BZ9" s="464"/>
      <c r="CA9" s="464"/>
      <c r="CB9" s="464"/>
      <c r="CC9" s="464"/>
      <c r="CD9" s="464"/>
      <c r="CE9" s="464"/>
      <c r="CF9" s="464"/>
      <c r="CG9" s="464"/>
      <c r="CH9" s="464"/>
      <c r="CI9" s="464"/>
      <c r="CJ9" s="464"/>
      <c r="CK9" s="464"/>
      <c r="CL9" s="464"/>
      <c r="CM9" s="464"/>
      <c r="CN9" s="464"/>
      <c r="CO9" s="464"/>
      <c r="CP9" s="464"/>
      <c r="CQ9" s="464"/>
      <c r="CR9" s="464"/>
      <c r="CS9" s="464"/>
      <c r="CT9" s="464"/>
      <c r="CU9" s="464"/>
      <c r="CV9" s="464"/>
      <c r="CW9" s="464"/>
      <c r="CX9" s="464"/>
      <c r="CY9" s="464"/>
      <c r="CZ9" s="3"/>
      <c r="DA9" s="2"/>
      <c r="DB9" s="2"/>
    </row>
    <row r="10" spans="1:108" ht="20.100000000000001" customHeight="1">
      <c r="A10" s="2"/>
      <c r="B10" s="474"/>
      <c r="C10" s="474"/>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4"/>
      <c r="AL10" s="474"/>
      <c r="AM10" s="474"/>
      <c r="AN10" s="474"/>
      <c r="AO10" s="474"/>
      <c r="AP10" s="474"/>
      <c r="AQ10" s="474"/>
      <c r="AR10" s="474"/>
      <c r="AS10" s="474"/>
      <c r="AT10" s="474"/>
      <c r="AU10" s="474"/>
      <c r="AV10" s="474"/>
      <c r="AW10" s="474"/>
      <c r="AX10" s="474"/>
      <c r="AY10" s="474"/>
      <c r="AZ10" s="474"/>
      <c r="BA10" s="474"/>
      <c r="BB10" s="474"/>
      <c r="BC10" s="474"/>
      <c r="BD10" s="474"/>
      <c r="BE10" s="474"/>
      <c r="BF10" s="474"/>
      <c r="BG10" s="474"/>
      <c r="BH10" s="474"/>
      <c r="BI10" s="474"/>
      <c r="BJ10" s="474"/>
      <c r="BK10" s="474"/>
      <c r="BL10" s="474"/>
      <c r="BM10" s="474"/>
      <c r="BN10" s="474"/>
      <c r="BO10" s="474"/>
      <c r="BP10" s="474"/>
      <c r="BQ10" s="474"/>
      <c r="BR10" s="474"/>
      <c r="BS10" s="474"/>
      <c r="BT10" s="474"/>
      <c r="BU10" s="474"/>
      <c r="BV10" s="474"/>
      <c r="BW10" s="474"/>
      <c r="BX10" s="474"/>
      <c r="BY10" s="474"/>
      <c r="BZ10" s="474"/>
      <c r="CA10" s="474"/>
      <c r="CB10" s="474"/>
      <c r="CC10" s="474"/>
      <c r="CD10" s="474"/>
      <c r="CE10" s="474"/>
      <c r="CF10" s="474"/>
      <c r="CG10" s="474"/>
      <c r="CH10" s="474"/>
      <c r="CI10" s="474"/>
      <c r="CJ10" s="474"/>
      <c r="CK10" s="474"/>
      <c r="CL10" s="474"/>
      <c r="CM10" s="474"/>
      <c r="CN10" s="474"/>
      <c r="CO10" s="474"/>
      <c r="CP10" s="474"/>
      <c r="CQ10" s="474"/>
      <c r="CR10" s="474"/>
      <c r="CS10" s="474"/>
      <c r="CT10" s="474"/>
      <c r="CU10" s="474"/>
      <c r="CV10" s="474"/>
      <c r="CW10" s="474"/>
      <c r="CX10" s="474"/>
      <c r="CY10" s="474"/>
      <c r="CZ10" s="2"/>
      <c r="DA10" s="2"/>
      <c r="DB10" s="2"/>
    </row>
    <row r="11" spans="1:108" ht="14.1" customHeight="1">
      <c r="A11" s="486"/>
      <c r="B11" s="6"/>
      <c r="C11" s="475"/>
      <c r="D11" s="475"/>
      <c r="E11" s="475"/>
      <c r="F11" s="475"/>
      <c r="G11" s="475"/>
      <c r="H11" s="475"/>
      <c r="I11" s="475"/>
      <c r="J11" s="475"/>
      <c r="K11" s="475"/>
      <c r="L11" s="475"/>
      <c r="M11" s="475"/>
      <c r="N11" s="475"/>
      <c r="O11" s="475"/>
      <c r="P11" s="475"/>
      <c r="Q11" s="475"/>
      <c r="R11" s="475"/>
      <c r="S11" s="475"/>
      <c r="T11" s="475"/>
      <c r="U11" s="475"/>
      <c r="V11" s="475"/>
      <c r="W11" s="475"/>
      <c r="X11" s="475"/>
      <c r="Y11" s="475"/>
      <c r="Z11" s="475"/>
      <c r="AA11" s="475"/>
      <c r="AB11" s="475"/>
      <c r="AC11" s="475"/>
      <c r="AD11" s="475"/>
      <c r="AE11" s="475"/>
      <c r="AF11" s="475"/>
      <c r="AG11" s="475"/>
      <c r="AH11" s="475"/>
      <c r="AI11" s="475"/>
      <c r="AJ11" s="475"/>
      <c r="AK11" s="475"/>
      <c r="AL11" s="475"/>
      <c r="AM11" s="475"/>
      <c r="AN11" s="475"/>
      <c r="AO11" s="475"/>
      <c r="AP11" s="475"/>
      <c r="AQ11" s="475"/>
      <c r="AR11" s="475"/>
      <c r="AS11" s="475"/>
      <c r="AT11" s="475"/>
      <c r="AU11" s="475"/>
      <c r="AV11" s="475"/>
      <c r="AW11" s="475"/>
      <c r="AX11" s="475"/>
      <c r="AY11" s="475"/>
      <c r="AZ11" s="475"/>
      <c r="BA11" s="475"/>
      <c r="BB11" s="475"/>
      <c r="BC11" s="475"/>
      <c r="BD11" s="475"/>
      <c r="BE11" s="475"/>
      <c r="BF11" s="475"/>
      <c r="BG11" s="475"/>
      <c r="BH11" s="475"/>
      <c r="BI11" s="475"/>
      <c r="BJ11" s="475"/>
      <c r="BK11" s="475"/>
      <c r="BL11" s="475"/>
      <c r="BM11" s="475"/>
      <c r="BN11" s="475"/>
      <c r="BO11" s="475"/>
      <c r="BP11" s="475"/>
      <c r="BQ11" s="475"/>
      <c r="BR11" s="475"/>
      <c r="BS11" s="475"/>
      <c r="BT11" s="475"/>
      <c r="BU11" s="475"/>
      <c r="BV11" s="475"/>
      <c r="BW11" s="475"/>
      <c r="BX11" s="475"/>
      <c r="BY11" s="475"/>
      <c r="BZ11" s="475"/>
      <c r="CA11" s="475"/>
      <c r="CB11" s="475"/>
      <c r="CC11" s="475"/>
      <c r="CD11" s="475"/>
      <c r="CE11" s="475"/>
      <c r="CF11" s="475"/>
      <c r="CG11" s="475"/>
      <c r="CH11" s="475"/>
      <c r="CI11" s="475"/>
      <c r="CJ11" s="475"/>
      <c r="CK11" s="475"/>
      <c r="CL11" s="475"/>
      <c r="CM11" s="475"/>
      <c r="CN11" s="475"/>
      <c r="CO11" s="475"/>
      <c r="CP11" s="475"/>
      <c r="CQ11" s="475"/>
      <c r="CR11" s="475"/>
      <c r="CS11" s="475"/>
      <c r="CT11" s="475"/>
      <c r="CU11" s="475"/>
      <c r="CV11" s="475"/>
      <c r="CW11" s="475"/>
      <c r="CX11" s="475"/>
      <c r="CY11" s="16"/>
      <c r="CZ11" s="498"/>
      <c r="DA11" s="2"/>
      <c r="DB11" s="2"/>
    </row>
    <row r="12" spans="1:108" ht="16.149999999999999" customHeight="1">
      <c r="A12" s="486"/>
      <c r="B12" s="7"/>
      <c r="C12" s="476" t="s">
        <v>720</v>
      </c>
      <c r="D12" s="477"/>
      <c r="E12" s="477"/>
      <c r="F12" s="477"/>
      <c r="G12" s="477"/>
      <c r="H12" s="477"/>
      <c r="I12" s="477"/>
      <c r="J12" s="477"/>
      <c r="K12" s="477"/>
      <c r="L12" s="477"/>
      <c r="M12" s="477"/>
      <c r="N12" s="477"/>
      <c r="O12" s="477"/>
      <c r="P12" s="477"/>
      <c r="Q12" s="477"/>
      <c r="R12" s="477"/>
      <c r="S12" s="477"/>
      <c r="T12" s="477"/>
      <c r="U12" s="477"/>
      <c r="V12" s="477"/>
      <c r="W12" s="477"/>
      <c r="X12" s="477"/>
      <c r="Y12" s="477"/>
      <c r="Z12" s="477"/>
      <c r="AA12" s="477"/>
      <c r="AB12" s="477"/>
      <c r="AC12" s="477"/>
      <c r="AD12" s="477"/>
      <c r="AE12" s="477"/>
      <c r="AF12" s="477"/>
      <c r="AG12" s="477"/>
      <c r="AH12" s="477"/>
      <c r="AI12" s="477"/>
      <c r="AJ12" s="477"/>
      <c r="AK12" s="477"/>
      <c r="AL12" s="477"/>
      <c r="AM12" s="477"/>
      <c r="AN12" s="477"/>
      <c r="AO12" s="477"/>
      <c r="AP12" s="477"/>
      <c r="AQ12" s="477"/>
      <c r="AR12" s="477"/>
      <c r="AS12" s="477"/>
      <c r="AT12" s="477"/>
      <c r="AU12" s="477"/>
      <c r="AV12" s="477"/>
      <c r="AW12" s="477"/>
      <c r="AX12" s="477"/>
      <c r="AY12" s="477"/>
      <c r="AZ12" s="477"/>
      <c r="BA12" s="477"/>
      <c r="BB12" s="477"/>
      <c r="BC12" s="477"/>
      <c r="BD12" s="477"/>
      <c r="BE12" s="477"/>
      <c r="BF12" s="477"/>
      <c r="BG12" s="477"/>
      <c r="BH12" s="477"/>
      <c r="BI12" s="477"/>
      <c r="BJ12" s="477"/>
      <c r="BK12" s="477"/>
      <c r="BL12" s="477"/>
      <c r="BM12" s="477"/>
      <c r="BN12" s="477"/>
      <c r="BO12" s="477"/>
      <c r="BP12" s="477"/>
      <c r="BQ12" s="477"/>
      <c r="BR12" s="477"/>
      <c r="BS12" s="477"/>
      <c r="BT12" s="477"/>
      <c r="BU12" s="477"/>
      <c r="BV12" s="477"/>
      <c r="BW12" s="477"/>
      <c r="BX12" s="477"/>
      <c r="BY12" s="477"/>
      <c r="BZ12" s="477"/>
      <c r="CA12" s="477"/>
      <c r="CB12" s="477"/>
      <c r="CC12" s="477"/>
      <c r="CD12" s="477"/>
      <c r="CE12" s="477"/>
      <c r="CF12" s="477"/>
      <c r="CG12" s="478"/>
      <c r="CH12" s="479">
        <v>0</v>
      </c>
      <c r="CI12" s="479"/>
      <c r="CJ12" s="479"/>
      <c r="CK12" s="479"/>
      <c r="CL12" s="479"/>
      <c r="CM12" s="479"/>
      <c r="CN12" s="479"/>
      <c r="CO12" s="479"/>
      <c r="CP12" s="479"/>
      <c r="CQ12" s="479"/>
      <c r="CR12" s="479"/>
      <c r="CS12" s="479"/>
      <c r="CT12" s="479"/>
      <c r="CU12" s="479"/>
      <c r="CV12" s="479"/>
      <c r="CW12" s="479"/>
      <c r="CX12" s="479"/>
      <c r="CY12" s="17"/>
      <c r="CZ12" s="498"/>
      <c r="DA12" s="2"/>
      <c r="DB12" s="2"/>
    </row>
    <row r="13" spans="1:108" ht="16.149999999999999" customHeight="1">
      <c r="A13" s="486"/>
      <c r="B13" s="7"/>
      <c r="C13" s="476" t="s">
        <v>721</v>
      </c>
      <c r="D13" s="477"/>
      <c r="E13" s="477"/>
      <c r="F13" s="477"/>
      <c r="G13" s="477"/>
      <c r="H13" s="477"/>
      <c r="I13" s="477"/>
      <c r="J13" s="477"/>
      <c r="K13" s="477"/>
      <c r="L13" s="477"/>
      <c r="M13" s="477"/>
      <c r="N13" s="477"/>
      <c r="O13" s="477"/>
      <c r="P13" s="477"/>
      <c r="Q13" s="477"/>
      <c r="R13" s="477"/>
      <c r="S13" s="477"/>
      <c r="T13" s="477"/>
      <c r="U13" s="477"/>
      <c r="V13" s="477"/>
      <c r="W13" s="477"/>
      <c r="X13" s="477"/>
      <c r="Y13" s="477"/>
      <c r="Z13" s="477"/>
      <c r="AA13" s="477"/>
      <c r="AB13" s="477"/>
      <c r="AC13" s="477"/>
      <c r="AD13" s="477"/>
      <c r="AE13" s="477"/>
      <c r="AF13" s="477"/>
      <c r="AG13" s="477"/>
      <c r="AH13" s="477"/>
      <c r="AI13" s="477"/>
      <c r="AJ13" s="477"/>
      <c r="AK13" s="477"/>
      <c r="AL13" s="477"/>
      <c r="AM13" s="477"/>
      <c r="AN13" s="477"/>
      <c r="AO13" s="477"/>
      <c r="AP13" s="477"/>
      <c r="AQ13" s="477"/>
      <c r="AR13" s="477"/>
      <c r="AS13" s="477"/>
      <c r="AT13" s="477"/>
      <c r="AU13" s="477"/>
      <c r="AV13" s="477"/>
      <c r="AW13" s="477"/>
      <c r="AX13" s="477"/>
      <c r="AY13" s="477"/>
      <c r="AZ13" s="477"/>
      <c r="BA13" s="477"/>
      <c r="BB13" s="477"/>
      <c r="BC13" s="477"/>
      <c r="BD13" s="477"/>
      <c r="BE13" s="477"/>
      <c r="BF13" s="477"/>
      <c r="BG13" s="477"/>
      <c r="BH13" s="477"/>
      <c r="BI13" s="477"/>
      <c r="BJ13" s="477"/>
      <c r="BK13" s="477"/>
      <c r="BL13" s="477"/>
      <c r="BM13" s="477"/>
      <c r="BN13" s="477"/>
      <c r="BO13" s="477"/>
      <c r="BP13" s="477"/>
      <c r="BQ13" s="477"/>
      <c r="BR13" s="477"/>
      <c r="BS13" s="477"/>
      <c r="BT13" s="477"/>
      <c r="BU13" s="477"/>
      <c r="BV13" s="477"/>
      <c r="BW13" s="477"/>
      <c r="BX13" s="477"/>
      <c r="BY13" s="477"/>
      <c r="BZ13" s="477"/>
      <c r="CA13" s="477"/>
      <c r="CB13" s="477"/>
      <c r="CC13" s="477"/>
      <c r="CD13" s="477"/>
      <c r="CE13" s="477"/>
      <c r="CF13" s="477"/>
      <c r="CG13" s="478"/>
      <c r="CH13" s="480">
        <v>0</v>
      </c>
      <c r="CI13" s="480"/>
      <c r="CJ13" s="480"/>
      <c r="CK13" s="480"/>
      <c r="CL13" s="480"/>
      <c r="CM13" s="480"/>
      <c r="CN13" s="480"/>
      <c r="CO13" s="480"/>
      <c r="CP13" s="480"/>
      <c r="CQ13" s="480"/>
      <c r="CR13" s="480"/>
      <c r="CS13" s="480"/>
      <c r="CT13" s="480"/>
      <c r="CU13" s="480"/>
      <c r="CV13" s="480"/>
      <c r="CW13" s="480"/>
      <c r="CX13" s="480"/>
      <c r="CY13" s="17"/>
      <c r="CZ13" s="498"/>
      <c r="DA13" s="2"/>
      <c r="DB13" s="2"/>
    </row>
    <row r="14" spans="1:108" ht="16.149999999999999" customHeight="1">
      <c r="A14" s="486"/>
      <c r="B14" s="7"/>
      <c r="C14" s="476" t="s">
        <v>722</v>
      </c>
      <c r="D14" s="477"/>
      <c r="E14" s="477"/>
      <c r="F14" s="477"/>
      <c r="G14" s="477"/>
      <c r="H14" s="477"/>
      <c r="I14" s="477"/>
      <c r="J14" s="477"/>
      <c r="K14" s="477"/>
      <c r="L14" s="477"/>
      <c r="M14" s="477"/>
      <c r="N14" s="477"/>
      <c r="O14" s="477"/>
      <c r="P14" s="477"/>
      <c r="Q14" s="477"/>
      <c r="R14" s="477"/>
      <c r="S14" s="477"/>
      <c r="T14" s="477"/>
      <c r="U14" s="477"/>
      <c r="V14" s="477"/>
      <c r="W14" s="477"/>
      <c r="X14" s="477"/>
      <c r="Y14" s="477"/>
      <c r="Z14" s="477"/>
      <c r="AA14" s="477"/>
      <c r="AB14" s="477"/>
      <c r="AC14" s="477"/>
      <c r="AD14" s="477"/>
      <c r="AE14" s="477"/>
      <c r="AF14" s="477"/>
      <c r="AG14" s="477"/>
      <c r="AH14" s="477"/>
      <c r="AI14" s="477"/>
      <c r="AJ14" s="477"/>
      <c r="AK14" s="477"/>
      <c r="AL14" s="477"/>
      <c r="AM14" s="477"/>
      <c r="AN14" s="477"/>
      <c r="AO14" s="477"/>
      <c r="AP14" s="477"/>
      <c r="AQ14" s="477"/>
      <c r="AR14" s="477"/>
      <c r="AS14" s="477"/>
      <c r="AT14" s="477"/>
      <c r="AU14" s="477"/>
      <c r="AV14" s="477"/>
      <c r="AW14" s="477"/>
      <c r="AX14" s="477"/>
      <c r="AY14" s="477"/>
      <c r="AZ14" s="477"/>
      <c r="BA14" s="477"/>
      <c r="BB14" s="477"/>
      <c r="BC14" s="477"/>
      <c r="BD14" s="477"/>
      <c r="BE14" s="477"/>
      <c r="BF14" s="477"/>
      <c r="BG14" s="477"/>
      <c r="BH14" s="477"/>
      <c r="BI14" s="477"/>
      <c r="BJ14" s="477"/>
      <c r="BK14" s="477"/>
      <c r="BL14" s="477"/>
      <c r="BM14" s="477"/>
      <c r="BN14" s="477"/>
      <c r="BO14" s="477"/>
      <c r="BP14" s="477"/>
      <c r="BQ14" s="477"/>
      <c r="BR14" s="477"/>
      <c r="BS14" s="477"/>
      <c r="BT14" s="477"/>
      <c r="BU14" s="477"/>
      <c r="BV14" s="477"/>
      <c r="BW14" s="477"/>
      <c r="BX14" s="477"/>
      <c r="BY14" s="477"/>
      <c r="BZ14" s="477"/>
      <c r="CA14" s="477"/>
      <c r="CB14" s="477"/>
      <c r="CC14" s="477"/>
      <c r="CD14" s="477"/>
      <c r="CE14" s="477"/>
      <c r="CF14" s="477"/>
      <c r="CG14" s="478"/>
      <c r="CH14" s="481">
        <f>CH12*CH13</f>
        <v>0</v>
      </c>
      <c r="CI14" s="481"/>
      <c r="CJ14" s="481"/>
      <c r="CK14" s="481"/>
      <c r="CL14" s="481"/>
      <c r="CM14" s="481"/>
      <c r="CN14" s="481"/>
      <c r="CO14" s="481"/>
      <c r="CP14" s="481"/>
      <c r="CQ14" s="481"/>
      <c r="CR14" s="481"/>
      <c r="CS14" s="481"/>
      <c r="CT14" s="481"/>
      <c r="CU14" s="481"/>
      <c r="CV14" s="481"/>
      <c r="CW14" s="481"/>
      <c r="CX14" s="481"/>
      <c r="CY14" s="17"/>
      <c r="CZ14" s="498"/>
      <c r="DA14" s="2"/>
      <c r="DB14" s="2"/>
    </row>
    <row r="15" spans="1:108" ht="16.149999999999999" customHeight="1">
      <c r="A15" s="486"/>
      <c r="B15" s="7"/>
      <c r="C15" s="476" t="s">
        <v>723</v>
      </c>
      <c r="D15" s="477"/>
      <c r="E15" s="477"/>
      <c r="F15" s="477"/>
      <c r="G15" s="477"/>
      <c r="H15" s="477"/>
      <c r="I15" s="477"/>
      <c r="J15" s="477"/>
      <c r="K15" s="477"/>
      <c r="L15" s="477"/>
      <c r="M15" s="477"/>
      <c r="N15" s="477"/>
      <c r="O15" s="477"/>
      <c r="P15" s="477"/>
      <c r="Q15" s="477"/>
      <c r="R15" s="477"/>
      <c r="S15" s="477"/>
      <c r="T15" s="477"/>
      <c r="U15" s="477"/>
      <c r="V15" s="477"/>
      <c r="W15" s="477"/>
      <c r="X15" s="477"/>
      <c r="Y15" s="477"/>
      <c r="Z15" s="477"/>
      <c r="AA15" s="477"/>
      <c r="AB15" s="477"/>
      <c r="AC15" s="477"/>
      <c r="AD15" s="477"/>
      <c r="AE15" s="477"/>
      <c r="AF15" s="477"/>
      <c r="AG15" s="477"/>
      <c r="AH15" s="477"/>
      <c r="AI15" s="477"/>
      <c r="AJ15" s="477"/>
      <c r="AK15" s="477"/>
      <c r="AL15" s="477"/>
      <c r="AM15" s="477"/>
      <c r="AN15" s="477"/>
      <c r="AO15" s="477"/>
      <c r="AP15" s="477"/>
      <c r="AQ15" s="477"/>
      <c r="AR15" s="477"/>
      <c r="AS15" s="477"/>
      <c r="AT15" s="477"/>
      <c r="AU15" s="477"/>
      <c r="AV15" s="477"/>
      <c r="AW15" s="477"/>
      <c r="AX15" s="477"/>
      <c r="AY15" s="47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7"/>
      <c r="BV15" s="477"/>
      <c r="BW15" s="477"/>
      <c r="BX15" s="477"/>
      <c r="BY15" s="477"/>
      <c r="BZ15" s="477"/>
      <c r="CA15" s="477"/>
      <c r="CB15" s="477"/>
      <c r="CC15" s="477"/>
      <c r="CD15" s="477"/>
      <c r="CE15" s="477"/>
      <c r="CF15" s="477"/>
      <c r="CG15" s="478"/>
      <c r="CH15" s="482">
        <v>0.2</v>
      </c>
      <c r="CI15" s="482"/>
      <c r="CJ15" s="482"/>
      <c r="CK15" s="482"/>
      <c r="CL15" s="482"/>
      <c r="CM15" s="482"/>
      <c r="CN15" s="482"/>
      <c r="CO15" s="482"/>
      <c r="CP15" s="482"/>
      <c r="CQ15" s="482"/>
      <c r="CR15" s="482"/>
      <c r="CS15" s="482"/>
      <c r="CT15" s="482"/>
      <c r="CU15" s="482"/>
      <c r="CV15" s="482"/>
      <c r="CW15" s="482"/>
      <c r="CX15" s="482"/>
      <c r="CY15" s="17"/>
      <c r="CZ15" s="498"/>
      <c r="DA15" s="2"/>
      <c r="DB15" s="2"/>
    </row>
    <row r="16" spans="1:108" ht="16.149999999999999" customHeight="1">
      <c r="A16" s="486"/>
      <c r="B16" s="7"/>
      <c r="C16" s="476" t="s">
        <v>724</v>
      </c>
      <c r="D16" s="477"/>
      <c r="E16" s="477"/>
      <c r="F16" s="477"/>
      <c r="G16" s="477"/>
      <c r="H16" s="477"/>
      <c r="I16" s="477"/>
      <c r="J16" s="477"/>
      <c r="K16" s="477"/>
      <c r="L16" s="477"/>
      <c r="M16" s="477"/>
      <c r="N16" s="477"/>
      <c r="O16" s="477"/>
      <c r="P16" s="477"/>
      <c r="Q16" s="477"/>
      <c r="R16" s="477"/>
      <c r="S16" s="477"/>
      <c r="T16" s="477"/>
      <c r="U16" s="477"/>
      <c r="V16" s="477"/>
      <c r="W16" s="477"/>
      <c r="X16" s="477"/>
      <c r="Y16" s="477"/>
      <c r="Z16" s="477"/>
      <c r="AA16" s="477"/>
      <c r="AB16" s="477"/>
      <c r="AC16" s="477"/>
      <c r="AD16" s="477"/>
      <c r="AE16" s="477"/>
      <c r="AF16" s="477"/>
      <c r="AG16" s="477"/>
      <c r="AH16" s="477"/>
      <c r="AI16" s="477"/>
      <c r="AJ16" s="477"/>
      <c r="AK16" s="477"/>
      <c r="AL16" s="477"/>
      <c r="AM16" s="477"/>
      <c r="AN16" s="477"/>
      <c r="AO16" s="477"/>
      <c r="AP16" s="477"/>
      <c r="AQ16" s="477"/>
      <c r="AR16" s="477"/>
      <c r="AS16" s="477"/>
      <c r="AT16" s="477"/>
      <c r="AU16" s="477"/>
      <c r="AV16" s="477"/>
      <c r="AW16" s="477"/>
      <c r="AX16" s="477"/>
      <c r="AY16" s="477"/>
      <c r="AZ16" s="477"/>
      <c r="BA16" s="477"/>
      <c r="BB16" s="477"/>
      <c r="BC16" s="477"/>
      <c r="BD16" s="477"/>
      <c r="BE16" s="477"/>
      <c r="BF16" s="477"/>
      <c r="BG16" s="477"/>
      <c r="BH16" s="477"/>
      <c r="BI16" s="477"/>
      <c r="BJ16" s="477"/>
      <c r="BK16" s="477"/>
      <c r="BL16" s="477"/>
      <c r="BM16" s="477"/>
      <c r="BN16" s="477"/>
      <c r="BO16" s="477"/>
      <c r="BP16" s="477"/>
      <c r="BQ16" s="477"/>
      <c r="BR16" s="477"/>
      <c r="BS16" s="477"/>
      <c r="BT16" s="477"/>
      <c r="BU16" s="477"/>
      <c r="BV16" s="477"/>
      <c r="BW16" s="477"/>
      <c r="BX16" s="477"/>
      <c r="BY16" s="477"/>
      <c r="BZ16" s="477"/>
      <c r="CA16" s="477"/>
      <c r="CB16" s="477"/>
      <c r="CC16" s="477"/>
      <c r="CD16" s="477"/>
      <c r="CE16" s="477"/>
      <c r="CF16" s="477"/>
      <c r="CG16" s="478"/>
      <c r="CH16" s="481">
        <f>CH14*CH15</f>
        <v>0</v>
      </c>
      <c r="CI16" s="481"/>
      <c r="CJ16" s="481"/>
      <c r="CK16" s="481"/>
      <c r="CL16" s="481"/>
      <c r="CM16" s="481"/>
      <c r="CN16" s="481"/>
      <c r="CO16" s="481"/>
      <c r="CP16" s="481"/>
      <c r="CQ16" s="481"/>
      <c r="CR16" s="481"/>
      <c r="CS16" s="481"/>
      <c r="CT16" s="481"/>
      <c r="CU16" s="481"/>
      <c r="CV16" s="481"/>
      <c r="CW16" s="481"/>
      <c r="CX16" s="481"/>
      <c r="CY16" s="17"/>
      <c r="CZ16" s="498"/>
      <c r="DA16" s="2"/>
      <c r="DB16" s="2"/>
    </row>
    <row r="17" spans="1:106" ht="16.149999999999999" customHeight="1">
      <c r="A17" s="486"/>
      <c r="B17" s="7"/>
      <c r="C17" s="476" t="s">
        <v>725</v>
      </c>
      <c r="D17" s="477"/>
      <c r="E17" s="477"/>
      <c r="F17" s="477"/>
      <c r="G17" s="477"/>
      <c r="H17" s="477"/>
      <c r="I17" s="477"/>
      <c r="J17" s="477"/>
      <c r="K17" s="477"/>
      <c r="L17" s="477"/>
      <c r="M17" s="477"/>
      <c r="N17" s="477"/>
      <c r="O17" s="477"/>
      <c r="P17" s="477"/>
      <c r="Q17" s="477"/>
      <c r="R17" s="477"/>
      <c r="S17" s="477"/>
      <c r="T17" s="477"/>
      <c r="U17" s="477"/>
      <c r="V17" s="477"/>
      <c r="W17" s="477"/>
      <c r="X17" s="477"/>
      <c r="Y17" s="477"/>
      <c r="Z17" s="477"/>
      <c r="AA17" s="477"/>
      <c r="AB17" s="477"/>
      <c r="AC17" s="477"/>
      <c r="AD17" s="477"/>
      <c r="AE17" s="477"/>
      <c r="AF17" s="477"/>
      <c r="AG17" s="477"/>
      <c r="AH17" s="477"/>
      <c r="AI17" s="477"/>
      <c r="AJ17" s="477"/>
      <c r="AK17" s="477"/>
      <c r="AL17" s="477"/>
      <c r="AM17" s="477"/>
      <c r="AN17" s="477"/>
      <c r="AO17" s="477"/>
      <c r="AP17" s="477"/>
      <c r="AQ17" s="477"/>
      <c r="AR17" s="477"/>
      <c r="AS17" s="477"/>
      <c r="AT17" s="477"/>
      <c r="AU17" s="477"/>
      <c r="AV17" s="477"/>
      <c r="AW17" s="477"/>
      <c r="AX17" s="477"/>
      <c r="AY17" s="477"/>
      <c r="AZ17" s="477"/>
      <c r="BA17" s="477"/>
      <c r="BB17" s="477"/>
      <c r="BC17" s="477"/>
      <c r="BD17" s="477"/>
      <c r="BE17" s="477"/>
      <c r="BF17" s="477"/>
      <c r="BG17" s="477"/>
      <c r="BH17" s="477"/>
      <c r="BI17" s="477"/>
      <c r="BJ17" s="477"/>
      <c r="BK17" s="477"/>
      <c r="BL17" s="477"/>
      <c r="BM17" s="477"/>
      <c r="BN17" s="477"/>
      <c r="BO17" s="477"/>
      <c r="BP17" s="477"/>
      <c r="BQ17" s="477"/>
      <c r="BR17" s="477"/>
      <c r="BS17" s="477"/>
      <c r="BT17" s="477"/>
      <c r="BU17" s="477"/>
      <c r="BV17" s="477"/>
      <c r="BW17" s="477"/>
      <c r="BX17" s="477"/>
      <c r="BY17" s="477"/>
      <c r="BZ17" s="477"/>
      <c r="CA17" s="477"/>
      <c r="CB17" s="477"/>
      <c r="CC17" s="477"/>
      <c r="CD17" s="477"/>
      <c r="CE17" s="477"/>
      <c r="CF17" s="477"/>
      <c r="CG17" s="478"/>
      <c r="CH17" s="483">
        <v>12</v>
      </c>
      <c r="CI17" s="483"/>
      <c r="CJ17" s="483"/>
      <c r="CK17" s="483"/>
      <c r="CL17" s="483"/>
      <c r="CM17" s="483"/>
      <c r="CN17" s="483"/>
      <c r="CO17" s="483"/>
      <c r="CP17" s="483"/>
      <c r="CQ17" s="483"/>
      <c r="CR17" s="483"/>
      <c r="CS17" s="483"/>
      <c r="CT17" s="483"/>
      <c r="CU17" s="483"/>
      <c r="CV17" s="483"/>
      <c r="CW17" s="483"/>
      <c r="CX17" s="483"/>
      <c r="CY17" s="17"/>
      <c r="CZ17" s="498"/>
      <c r="DA17" s="22"/>
      <c r="DB17" s="2"/>
    </row>
    <row r="18" spans="1:106" ht="16.149999999999999" customHeight="1">
      <c r="A18" s="486"/>
      <c r="B18" s="7"/>
      <c r="C18" s="476" t="s">
        <v>726</v>
      </c>
      <c r="D18" s="477"/>
      <c r="E18" s="477"/>
      <c r="F18" s="477"/>
      <c r="G18" s="477"/>
      <c r="H18" s="477"/>
      <c r="I18" s="477"/>
      <c r="J18" s="477"/>
      <c r="K18" s="477"/>
      <c r="L18" s="477"/>
      <c r="M18" s="477"/>
      <c r="N18" s="477"/>
      <c r="O18" s="477"/>
      <c r="P18" s="477"/>
      <c r="Q18" s="477"/>
      <c r="R18" s="477"/>
      <c r="S18" s="477"/>
      <c r="T18" s="477"/>
      <c r="U18" s="477"/>
      <c r="V18" s="477"/>
      <c r="W18" s="477"/>
      <c r="X18" s="477"/>
      <c r="Y18" s="477"/>
      <c r="Z18" s="477"/>
      <c r="AA18" s="477"/>
      <c r="AB18" s="477"/>
      <c r="AC18" s="477"/>
      <c r="AD18" s="477"/>
      <c r="AE18" s="477"/>
      <c r="AF18" s="477"/>
      <c r="AG18" s="477"/>
      <c r="AH18" s="477"/>
      <c r="AI18" s="477"/>
      <c r="AJ18" s="477"/>
      <c r="AK18" s="477"/>
      <c r="AL18" s="477"/>
      <c r="AM18" s="477"/>
      <c r="AN18" s="477"/>
      <c r="AO18" s="477"/>
      <c r="AP18" s="477"/>
      <c r="AQ18" s="477"/>
      <c r="AR18" s="477"/>
      <c r="AS18" s="477"/>
      <c r="AT18" s="477"/>
      <c r="AU18" s="477"/>
      <c r="AV18" s="477"/>
      <c r="AW18" s="477"/>
      <c r="AX18" s="477"/>
      <c r="AY18" s="477"/>
      <c r="AZ18" s="477"/>
      <c r="BA18" s="477"/>
      <c r="BB18" s="477"/>
      <c r="BC18" s="477"/>
      <c r="BD18" s="477"/>
      <c r="BE18" s="477"/>
      <c r="BF18" s="477"/>
      <c r="BG18" s="477"/>
      <c r="BH18" s="477"/>
      <c r="BI18" s="477"/>
      <c r="BJ18" s="477"/>
      <c r="BK18" s="477"/>
      <c r="BL18" s="477"/>
      <c r="BM18" s="477"/>
      <c r="BN18" s="477"/>
      <c r="BO18" s="477"/>
      <c r="BP18" s="477"/>
      <c r="BQ18" s="477"/>
      <c r="BR18" s="477"/>
      <c r="BS18" s="477"/>
      <c r="BT18" s="477"/>
      <c r="BU18" s="477"/>
      <c r="BV18" s="477"/>
      <c r="BW18" s="477"/>
      <c r="BX18" s="477"/>
      <c r="BY18" s="477"/>
      <c r="BZ18" s="477"/>
      <c r="CA18" s="477"/>
      <c r="CB18" s="477"/>
      <c r="CC18" s="477"/>
      <c r="CD18" s="477"/>
      <c r="CE18" s="477"/>
      <c r="CF18" s="477"/>
      <c r="CG18" s="478"/>
      <c r="CH18" s="481">
        <f>CH16/CH17</f>
        <v>0</v>
      </c>
      <c r="CI18" s="481"/>
      <c r="CJ18" s="481"/>
      <c r="CK18" s="481"/>
      <c r="CL18" s="481"/>
      <c r="CM18" s="481"/>
      <c r="CN18" s="481"/>
      <c r="CO18" s="481"/>
      <c r="CP18" s="481"/>
      <c r="CQ18" s="481"/>
      <c r="CR18" s="481"/>
      <c r="CS18" s="481"/>
      <c r="CT18" s="481"/>
      <c r="CU18" s="481"/>
      <c r="CV18" s="481"/>
      <c r="CW18" s="481"/>
      <c r="CX18" s="481"/>
      <c r="CY18" s="17"/>
      <c r="CZ18" s="498"/>
      <c r="DA18" s="23"/>
      <c r="DB18" s="2"/>
    </row>
    <row r="19" spans="1:106" ht="14.1" customHeight="1">
      <c r="A19" s="486"/>
      <c r="B19" s="8"/>
      <c r="C19" s="484"/>
      <c r="D19" s="484"/>
      <c r="E19" s="484"/>
      <c r="F19" s="484"/>
      <c r="G19" s="484"/>
      <c r="H19" s="484"/>
      <c r="I19" s="484"/>
      <c r="J19" s="484"/>
      <c r="K19" s="484"/>
      <c r="L19" s="484"/>
      <c r="M19" s="484"/>
      <c r="N19" s="484"/>
      <c r="O19" s="484"/>
      <c r="P19" s="484"/>
      <c r="Q19" s="484"/>
      <c r="R19" s="484"/>
      <c r="S19" s="484"/>
      <c r="T19" s="484"/>
      <c r="U19" s="484"/>
      <c r="V19" s="484"/>
      <c r="W19" s="484"/>
      <c r="X19" s="484"/>
      <c r="Y19" s="484"/>
      <c r="Z19" s="484"/>
      <c r="AA19" s="484"/>
      <c r="AB19" s="484"/>
      <c r="AC19" s="484"/>
      <c r="AD19" s="484"/>
      <c r="AE19" s="484"/>
      <c r="AF19" s="484"/>
      <c r="AG19" s="484"/>
      <c r="AH19" s="484"/>
      <c r="AI19" s="484"/>
      <c r="AJ19" s="484"/>
      <c r="AK19" s="484"/>
      <c r="AL19" s="484"/>
      <c r="AM19" s="484"/>
      <c r="AN19" s="484"/>
      <c r="AO19" s="484"/>
      <c r="AP19" s="484"/>
      <c r="AQ19" s="484"/>
      <c r="AR19" s="484"/>
      <c r="AS19" s="484"/>
      <c r="AT19" s="484"/>
      <c r="AU19" s="484"/>
      <c r="AV19" s="484"/>
      <c r="AW19" s="484"/>
      <c r="AX19" s="484"/>
      <c r="AY19" s="484"/>
      <c r="AZ19" s="484"/>
      <c r="BA19" s="484"/>
      <c r="BB19" s="484"/>
      <c r="BC19" s="484"/>
      <c r="BD19" s="484"/>
      <c r="BE19" s="484"/>
      <c r="BF19" s="484"/>
      <c r="BG19" s="484"/>
      <c r="BH19" s="484"/>
      <c r="BI19" s="484"/>
      <c r="BJ19" s="484"/>
      <c r="BK19" s="484"/>
      <c r="BL19" s="484"/>
      <c r="BM19" s="484"/>
      <c r="BN19" s="484"/>
      <c r="BO19" s="484"/>
      <c r="BP19" s="484"/>
      <c r="BQ19" s="484"/>
      <c r="BR19" s="484"/>
      <c r="BS19" s="484"/>
      <c r="BT19" s="484"/>
      <c r="BU19" s="484"/>
      <c r="BV19" s="484"/>
      <c r="BW19" s="484"/>
      <c r="BX19" s="484"/>
      <c r="BY19" s="484"/>
      <c r="BZ19" s="484"/>
      <c r="CA19" s="484"/>
      <c r="CB19" s="484"/>
      <c r="CC19" s="484"/>
      <c r="CD19" s="484"/>
      <c r="CE19" s="484"/>
      <c r="CF19" s="484"/>
      <c r="CG19" s="484"/>
      <c r="CH19" s="484"/>
      <c r="CI19" s="484"/>
      <c r="CJ19" s="484"/>
      <c r="CK19" s="484"/>
      <c r="CL19" s="484"/>
      <c r="CM19" s="484"/>
      <c r="CN19" s="484"/>
      <c r="CO19" s="484"/>
      <c r="CP19" s="484"/>
      <c r="CQ19" s="484"/>
      <c r="CR19" s="484"/>
      <c r="CS19" s="484"/>
      <c r="CT19" s="484"/>
      <c r="CU19" s="484"/>
      <c r="CV19" s="484"/>
      <c r="CW19" s="484"/>
      <c r="CX19" s="484"/>
      <c r="CY19" s="18"/>
      <c r="CZ19" s="498"/>
      <c r="DA19" s="2"/>
      <c r="DB19" s="2"/>
    </row>
    <row r="20" spans="1:106" ht="20.100000000000001" customHeight="1">
      <c r="A20" s="2"/>
      <c r="B20" s="492"/>
      <c r="C20" s="492"/>
      <c r="D20" s="492"/>
      <c r="E20" s="492"/>
      <c r="F20" s="492"/>
      <c r="G20" s="492"/>
      <c r="H20" s="492"/>
      <c r="I20" s="492"/>
      <c r="J20" s="492"/>
      <c r="K20" s="492"/>
      <c r="L20" s="492"/>
      <c r="M20" s="492"/>
      <c r="N20" s="492"/>
      <c r="O20" s="492"/>
      <c r="P20" s="492"/>
      <c r="Q20" s="492"/>
      <c r="R20" s="492"/>
      <c r="S20" s="492"/>
      <c r="T20" s="492"/>
      <c r="U20" s="492"/>
      <c r="V20" s="492"/>
      <c r="W20" s="492"/>
      <c r="X20" s="492"/>
      <c r="Y20" s="492"/>
      <c r="Z20" s="492"/>
      <c r="AA20" s="492"/>
      <c r="AB20" s="492"/>
      <c r="AC20" s="492"/>
      <c r="AD20" s="492"/>
      <c r="AE20" s="492"/>
      <c r="AF20" s="492"/>
      <c r="AG20" s="492"/>
      <c r="AH20" s="492"/>
      <c r="AI20" s="492"/>
      <c r="AJ20" s="492"/>
      <c r="AK20" s="492"/>
      <c r="AL20" s="492"/>
      <c r="AM20" s="492"/>
      <c r="AN20" s="492"/>
      <c r="AO20" s="492"/>
      <c r="AP20" s="492"/>
      <c r="AQ20" s="492"/>
      <c r="AR20" s="492"/>
      <c r="AS20" s="492"/>
      <c r="AT20" s="492"/>
      <c r="AU20" s="492"/>
      <c r="AV20" s="492"/>
      <c r="AW20" s="492"/>
      <c r="AX20" s="492"/>
      <c r="AY20" s="492"/>
      <c r="AZ20" s="492"/>
      <c r="BA20" s="492"/>
      <c r="BB20" s="492"/>
      <c r="BC20" s="492"/>
      <c r="BD20" s="492"/>
      <c r="BE20" s="492"/>
      <c r="BF20" s="492"/>
      <c r="BG20" s="492"/>
      <c r="BH20" s="492"/>
      <c r="BI20" s="492"/>
      <c r="BJ20" s="492"/>
      <c r="BK20" s="492"/>
      <c r="BL20" s="492"/>
      <c r="BM20" s="492"/>
      <c r="BN20" s="492"/>
      <c r="BO20" s="492"/>
      <c r="BP20" s="492"/>
      <c r="BQ20" s="492"/>
      <c r="BR20" s="492"/>
      <c r="BS20" s="492"/>
      <c r="BT20" s="492"/>
      <c r="BU20" s="492"/>
      <c r="BV20" s="492"/>
      <c r="BW20" s="492"/>
      <c r="BX20" s="492"/>
      <c r="BY20" s="492"/>
      <c r="BZ20" s="492"/>
      <c r="CA20" s="492"/>
      <c r="CB20" s="492"/>
      <c r="CC20" s="492"/>
      <c r="CD20" s="492"/>
      <c r="CE20" s="492"/>
      <c r="CF20" s="492"/>
      <c r="CG20" s="492"/>
      <c r="CH20" s="492"/>
      <c r="CI20" s="492"/>
      <c r="CJ20" s="492"/>
      <c r="CK20" s="492"/>
      <c r="CL20" s="492"/>
      <c r="CM20" s="492"/>
      <c r="CN20" s="492"/>
      <c r="CO20" s="492"/>
      <c r="CP20" s="492"/>
      <c r="CQ20" s="492"/>
      <c r="CR20" s="492"/>
      <c r="CS20" s="492"/>
      <c r="CT20" s="492"/>
      <c r="CU20" s="492"/>
      <c r="CV20" s="492"/>
      <c r="CW20" s="492"/>
      <c r="CX20" s="492"/>
      <c r="CY20" s="492"/>
      <c r="CZ20" s="19"/>
      <c r="DA20" s="2"/>
      <c r="DB20" s="2"/>
    </row>
    <row r="21" spans="1:106" ht="14.1" hidden="1" customHeight="1">
      <c r="A21" s="486"/>
      <c r="B21" s="9"/>
      <c r="C21" s="508"/>
      <c r="D21" s="508"/>
      <c r="E21" s="508"/>
      <c r="F21" s="508"/>
      <c r="G21" s="508"/>
      <c r="H21" s="508"/>
      <c r="I21" s="508"/>
      <c r="J21" s="508"/>
      <c r="K21" s="508"/>
      <c r="L21" s="508"/>
      <c r="M21" s="508"/>
      <c r="N21" s="508"/>
      <c r="O21" s="508"/>
      <c r="P21" s="508"/>
      <c r="Q21" s="508"/>
      <c r="R21" s="508"/>
      <c r="S21" s="508"/>
      <c r="T21" s="508"/>
      <c r="U21" s="508"/>
      <c r="V21" s="508"/>
      <c r="W21" s="508"/>
      <c r="X21" s="508"/>
      <c r="Y21" s="508"/>
      <c r="Z21" s="508"/>
      <c r="AA21" s="508"/>
      <c r="AB21" s="508"/>
      <c r="AC21" s="508"/>
      <c r="AD21" s="508"/>
      <c r="AE21" s="508"/>
      <c r="AF21" s="508"/>
      <c r="AG21" s="508"/>
      <c r="AH21" s="508"/>
      <c r="AI21" s="508"/>
      <c r="AJ21" s="508"/>
      <c r="AK21" s="508"/>
      <c r="AL21" s="508"/>
      <c r="AM21" s="508"/>
      <c r="AN21" s="508"/>
      <c r="AO21" s="508"/>
      <c r="AP21" s="508"/>
      <c r="AQ21" s="508"/>
      <c r="AR21" s="508"/>
      <c r="AS21" s="508"/>
      <c r="AT21" s="508"/>
      <c r="AU21" s="508"/>
      <c r="AV21" s="508"/>
      <c r="AW21" s="508"/>
      <c r="AX21" s="508"/>
      <c r="AY21" s="508"/>
      <c r="AZ21" s="508"/>
      <c r="BA21" s="508"/>
      <c r="BB21" s="508"/>
      <c r="BC21" s="508"/>
      <c r="BD21" s="508"/>
      <c r="BE21" s="508"/>
      <c r="BF21" s="508"/>
      <c r="BG21" s="508"/>
      <c r="BH21" s="508"/>
      <c r="BI21" s="508"/>
      <c r="BJ21" s="508"/>
      <c r="BK21" s="508"/>
      <c r="BL21" s="508"/>
      <c r="BM21" s="508"/>
      <c r="BN21" s="508"/>
      <c r="BO21" s="508"/>
      <c r="BP21" s="508"/>
      <c r="BQ21" s="508"/>
      <c r="BR21" s="508"/>
      <c r="BS21" s="508"/>
      <c r="BT21" s="508"/>
      <c r="BU21" s="508"/>
      <c r="BV21" s="508"/>
      <c r="BW21" s="508"/>
      <c r="BX21" s="508"/>
      <c r="BY21" s="508"/>
      <c r="BZ21" s="508"/>
      <c r="CA21" s="508"/>
      <c r="CB21" s="508"/>
      <c r="CC21" s="508"/>
      <c r="CD21" s="508"/>
      <c r="CE21" s="508"/>
      <c r="CF21" s="508"/>
      <c r="CG21" s="508"/>
      <c r="CH21" s="508"/>
      <c r="CI21" s="508"/>
      <c r="CJ21" s="508"/>
      <c r="CK21" s="508"/>
      <c r="CL21" s="508"/>
      <c r="CM21" s="508"/>
      <c r="CN21" s="508"/>
      <c r="CO21" s="508"/>
      <c r="CP21" s="508"/>
      <c r="CQ21" s="508"/>
      <c r="CR21" s="508"/>
      <c r="CS21" s="508"/>
      <c r="CT21" s="508"/>
      <c r="CU21" s="508"/>
      <c r="CV21" s="508"/>
      <c r="CW21" s="508"/>
      <c r="CX21" s="508"/>
      <c r="CY21" s="20"/>
      <c r="CZ21" s="498"/>
      <c r="DA21" s="2"/>
      <c r="DB21" s="2"/>
    </row>
    <row r="22" spans="1:106" ht="16.149999999999999" hidden="1" customHeight="1">
      <c r="A22" s="486"/>
      <c r="B22" s="9"/>
      <c r="C22" s="509" t="s">
        <v>727</v>
      </c>
      <c r="D22" s="509"/>
      <c r="E22" s="509"/>
      <c r="F22" s="509"/>
      <c r="G22" s="509"/>
      <c r="H22" s="509"/>
      <c r="I22" s="509"/>
      <c r="J22" s="509"/>
      <c r="K22" s="509"/>
      <c r="L22" s="509"/>
      <c r="M22" s="509"/>
      <c r="N22" s="509"/>
      <c r="O22" s="509"/>
      <c r="P22" s="509"/>
      <c r="Q22" s="509"/>
      <c r="R22" s="509"/>
      <c r="S22" s="509"/>
      <c r="T22" s="509"/>
      <c r="U22" s="509"/>
      <c r="V22" s="509"/>
      <c r="W22" s="509"/>
      <c r="X22" s="509"/>
      <c r="Y22" s="509"/>
      <c r="Z22" s="509"/>
      <c r="AA22" s="509"/>
      <c r="AB22" s="509"/>
      <c r="AC22" s="509"/>
      <c r="AD22" s="509"/>
      <c r="AE22" s="509"/>
      <c r="AF22" s="509"/>
      <c r="AG22" s="509"/>
      <c r="AH22" s="509"/>
      <c r="AI22" s="509"/>
      <c r="AJ22" s="509"/>
      <c r="AK22" s="509"/>
      <c r="AL22" s="509"/>
      <c r="AM22" s="509"/>
      <c r="AN22" s="509"/>
      <c r="AO22" s="509"/>
      <c r="AP22" s="509"/>
      <c r="AQ22" s="509"/>
      <c r="AR22" s="509"/>
      <c r="AS22" s="509"/>
      <c r="AT22" s="509"/>
      <c r="AU22" s="509"/>
      <c r="AV22" s="509"/>
      <c r="AW22" s="509"/>
      <c r="AX22" s="509"/>
      <c r="AY22" s="509"/>
      <c r="AZ22" s="509"/>
      <c r="BA22" s="509"/>
      <c r="BB22" s="509"/>
      <c r="BC22" s="509"/>
      <c r="BD22" s="509"/>
      <c r="BE22" s="509"/>
      <c r="BF22" s="509"/>
      <c r="BG22" s="509"/>
      <c r="BH22" s="509"/>
      <c r="BI22" s="509"/>
      <c r="BJ22" s="509"/>
      <c r="BK22" s="509"/>
      <c r="BL22" s="509"/>
      <c r="BM22" s="509"/>
      <c r="BN22" s="509"/>
      <c r="BO22" s="509"/>
      <c r="BP22" s="509"/>
      <c r="BQ22" s="509"/>
      <c r="BR22" s="509"/>
      <c r="BS22" s="509"/>
      <c r="BT22" s="509"/>
      <c r="BU22" s="509"/>
      <c r="BV22" s="509"/>
      <c r="BW22" s="509"/>
      <c r="BX22" s="509"/>
      <c r="BY22" s="509"/>
      <c r="BZ22" s="509"/>
      <c r="CA22" s="509"/>
      <c r="CB22" s="509"/>
      <c r="CC22" s="509"/>
      <c r="CD22" s="509"/>
      <c r="CE22" s="509"/>
      <c r="CF22" s="509"/>
      <c r="CG22" s="509"/>
      <c r="CH22" s="509"/>
      <c r="CI22" s="509"/>
      <c r="CJ22" s="509"/>
      <c r="CK22" s="509"/>
      <c r="CL22" s="509"/>
      <c r="CM22" s="509"/>
      <c r="CN22" s="509"/>
      <c r="CO22" s="509"/>
      <c r="CP22" s="509"/>
      <c r="CQ22" s="509"/>
      <c r="CR22" s="509"/>
      <c r="CS22" s="509"/>
      <c r="CT22" s="509"/>
      <c r="CU22" s="509"/>
      <c r="CV22" s="509"/>
      <c r="CW22" s="509"/>
      <c r="CX22" s="509"/>
      <c r="CY22" s="20"/>
      <c r="CZ22" s="498"/>
      <c r="DA22" s="2"/>
      <c r="DB22" s="2"/>
    </row>
    <row r="23" spans="1:106" ht="16.149999999999999" hidden="1" customHeight="1">
      <c r="A23" s="486"/>
      <c r="B23" s="7"/>
      <c r="C23" s="501" t="s">
        <v>728</v>
      </c>
      <c r="D23" s="502"/>
      <c r="E23" s="502"/>
      <c r="F23" s="502"/>
      <c r="G23" s="502"/>
      <c r="H23" s="502"/>
      <c r="I23" s="502"/>
      <c r="J23" s="502"/>
      <c r="K23" s="502"/>
      <c r="L23" s="502"/>
      <c r="M23" s="502"/>
      <c r="N23" s="502"/>
      <c r="O23" s="502"/>
      <c r="P23" s="502"/>
      <c r="Q23" s="502"/>
      <c r="R23" s="502"/>
      <c r="S23" s="502"/>
      <c r="T23" s="502"/>
      <c r="U23" s="502"/>
      <c r="V23" s="502"/>
      <c r="W23" s="502"/>
      <c r="X23" s="502"/>
      <c r="Y23" s="502"/>
      <c r="Z23" s="502"/>
      <c r="AA23" s="502"/>
      <c r="AB23" s="502"/>
      <c r="AC23" s="502"/>
      <c r="AD23" s="502"/>
      <c r="AE23" s="502"/>
      <c r="AF23" s="502"/>
      <c r="AG23" s="502"/>
      <c r="AH23" s="502"/>
      <c r="AI23" s="502"/>
      <c r="AJ23" s="502"/>
      <c r="AK23" s="502"/>
      <c r="AL23" s="502"/>
      <c r="AM23" s="502"/>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2"/>
      <c r="BK23" s="502"/>
      <c r="BL23" s="502"/>
      <c r="BM23" s="502"/>
      <c r="BN23" s="502"/>
      <c r="BO23" s="502"/>
      <c r="BP23" s="502"/>
      <c r="BQ23" s="502"/>
      <c r="BR23" s="502"/>
      <c r="BS23" s="502"/>
      <c r="BT23" s="502"/>
      <c r="BU23" s="502"/>
      <c r="BV23" s="502"/>
      <c r="BW23" s="502"/>
      <c r="BX23" s="502"/>
      <c r="BY23" s="502"/>
      <c r="BZ23" s="502"/>
      <c r="CA23" s="502"/>
      <c r="CB23" s="502"/>
      <c r="CC23" s="502"/>
      <c r="CD23" s="502"/>
      <c r="CE23" s="502"/>
      <c r="CF23" s="502"/>
      <c r="CG23" s="503"/>
      <c r="CH23" s="507">
        <f>SUM(AZ17:AZ18)</f>
        <v>0</v>
      </c>
      <c r="CI23" s="507"/>
      <c r="CJ23" s="507"/>
      <c r="CK23" s="507"/>
      <c r="CL23" s="507"/>
      <c r="CM23" s="507"/>
      <c r="CN23" s="507"/>
      <c r="CO23" s="507"/>
      <c r="CP23" s="507"/>
      <c r="CQ23" s="507"/>
      <c r="CR23" s="507"/>
      <c r="CS23" s="507"/>
      <c r="CT23" s="507"/>
      <c r="CU23" s="507"/>
      <c r="CV23" s="507"/>
      <c r="CW23" s="507"/>
      <c r="CX23" s="507"/>
      <c r="CY23" s="17"/>
      <c r="CZ23" s="498"/>
      <c r="DA23" s="2"/>
      <c r="DB23" s="2"/>
    </row>
    <row r="24" spans="1:106" ht="16.149999999999999" hidden="1" customHeight="1">
      <c r="A24" s="486"/>
      <c r="B24" s="7"/>
      <c r="C24" s="501" t="s">
        <v>729</v>
      </c>
      <c r="D24" s="502"/>
      <c r="E24" s="502"/>
      <c r="F24" s="502"/>
      <c r="G24" s="502"/>
      <c r="H24" s="502"/>
      <c r="I24" s="502"/>
      <c r="J24" s="502"/>
      <c r="K24" s="502"/>
      <c r="L24" s="502"/>
      <c r="M24" s="502"/>
      <c r="N24" s="502"/>
      <c r="O24" s="502"/>
      <c r="P24" s="502"/>
      <c r="Q24" s="502"/>
      <c r="R24" s="502"/>
      <c r="S24" s="502"/>
      <c r="T24" s="502"/>
      <c r="U24" s="502"/>
      <c r="V24" s="502"/>
      <c r="W24" s="502"/>
      <c r="X24" s="502"/>
      <c r="Y24" s="502"/>
      <c r="Z24" s="502"/>
      <c r="AA24" s="502"/>
      <c r="AB24" s="502"/>
      <c r="AC24" s="502"/>
      <c r="AD24" s="502"/>
      <c r="AE24" s="502"/>
      <c r="AF24" s="502"/>
      <c r="AG24" s="502"/>
      <c r="AH24" s="502"/>
      <c r="AI24" s="502"/>
      <c r="AJ24" s="502"/>
      <c r="AK24" s="502"/>
      <c r="AL24" s="502"/>
      <c r="AM24" s="502"/>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2"/>
      <c r="BK24" s="502"/>
      <c r="BL24" s="502"/>
      <c r="BM24" s="502"/>
      <c r="BN24" s="502"/>
      <c r="BO24" s="502"/>
      <c r="BP24" s="502"/>
      <c r="BQ24" s="502"/>
      <c r="BR24" s="502"/>
      <c r="BS24" s="502"/>
      <c r="BT24" s="502"/>
      <c r="BU24" s="502"/>
      <c r="BV24" s="502"/>
      <c r="BW24" s="502"/>
      <c r="BX24" s="502"/>
      <c r="BY24" s="502"/>
      <c r="BZ24" s="502"/>
      <c r="CA24" s="502"/>
      <c r="CB24" s="502"/>
      <c r="CC24" s="502"/>
      <c r="CD24" s="502"/>
      <c r="CE24" s="502"/>
      <c r="CF24" s="502"/>
      <c r="CG24" s="503"/>
      <c r="CH24" s="504">
        <f>SUM(BQ17:BQ18)</f>
        <v>0</v>
      </c>
      <c r="CI24" s="505"/>
      <c r="CJ24" s="505"/>
      <c r="CK24" s="505"/>
      <c r="CL24" s="505"/>
      <c r="CM24" s="505"/>
      <c r="CN24" s="505"/>
      <c r="CO24" s="505"/>
      <c r="CP24" s="505"/>
      <c r="CQ24" s="505"/>
      <c r="CR24" s="505"/>
      <c r="CS24" s="505"/>
      <c r="CT24" s="505"/>
      <c r="CU24" s="505"/>
      <c r="CV24" s="505"/>
      <c r="CW24" s="505"/>
      <c r="CX24" s="506"/>
      <c r="CY24" s="17"/>
      <c r="CZ24" s="498"/>
      <c r="DA24" s="2"/>
      <c r="DB24" s="2"/>
    </row>
    <row r="25" spans="1:106" ht="16.149999999999999" hidden="1" customHeight="1">
      <c r="A25" s="486"/>
      <c r="B25" s="7"/>
      <c r="C25" s="501" t="s">
        <v>730</v>
      </c>
      <c r="D25" s="502"/>
      <c r="E25" s="502"/>
      <c r="F25" s="502"/>
      <c r="G25" s="502"/>
      <c r="H25" s="502"/>
      <c r="I25" s="502"/>
      <c r="J25" s="502"/>
      <c r="K25" s="502"/>
      <c r="L25" s="502"/>
      <c r="M25" s="502"/>
      <c r="N25" s="502"/>
      <c r="O25" s="502"/>
      <c r="P25" s="502"/>
      <c r="Q25" s="502"/>
      <c r="R25" s="502"/>
      <c r="S25" s="502"/>
      <c r="T25" s="502"/>
      <c r="U25" s="502"/>
      <c r="V25" s="502"/>
      <c r="W25" s="502"/>
      <c r="X25" s="502"/>
      <c r="Y25" s="502"/>
      <c r="Z25" s="502"/>
      <c r="AA25" s="502"/>
      <c r="AB25" s="502"/>
      <c r="AC25" s="502"/>
      <c r="AD25" s="502"/>
      <c r="AE25" s="502"/>
      <c r="AF25" s="502"/>
      <c r="AG25" s="502"/>
      <c r="AH25" s="502"/>
      <c r="AI25" s="502"/>
      <c r="AJ25" s="502"/>
      <c r="AK25" s="502"/>
      <c r="AL25" s="502"/>
      <c r="AM25" s="502"/>
      <c r="AN25" s="502"/>
      <c r="AO25" s="502"/>
      <c r="AP25" s="502"/>
      <c r="AQ25" s="502"/>
      <c r="AR25" s="502"/>
      <c r="AS25" s="502"/>
      <c r="AT25" s="502"/>
      <c r="AU25" s="502"/>
      <c r="AV25" s="502"/>
      <c r="AW25" s="502"/>
      <c r="AX25" s="502"/>
      <c r="AY25" s="502"/>
      <c r="AZ25" s="502"/>
      <c r="BA25" s="502"/>
      <c r="BB25" s="502"/>
      <c r="BC25" s="502"/>
      <c r="BD25" s="502"/>
      <c r="BE25" s="502"/>
      <c r="BF25" s="502"/>
      <c r="BG25" s="502"/>
      <c r="BH25" s="502"/>
      <c r="BI25" s="502"/>
      <c r="BJ25" s="502"/>
      <c r="BK25" s="502"/>
      <c r="BL25" s="502"/>
      <c r="BM25" s="502"/>
      <c r="BN25" s="502"/>
      <c r="BO25" s="502"/>
      <c r="BP25" s="502"/>
      <c r="BQ25" s="502"/>
      <c r="BR25" s="502"/>
      <c r="BS25" s="502"/>
      <c r="BT25" s="502"/>
      <c r="BU25" s="502"/>
      <c r="BV25" s="502"/>
      <c r="BW25" s="502"/>
      <c r="BX25" s="502"/>
      <c r="BY25" s="502"/>
      <c r="BZ25" s="502"/>
      <c r="CA25" s="502"/>
      <c r="CB25" s="502"/>
      <c r="CC25" s="502"/>
      <c r="CD25" s="502"/>
      <c r="CE25" s="502"/>
      <c r="CF25" s="502"/>
      <c r="CG25" s="503"/>
      <c r="CH25" s="507" t="str">
        <f>IF(CH24=0,"",CH23/CH24)</f>
        <v/>
      </c>
      <c r="CI25" s="507"/>
      <c r="CJ25" s="507"/>
      <c r="CK25" s="507"/>
      <c r="CL25" s="507"/>
      <c r="CM25" s="507"/>
      <c r="CN25" s="507"/>
      <c r="CO25" s="507"/>
      <c r="CP25" s="507"/>
      <c r="CQ25" s="507"/>
      <c r="CR25" s="507"/>
      <c r="CS25" s="507"/>
      <c r="CT25" s="507"/>
      <c r="CU25" s="507"/>
      <c r="CV25" s="507"/>
      <c r="CW25" s="507"/>
      <c r="CX25" s="507"/>
      <c r="CY25" s="17"/>
      <c r="CZ25" s="498"/>
      <c r="DA25" s="2"/>
      <c r="DB25" s="2"/>
    </row>
    <row r="26" spans="1:106" ht="10.15" hidden="1" customHeight="1">
      <c r="A26" s="486"/>
      <c r="B26" s="7"/>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500"/>
      <c r="AA26" s="500"/>
      <c r="AB26" s="500"/>
      <c r="AC26" s="500"/>
      <c r="AD26" s="500"/>
      <c r="AE26" s="500"/>
      <c r="AF26" s="500"/>
      <c r="AG26" s="500"/>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0"/>
      <c r="BD26" s="500"/>
      <c r="BE26" s="500"/>
      <c r="BF26" s="500"/>
      <c r="BG26" s="500"/>
      <c r="BH26" s="500"/>
      <c r="BI26" s="500"/>
      <c r="BJ26" s="500"/>
      <c r="BK26" s="500"/>
      <c r="BL26" s="500"/>
      <c r="BM26" s="500"/>
      <c r="BN26" s="500"/>
      <c r="BO26" s="500"/>
      <c r="BP26" s="500"/>
      <c r="BQ26" s="500"/>
      <c r="BR26" s="500"/>
      <c r="BS26" s="500"/>
      <c r="BT26" s="500"/>
      <c r="BU26" s="500"/>
      <c r="BV26" s="500"/>
      <c r="BW26" s="500"/>
      <c r="BX26" s="500"/>
      <c r="BY26" s="500"/>
      <c r="BZ26" s="500"/>
      <c r="CA26" s="500"/>
      <c r="CB26" s="500"/>
      <c r="CC26" s="500"/>
      <c r="CD26" s="500"/>
      <c r="CE26" s="500"/>
      <c r="CF26" s="500"/>
      <c r="CG26" s="500"/>
      <c r="CH26" s="500"/>
      <c r="CI26" s="500"/>
      <c r="CJ26" s="500"/>
      <c r="CK26" s="500"/>
      <c r="CL26" s="500"/>
      <c r="CM26" s="500"/>
      <c r="CN26" s="500"/>
      <c r="CO26" s="500"/>
      <c r="CP26" s="500"/>
      <c r="CQ26" s="500"/>
      <c r="CR26" s="500"/>
      <c r="CS26" s="500"/>
      <c r="CT26" s="500"/>
      <c r="CU26" s="500"/>
      <c r="CV26" s="500"/>
      <c r="CW26" s="500"/>
      <c r="CX26" s="500"/>
      <c r="CY26" s="17"/>
      <c r="CZ26" s="498"/>
      <c r="DA26" s="2"/>
      <c r="DB26" s="2"/>
    </row>
    <row r="27" spans="1:106" ht="16.149999999999999" hidden="1" customHeight="1">
      <c r="A27" s="486"/>
      <c r="B27" s="7"/>
      <c r="C27" s="493" t="s">
        <v>731</v>
      </c>
      <c r="D27" s="494"/>
      <c r="E27" s="494"/>
      <c r="F27" s="494"/>
      <c r="G27" s="494"/>
      <c r="H27" s="494"/>
      <c r="I27" s="494"/>
      <c r="J27" s="494"/>
      <c r="K27" s="494"/>
      <c r="L27" s="494"/>
      <c r="M27" s="494"/>
      <c r="N27" s="494"/>
      <c r="O27" s="494"/>
      <c r="P27" s="494"/>
      <c r="Q27" s="494"/>
      <c r="R27" s="494"/>
      <c r="S27" s="494"/>
      <c r="T27" s="494"/>
      <c r="U27" s="494"/>
      <c r="V27" s="494"/>
      <c r="W27" s="494"/>
      <c r="X27" s="494"/>
      <c r="Y27" s="494"/>
      <c r="Z27" s="494"/>
      <c r="AA27" s="494"/>
      <c r="AB27" s="494"/>
      <c r="AC27" s="494"/>
      <c r="AD27" s="494"/>
      <c r="AE27" s="494"/>
      <c r="AF27" s="494"/>
      <c r="AG27" s="494"/>
      <c r="AH27" s="494"/>
      <c r="AI27" s="494"/>
      <c r="AJ27" s="494"/>
      <c r="AK27" s="494"/>
      <c r="AL27" s="494"/>
      <c r="AM27" s="494"/>
      <c r="AN27" s="494"/>
      <c r="AO27" s="494"/>
      <c r="AP27" s="494"/>
      <c r="AQ27" s="494"/>
      <c r="AR27" s="494"/>
      <c r="AS27" s="494"/>
      <c r="AT27" s="494"/>
      <c r="AU27" s="494"/>
      <c r="AV27" s="494"/>
      <c r="AW27" s="494"/>
      <c r="AX27" s="494"/>
      <c r="AY27" s="494"/>
      <c r="AZ27" s="494"/>
      <c r="BA27" s="494"/>
      <c r="BB27" s="494"/>
      <c r="BC27" s="494"/>
      <c r="BD27" s="494"/>
      <c r="BE27" s="494"/>
      <c r="BF27" s="494"/>
      <c r="BG27" s="494"/>
      <c r="BH27" s="494"/>
      <c r="BI27" s="494"/>
      <c r="BJ27" s="494"/>
      <c r="BK27" s="494"/>
      <c r="BL27" s="494"/>
      <c r="BM27" s="494"/>
      <c r="BN27" s="494"/>
      <c r="BO27" s="494"/>
      <c r="BP27" s="494"/>
      <c r="BQ27" s="494"/>
      <c r="BR27" s="494"/>
      <c r="BS27" s="494"/>
      <c r="BT27" s="494"/>
      <c r="BU27" s="494"/>
      <c r="BV27" s="494"/>
      <c r="BW27" s="494"/>
      <c r="BX27" s="494"/>
      <c r="BY27" s="494"/>
      <c r="BZ27" s="494"/>
      <c r="CA27" s="494"/>
      <c r="CB27" s="494"/>
      <c r="CC27" s="494"/>
      <c r="CD27" s="494"/>
      <c r="CE27" s="494"/>
      <c r="CF27" s="494"/>
      <c r="CG27" s="495"/>
      <c r="CH27" s="496" t="str">
        <f>IF(CH25="","",IF(CH25&gt;0,ROUNDDOWN(CH25,0),""))</f>
        <v/>
      </c>
      <c r="CI27" s="496"/>
      <c r="CJ27" s="496"/>
      <c r="CK27" s="496"/>
      <c r="CL27" s="496"/>
      <c r="CM27" s="496"/>
      <c r="CN27" s="496"/>
      <c r="CO27" s="496"/>
      <c r="CP27" s="496"/>
      <c r="CQ27" s="496"/>
      <c r="CR27" s="496"/>
      <c r="CS27" s="496"/>
      <c r="CT27" s="496"/>
      <c r="CU27" s="496"/>
      <c r="CV27" s="496"/>
      <c r="CW27" s="496"/>
      <c r="CX27" s="496"/>
      <c r="CY27" s="17"/>
      <c r="CZ27" s="498"/>
      <c r="DA27" s="2"/>
      <c r="DB27" s="2"/>
    </row>
    <row r="28" spans="1:106" ht="13.15" hidden="1" customHeight="1">
      <c r="A28" s="486"/>
      <c r="B28" s="8"/>
      <c r="C28" s="484"/>
      <c r="D28" s="484"/>
      <c r="E28" s="484"/>
      <c r="F28" s="484"/>
      <c r="G28" s="484"/>
      <c r="H28" s="484"/>
      <c r="I28" s="484"/>
      <c r="J28" s="484"/>
      <c r="K28" s="484"/>
      <c r="L28" s="484"/>
      <c r="M28" s="484"/>
      <c r="N28" s="484"/>
      <c r="O28" s="484"/>
      <c r="P28" s="484"/>
      <c r="Q28" s="484"/>
      <c r="R28" s="484"/>
      <c r="S28" s="484"/>
      <c r="T28" s="484"/>
      <c r="U28" s="484"/>
      <c r="V28" s="484"/>
      <c r="W28" s="484"/>
      <c r="X28" s="484"/>
      <c r="Y28" s="484"/>
      <c r="Z28" s="484"/>
      <c r="AA28" s="484"/>
      <c r="AB28" s="484"/>
      <c r="AC28" s="484"/>
      <c r="AD28" s="484"/>
      <c r="AE28" s="484"/>
      <c r="AF28" s="484"/>
      <c r="AG28" s="484"/>
      <c r="AH28" s="484"/>
      <c r="AI28" s="484"/>
      <c r="AJ28" s="484"/>
      <c r="AK28" s="484"/>
      <c r="AL28" s="484"/>
      <c r="AM28" s="484"/>
      <c r="AN28" s="484"/>
      <c r="AO28" s="484"/>
      <c r="AP28" s="484"/>
      <c r="AQ28" s="484"/>
      <c r="AR28" s="484"/>
      <c r="AS28" s="484"/>
      <c r="AT28" s="484"/>
      <c r="AU28" s="484"/>
      <c r="AV28" s="484"/>
      <c r="AW28" s="484"/>
      <c r="AX28" s="484"/>
      <c r="AY28" s="484"/>
      <c r="AZ28" s="484"/>
      <c r="BA28" s="484"/>
      <c r="BB28" s="484"/>
      <c r="BC28" s="484"/>
      <c r="BD28" s="484"/>
      <c r="BE28" s="484"/>
      <c r="BF28" s="484"/>
      <c r="BG28" s="484"/>
      <c r="BH28" s="484"/>
      <c r="BI28" s="484"/>
      <c r="BJ28" s="484"/>
      <c r="BK28" s="484"/>
      <c r="BL28" s="484"/>
      <c r="BM28" s="484"/>
      <c r="BN28" s="484"/>
      <c r="BO28" s="484"/>
      <c r="BP28" s="484"/>
      <c r="BQ28" s="484"/>
      <c r="BR28" s="484"/>
      <c r="BS28" s="484"/>
      <c r="BT28" s="484"/>
      <c r="BU28" s="484"/>
      <c r="BV28" s="484"/>
      <c r="BW28" s="484"/>
      <c r="BX28" s="484"/>
      <c r="BY28" s="484"/>
      <c r="BZ28" s="484"/>
      <c r="CA28" s="484"/>
      <c r="CB28" s="484"/>
      <c r="CC28" s="484"/>
      <c r="CD28" s="484"/>
      <c r="CE28" s="484"/>
      <c r="CF28" s="484"/>
      <c r="CG28" s="484"/>
      <c r="CH28" s="484"/>
      <c r="CI28" s="484"/>
      <c r="CJ28" s="484"/>
      <c r="CK28" s="484"/>
      <c r="CL28" s="484"/>
      <c r="CM28" s="484"/>
      <c r="CN28" s="484"/>
      <c r="CO28" s="484"/>
      <c r="CP28" s="484"/>
      <c r="CQ28" s="484"/>
      <c r="CR28" s="484"/>
      <c r="CS28" s="484"/>
      <c r="CT28" s="484"/>
      <c r="CU28" s="484"/>
      <c r="CV28" s="484"/>
      <c r="CW28" s="484"/>
      <c r="CX28" s="484"/>
      <c r="CY28" s="18"/>
      <c r="CZ28" s="498"/>
      <c r="DA28" s="2"/>
      <c r="DB28" s="2"/>
    </row>
    <row r="29" spans="1:106" ht="16.149999999999999" hidden="1" customHeight="1">
      <c r="A29" s="2"/>
      <c r="B29" s="497"/>
      <c r="C29" s="497"/>
      <c r="D29" s="497"/>
      <c r="E29" s="497"/>
      <c r="F29" s="497"/>
      <c r="G29" s="497"/>
      <c r="H29" s="497"/>
      <c r="I29" s="497"/>
      <c r="J29" s="497"/>
      <c r="K29" s="497"/>
      <c r="L29" s="497"/>
      <c r="M29" s="497"/>
      <c r="N29" s="497"/>
      <c r="O29" s="497"/>
      <c r="P29" s="497"/>
      <c r="Q29" s="497"/>
      <c r="R29" s="497"/>
      <c r="S29" s="497"/>
      <c r="T29" s="497"/>
      <c r="U29" s="497"/>
      <c r="V29" s="497"/>
      <c r="W29" s="497"/>
      <c r="X29" s="497"/>
      <c r="Y29" s="497"/>
      <c r="Z29" s="497"/>
      <c r="AA29" s="497"/>
      <c r="AB29" s="497"/>
      <c r="AC29" s="497"/>
      <c r="AD29" s="497"/>
      <c r="AE29" s="497"/>
      <c r="AF29" s="497"/>
      <c r="AG29" s="497"/>
      <c r="AH29" s="497"/>
      <c r="AI29" s="497"/>
      <c r="AJ29" s="497"/>
      <c r="AK29" s="497"/>
      <c r="AL29" s="497"/>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497"/>
      <c r="BS29" s="497"/>
      <c r="BT29" s="497"/>
      <c r="BU29" s="497"/>
      <c r="BV29" s="497"/>
      <c r="BW29" s="497"/>
      <c r="BX29" s="497"/>
      <c r="BY29" s="497"/>
      <c r="BZ29" s="497"/>
      <c r="CA29" s="497"/>
      <c r="CB29" s="497"/>
      <c r="CC29" s="497"/>
      <c r="CD29" s="497"/>
      <c r="CE29" s="497"/>
      <c r="CF29" s="497"/>
      <c r="CG29" s="497"/>
      <c r="CH29" s="497"/>
      <c r="CI29" s="497"/>
      <c r="CJ29" s="497"/>
      <c r="CK29" s="497"/>
      <c r="CL29" s="497"/>
      <c r="CM29" s="497"/>
      <c r="CN29" s="497"/>
      <c r="CO29" s="497"/>
      <c r="CP29" s="497"/>
      <c r="CQ29" s="497"/>
      <c r="CR29" s="497"/>
      <c r="CS29" s="497"/>
      <c r="CT29" s="497"/>
      <c r="CU29" s="497"/>
      <c r="CV29" s="497"/>
      <c r="CW29" s="497"/>
      <c r="CX29" s="497"/>
      <c r="CY29" s="497"/>
      <c r="CZ29" s="2"/>
      <c r="DA29" s="2"/>
      <c r="DB29" s="2"/>
    </row>
    <row r="30" spans="1:106">
      <c r="A30" s="486"/>
      <c r="B30" s="11"/>
      <c r="C30" s="500"/>
      <c r="D30" s="500"/>
      <c r="E30" s="500"/>
      <c r="F30" s="500"/>
      <c r="G30" s="500"/>
      <c r="H30" s="500"/>
      <c r="I30" s="500"/>
      <c r="J30" s="500"/>
      <c r="K30" s="500"/>
      <c r="L30" s="500"/>
      <c r="M30" s="500"/>
      <c r="N30" s="500"/>
      <c r="O30" s="500"/>
      <c r="P30" s="500"/>
      <c r="Q30" s="500"/>
      <c r="R30" s="500"/>
      <c r="S30" s="500"/>
      <c r="T30" s="500"/>
      <c r="U30" s="500"/>
      <c r="V30" s="500"/>
      <c r="W30" s="500"/>
      <c r="X30" s="500"/>
      <c r="Y30" s="500"/>
      <c r="Z30" s="500"/>
      <c r="AA30" s="500"/>
      <c r="AB30" s="500"/>
      <c r="AC30" s="500"/>
      <c r="AD30" s="500"/>
      <c r="AE30" s="500"/>
      <c r="AF30" s="500"/>
      <c r="AG30" s="500"/>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0"/>
      <c r="BD30" s="500"/>
      <c r="BE30" s="500"/>
      <c r="BF30" s="500"/>
      <c r="BG30" s="500"/>
      <c r="BH30" s="500"/>
      <c r="BI30" s="500"/>
      <c r="BJ30" s="500"/>
      <c r="BK30" s="500"/>
      <c r="BL30" s="500"/>
      <c r="BM30" s="500"/>
      <c r="BN30" s="500"/>
      <c r="BO30" s="500"/>
      <c r="BP30" s="500"/>
      <c r="BQ30" s="500"/>
      <c r="BR30" s="500"/>
      <c r="BS30" s="500"/>
      <c r="BT30" s="500"/>
      <c r="BU30" s="500"/>
      <c r="BV30" s="500"/>
      <c r="BW30" s="500"/>
      <c r="BX30" s="500"/>
      <c r="BY30" s="500"/>
      <c r="BZ30" s="500"/>
      <c r="CA30" s="500"/>
      <c r="CB30" s="500"/>
      <c r="CC30" s="500"/>
      <c r="CD30" s="500"/>
      <c r="CE30" s="500"/>
      <c r="CF30" s="500"/>
      <c r="CG30" s="500"/>
      <c r="CH30" s="500"/>
      <c r="CI30" s="500"/>
      <c r="CJ30" s="500"/>
      <c r="CK30" s="500"/>
      <c r="CL30" s="500"/>
      <c r="CM30" s="500"/>
      <c r="CN30" s="500"/>
      <c r="CO30" s="500"/>
      <c r="CP30" s="500"/>
      <c r="CQ30" s="500"/>
      <c r="CR30" s="500"/>
      <c r="CS30" s="500"/>
      <c r="CT30" s="500"/>
      <c r="CU30" s="500"/>
      <c r="CV30" s="500"/>
      <c r="CW30" s="500"/>
      <c r="CX30" s="500"/>
      <c r="CY30" s="21"/>
      <c r="CZ30" s="498"/>
      <c r="DA30" s="2"/>
      <c r="DB30" s="2"/>
    </row>
    <row r="31" spans="1:106">
      <c r="A31" s="486"/>
      <c r="B31" s="9"/>
      <c r="C31" s="487" t="s">
        <v>732</v>
      </c>
      <c r="D31" s="487"/>
      <c r="E31" s="487"/>
      <c r="F31" s="487"/>
      <c r="G31" s="487"/>
      <c r="H31" s="487"/>
      <c r="I31" s="487"/>
      <c r="J31" s="487"/>
      <c r="K31" s="487"/>
      <c r="L31" s="487"/>
      <c r="M31" s="487"/>
      <c r="N31" s="487"/>
      <c r="O31" s="487"/>
      <c r="P31" s="487"/>
      <c r="Q31" s="487"/>
      <c r="R31" s="487"/>
      <c r="S31" s="487"/>
      <c r="T31" s="487"/>
      <c r="U31" s="487"/>
      <c r="V31" s="487"/>
      <c r="W31" s="487"/>
      <c r="X31" s="487"/>
      <c r="Y31" s="487"/>
      <c r="Z31" s="487"/>
      <c r="AA31" s="487"/>
      <c r="AB31" s="487"/>
      <c r="AC31" s="487"/>
      <c r="AD31" s="487"/>
      <c r="AE31" s="487"/>
      <c r="AF31" s="487"/>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7"/>
      <c r="BD31" s="487"/>
      <c r="BE31" s="487"/>
      <c r="BF31" s="487"/>
      <c r="BG31" s="487"/>
      <c r="BH31" s="487"/>
      <c r="BI31" s="487"/>
      <c r="BJ31" s="487"/>
      <c r="BK31" s="487"/>
      <c r="BL31" s="487"/>
      <c r="BM31" s="487"/>
      <c r="BN31" s="487"/>
      <c r="BO31" s="487"/>
      <c r="BP31" s="487"/>
      <c r="BQ31" s="487"/>
      <c r="BR31" s="487"/>
      <c r="BS31" s="487"/>
      <c r="BT31" s="487"/>
      <c r="BU31" s="487"/>
      <c r="BV31" s="487"/>
      <c r="BW31" s="487"/>
      <c r="BX31" s="487"/>
      <c r="BY31" s="487"/>
      <c r="BZ31" s="487"/>
      <c r="CA31" s="487"/>
      <c r="CB31" s="487"/>
      <c r="CC31" s="487"/>
      <c r="CD31" s="487"/>
      <c r="CE31" s="487"/>
      <c r="CF31" s="487"/>
      <c r="CG31" s="487"/>
      <c r="CH31" s="487"/>
      <c r="CI31" s="487"/>
      <c r="CJ31" s="487"/>
      <c r="CK31" s="487"/>
      <c r="CL31" s="487"/>
      <c r="CM31" s="487"/>
      <c r="CN31" s="487"/>
      <c r="CO31" s="487"/>
      <c r="CP31" s="487"/>
      <c r="CQ31" s="487"/>
      <c r="CR31" s="487"/>
      <c r="CS31" s="487"/>
      <c r="CT31" s="487"/>
      <c r="CU31" s="487"/>
      <c r="CV31" s="487"/>
      <c r="CW31" s="487"/>
      <c r="CX31" s="487"/>
      <c r="CY31" s="20"/>
      <c r="CZ31" s="498"/>
      <c r="DA31" s="2"/>
      <c r="DB31" s="2"/>
    </row>
    <row r="32" spans="1:106" ht="80.099999999999994" customHeight="1">
      <c r="A32" s="486"/>
      <c r="B32" s="9"/>
      <c r="C32" s="488"/>
      <c r="D32" s="489"/>
      <c r="E32" s="489"/>
      <c r="F32" s="489"/>
      <c r="G32" s="489"/>
      <c r="H32" s="489"/>
      <c r="I32" s="489"/>
      <c r="J32" s="489"/>
      <c r="K32" s="489"/>
      <c r="L32" s="489"/>
      <c r="M32" s="489"/>
      <c r="N32" s="489"/>
      <c r="O32" s="489"/>
      <c r="P32" s="489"/>
      <c r="Q32" s="489"/>
      <c r="R32" s="489"/>
      <c r="S32" s="489"/>
      <c r="T32" s="489"/>
      <c r="U32" s="489"/>
      <c r="V32" s="489"/>
      <c r="W32" s="489"/>
      <c r="X32" s="489"/>
      <c r="Y32" s="489"/>
      <c r="Z32" s="489"/>
      <c r="AA32" s="489"/>
      <c r="AB32" s="489"/>
      <c r="AC32" s="489"/>
      <c r="AD32" s="489"/>
      <c r="AE32" s="489"/>
      <c r="AF32" s="489"/>
      <c r="AG32" s="489"/>
      <c r="AH32" s="489"/>
      <c r="AI32" s="489"/>
      <c r="AJ32" s="489"/>
      <c r="AK32" s="489"/>
      <c r="AL32" s="489"/>
      <c r="AM32" s="489"/>
      <c r="AN32" s="489"/>
      <c r="AO32" s="489"/>
      <c r="AP32" s="489"/>
      <c r="AQ32" s="489"/>
      <c r="AR32" s="489"/>
      <c r="AS32" s="489"/>
      <c r="AT32" s="489"/>
      <c r="AU32" s="489"/>
      <c r="AV32" s="489"/>
      <c r="AW32" s="489"/>
      <c r="AX32" s="489"/>
      <c r="AY32" s="489"/>
      <c r="AZ32" s="489"/>
      <c r="BA32" s="489"/>
      <c r="BB32" s="489"/>
      <c r="BC32" s="489"/>
      <c r="BD32" s="489"/>
      <c r="BE32" s="489"/>
      <c r="BF32" s="489"/>
      <c r="BG32" s="489"/>
      <c r="BH32" s="489"/>
      <c r="BI32" s="489"/>
      <c r="BJ32" s="489"/>
      <c r="BK32" s="489"/>
      <c r="BL32" s="489"/>
      <c r="BM32" s="489"/>
      <c r="BN32" s="489"/>
      <c r="BO32" s="489"/>
      <c r="BP32" s="489"/>
      <c r="BQ32" s="489"/>
      <c r="BR32" s="489"/>
      <c r="BS32" s="489"/>
      <c r="BT32" s="489"/>
      <c r="BU32" s="489"/>
      <c r="BV32" s="489"/>
      <c r="BW32" s="489"/>
      <c r="BX32" s="489"/>
      <c r="BY32" s="489"/>
      <c r="BZ32" s="489"/>
      <c r="CA32" s="489"/>
      <c r="CB32" s="489"/>
      <c r="CC32" s="489"/>
      <c r="CD32" s="489"/>
      <c r="CE32" s="489"/>
      <c r="CF32" s="489"/>
      <c r="CG32" s="489"/>
      <c r="CH32" s="489"/>
      <c r="CI32" s="489"/>
      <c r="CJ32" s="489"/>
      <c r="CK32" s="489"/>
      <c r="CL32" s="489"/>
      <c r="CM32" s="489"/>
      <c r="CN32" s="489"/>
      <c r="CO32" s="489"/>
      <c r="CP32" s="489"/>
      <c r="CQ32" s="489"/>
      <c r="CR32" s="489"/>
      <c r="CS32" s="489"/>
      <c r="CT32" s="489"/>
      <c r="CU32" s="489"/>
      <c r="CV32" s="489"/>
      <c r="CW32" s="489"/>
      <c r="CX32" s="490"/>
      <c r="CY32" s="20"/>
      <c r="CZ32" s="498"/>
      <c r="DA32" s="2"/>
      <c r="DB32" s="2"/>
    </row>
    <row r="33" spans="1:106">
      <c r="A33" s="486"/>
      <c r="B33" s="8"/>
      <c r="C33" s="491"/>
      <c r="D33" s="491"/>
      <c r="E33" s="491"/>
      <c r="F33" s="491"/>
      <c r="G33" s="491"/>
      <c r="H33" s="491"/>
      <c r="I33" s="491"/>
      <c r="J33" s="491"/>
      <c r="K33" s="491"/>
      <c r="L33" s="491"/>
      <c r="M33" s="491"/>
      <c r="N33" s="491"/>
      <c r="O33" s="491"/>
      <c r="P33" s="491"/>
      <c r="Q33" s="491"/>
      <c r="R33" s="491"/>
      <c r="S33" s="491"/>
      <c r="T33" s="491"/>
      <c r="U33" s="491"/>
      <c r="V33" s="491"/>
      <c r="W33" s="491"/>
      <c r="X33" s="491"/>
      <c r="Y33" s="491"/>
      <c r="Z33" s="491"/>
      <c r="AA33" s="491"/>
      <c r="AB33" s="491"/>
      <c r="AC33" s="491"/>
      <c r="AD33" s="491"/>
      <c r="AE33" s="491"/>
      <c r="AF33" s="491"/>
      <c r="AG33" s="491"/>
      <c r="AH33" s="491"/>
      <c r="AI33" s="491"/>
      <c r="AJ33" s="491"/>
      <c r="AK33" s="491"/>
      <c r="AL33" s="491"/>
      <c r="AM33" s="491"/>
      <c r="AN33" s="491"/>
      <c r="AO33" s="491"/>
      <c r="AP33" s="491"/>
      <c r="AQ33" s="491"/>
      <c r="AR33" s="491"/>
      <c r="AS33" s="491"/>
      <c r="AT33" s="491"/>
      <c r="AU33" s="491"/>
      <c r="AV33" s="491"/>
      <c r="AW33" s="491"/>
      <c r="AX33" s="491"/>
      <c r="AY33" s="491"/>
      <c r="AZ33" s="491"/>
      <c r="BA33" s="491"/>
      <c r="BB33" s="491"/>
      <c r="BC33" s="491"/>
      <c r="BD33" s="491"/>
      <c r="BE33" s="491"/>
      <c r="BF33" s="491"/>
      <c r="BG33" s="491"/>
      <c r="BH33" s="491"/>
      <c r="BI33" s="491"/>
      <c r="BJ33" s="491"/>
      <c r="BK33" s="491"/>
      <c r="BL33" s="491"/>
      <c r="BM33" s="491"/>
      <c r="BN33" s="491"/>
      <c r="BO33" s="491"/>
      <c r="BP33" s="491"/>
      <c r="BQ33" s="491"/>
      <c r="BR33" s="491"/>
      <c r="BS33" s="491"/>
      <c r="BT33" s="491"/>
      <c r="BU33" s="491"/>
      <c r="BV33" s="491"/>
      <c r="BW33" s="491"/>
      <c r="BX33" s="491"/>
      <c r="BY33" s="491"/>
      <c r="BZ33" s="491"/>
      <c r="CA33" s="491"/>
      <c r="CB33" s="491"/>
      <c r="CC33" s="491"/>
      <c r="CD33" s="491"/>
      <c r="CE33" s="491"/>
      <c r="CF33" s="491"/>
      <c r="CG33" s="491"/>
      <c r="CH33" s="491"/>
      <c r="CI33" s="491"/>
      <c r="CJ33" s="491"/>
      <c r="CK33" s="491"/>
      <c r="CL33" s="491"/>
      <c r="CM33" s="491"/>
      <c r="CN33" s="491"/>
      <c r="CO33" s="491"/>
      <c r="CP33" s="491"/>
      <c r="CQ33" s="491"/>
      <c r="CR33" s="491"/>
      <c r="CS33" s="491"/>
      <c r="CT33" s="491"/>
      <c r="CU33" s="491"/>
      <c r="CV33" s="491"/>
      <c r="CW33" s="491"/>
      <c r="CX33" s="491"/>
      <c r="CY33" s="18"/>
      <c r="CZ33" s="498"/>
      <c r="DA33" s="2"/>
      <c r="DB33" s="2"/>
    </row>
    <row r="34" spans="1:106" ht="20.25" customHeight="1">
      <c r="A34" s="2"/>
      <c r="B34" s="492"/>
      <c r="C34" s="492"/>
      <c r="D34" s="492"/>
      <c r="E34" s="492"/>
      <c r="F34" s="492"/>
      <c r="G34" s="492"/>
      <c r="H34" s="492"/>
      <c r="I34" s="492"/>
      <c r="J34" s="492"/>
      <c r="K34" s="492"/>
      <c r="L34" s="492"/>
      <c r="M34" s="492"/>
      <c r="N34" s="492"/>
      <c r="O34" s="492"/>
      <c r="P34" s="492"/>
      <c r="Q34" s="492"/>
      <c r="R34" s="492"/>
      <c r="S34" s="492"/>
      <c r="T34" s="492"/>
      <c r="U34" s="492"/>
      <c r="V34" s="492"/>
      <c r="W34" s="492"/>
      <c r="X34" s="492"/>
      <c r="Y34" s="492"/>
      <c r="Z34" s="492"/>
      <c r="AA34" s="492"/>
      <c r="AB34" s="492"/>
      <c r="AC34" s="492"/>
      <c r="AD34" s="492"/>
      <c r="AE34" s="492"/>
      <c r="AF34" s="492"/>
      <c r="AG34" s="492"/>
      <c r="AH34" s="492"/>
      <c r="AI34" s="492"/>
      <c r="AJ34" s="492"/>
      <c r="AK34" s="492"/>
      <c r="AL34" s="492"/>
      <c r="AM34" s="492"/>
      <c r="AN34" s="492"/>
      <c r="AO34" s="492"/>
      <c r="AP34" s="492"/>
      <c r="AQ34" s="492"/>
      <c r="AR34" s="492"/>
      <c r="AS34" s="492"/>
      <c r="AT34" s="492"/>
      <c r="AU34" s="492"/>
      <c r="AV34" s="492"/>
      <c r="AW34" s="492"/>
      <c r="AX34" s="492"/>
      <c r="AY34" s="492"/>
      <c r="AZ34" s="492"/>
      <c r="BA34" s="492"/>
      <c r="BB34" s="492"/>
      <c r="BC34" s="492"/>
      <c r="BD34" s="492"/>
      <c r="BE34" s="492"/>
      <c r="BF34" s="492"/>
      <c r="BG34" s="492"/>
      <c r="BH34" s="492"/>
      <c r="BI34" s="492"/>
      <c r="BJ34" s="492"/>
      <c r="BK34" s="492"/>
      <c r="BL34" s="492"/>
      <c r="BM34" s="492"/>
      <c r="BN34" s="492"/>
      <c r="BO34" s="492"/>
      <c r="BP34" s="492"/>
      <c r="BQ34" s="492"/>
      <c r="BR34" s="492"/>
      <c r="BS34" s="492"/>
      <c r="BT34" s="492"/>
      <c r="BU34" s="492"/>
      <c r="BV34" s="492"/>
      <c r="BW34" s="492"/>
      <c r="BX34" s="492"/>
      <c r="BY34" s="492"/>
      <c r="BZ34" s="492"/>
      <c r="CA34" s="492"/>
      <c r="CB34" s="492"/>
      <c r="CC34" s="492"/>
      <c r="CD34" s="492"/>
      <c r="CE34" s="492"/>
      <c r="CF34" s="492"/>
      <c r="CG34" s="492"/>
      <c r="CH34" s="492"/>
      <c r="CI34" s="492"/>
      <c r="CJ34" s="492"/>
      <c r="CK34" s="492"/>
      <c r="CL34" s="492"/>
      <c r="CM34" s="492"/>
      <c r="CN34" s="492"/>
      <c r="CO34" s="492"/>
      <c r="CP34" s="492"/>
      <c r="CQ34" s="492"/>
      <c r="CR34" s="492"/>
      <c r="CS34" s="492"/>
      <c r="CT34" s="492"/>
      <c r="CU34" s="492"/>
      <c r="CV34" s="492"/>
      <c r="CW34" s="492"/>
      <c r="CX34" s="492"/>
      <c r="CY34" s="492"/>
      <c r="CZ34" s="2"/>
      <c r="DA34" s="2"/>
      <c r="DB34" s="2"/>
    </row>
    <row r="35" spans="1:106" ht="7.9" customHeight="1">
      <c r="A35" s="2"/>
      <c r="B35" s="12"/>
      <c r="C35" s="485" t="s">
        <v>129</v>
      </c>
      <c r="D35" s="485"/>
      <c r="E35" s="485"/>
      <c r="F35" s="485"/>
      <c r="G35" s="485"/>
      <c r="H35" s="485"/>
      <c r="I35" s="485"/>
      <c r="J35" s="485"/>
      <c r="K35" s="485"/>
      <c r="L35" s="485"/>
      <c r="M35" s="485"/>
      <c r="N35" s="485"/>
      <c r="O35" s="485"/>
      <c r="P35" s="485"/>
      <c r="Q35" s="485"/>
      <c r="R35" s="485"/>
      <c r="S35" s="485"/>
      <c r="T35" s="485"/>
      <c r="U35" s="485"/>
      <c r="V35" s="485"/>
      <c r="W35" s="485"/>
      <c r="X35" s="485"/>
      <c r="Y35" s="485"/>
      <c r="Z35" s="485"/>
      <c r="AA35" s="485"/>
      <c r="AB35" s="485"/>
      <c r="AC35" s="485"/>
      <c r="AD35" s="485"/>
      <c r="AE35" s="485"/>
      <c r="AF35" s="485"/>
      <c r="AG35" s="485"/>
      <c r="AH35" s="485"/>
      <c r="AI35" s="485"/>
      <c r="AJ35" s="485"/>
      <c r="AK35" s="485"/>
      <c r="AL35" s="485"/>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485"/>
      <c r="BS35" s="485"/>
      <c r="BT35" s="485"/>
      <c r="BU35" s="485"/>
      <c r="BV35" s="485"/>
      <c r="BW35" s="485"/>
      <c r="BX35" s="485"/>
      <c r="BY35" s="485"/>
      <c r="BZ35" s="485"/>
      <c r="CA35" s="485"/>
      <c r="CB35" s="485"/>
      <c r="CC35" s="485"/>
      <c r="CD35" s="485"/>
      <c r="CE35" s="485"/>
      <c r="CF35" s="485"/>
      <c r="CG35" s="485"/>
      <c r="CH35" s="485"/>
      <c r="CI35" s="485"/>
      <c r="CJ35" s="485"/>
      <c r="CK35" s="485"/>
      <c r="CL35" s="485"/>
      <c r="CM35" s="485"/>
      <c r="CN35" s="485"/>
      <c r="CO35" s="485"/>
      <c r="CP35" s="485"/>
      <c r="CQ35" s="485"/>
      <c r="CR35" s="485"/>
      <c r="CS35" s="485"/>
      <c r="CT35" s="485"/>
      <c r="CU35" s="485"/>
      <c r="CV35" s="485"/>
      <c r="CW35" s="485"/>
      <c r="CX35" s="485"/>
      <c r="CY35" s="13"/>
      <c r="CZ35" s="2"/>
      <c r="DA35" s="2"/>
      <c r="DB35" s="2"/>
    </row>
    <row r="36" spans="1:106" ht="7.9" customHeight="1">
      <c r="A36" s="2"/>
      <c r="B36" s="12"/>
      <c r="C36" s="485" t="s">
        <v>130</v>
      </c>
      <c r="D36" s="485"/>
      <c r="E36" s="485"/>
      <c r="F36" s="485"/>
      <c r="G36" s="485"/>
      <c r="H36" s="485"/>
      <c r="I36" s="485"/>
      <c r="J36" s="485"/>
      <c r="K36" s="485"/>
      <c r="L36" s="485"/>
      <c r="M36" s="485"/>
      <c r="N36" s="485"/>
      <c r="O36" s="485"/>
      <c r="P36" s="485"/>
      <c r="Q36" s="485"/>
      <c r="R36" s="485"/>
      <c r="S36" s="485"/>
      <c r="T36" s="485"/>
      <c r="U36" s="485"/>
      <c r="V36" s="485"/>
      <c r="W36" s="485"/>
      <c r="X36" s="485"/>
      <c r="Y36" s="485"/>
      <c r="Z36" s="485"/>
      <c r="AA36" s="485"/>
      <c r="AB36" s="485"/>
      <c r="AC36" s="485"/>
      <c r="AD36" s="485"/>
      <c r="AE36" s="485"/>
      <c r="AF36" s="485"/>
      <c r="AG36" s="485"/>
      <c r="AH36" s="485"/>
      <c r="AI36" s="485"/>
      <c r="AJ36" s="485"/>
      <c r="AK36" s="485"/>
      <c r="AL36" s="485"/>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485"/>
      <c r="BS36" s="485"/>
      <c r="BT36" s="485"/>
      <c r="BU36" s="485"/>
      <c r="BV36" s="485"/>
      <c r="BW36" s="485"/>
      <c r="BX36" s="485"/>
      <c r="BY36" s="485"/>
      <c r="BZ36" s="485"/>
      <c r="CA36" s="485"/>
      <c r="CB36" s="485"/>
      <c r="CC36" s="485"/>
      <c r="CD36" s="485"/>
      <c r="CE36" s="485"/>
      <c r="CF36" s="485"/>
      <c r="CG36" s="485"/>
      <c r="CH36" s="485"/>
      <c r="CI36" s="485"/>
      <c r="CJ36" s="485"/>
      <c r="CK36" s="485"/>
      <c r="CL36" s="485"/>
      <c r="CM36" s="485"/>
      <c r="CN36" s="485"/>
      <c r="CO36" s="485"/>
      <c r="CP36" s="485"/>
      <c r="CQ36" s="485"/>
      <c r="CR36" s="485"/>
      <c r="CS36" s="485"/>
      <c r="CT36" s="485"/>
      <c r="CU36" s="485"/>
      <c r="CV36" s="485"/>
      <c r="CW36" s="485"/>
      <c r="CX36" s="485"/>
      <c r="CY36" s="13"/>
      <c r="CZ36" s="2"/>
      <c r="DA36" s="2"/>
      <c r="DB36" s="2"/>
    </row>
    <row r="37" spans="1:106" ht="7.9" customHeight="1">
      <c r="A37" s="2"/>
      <c r="B37" s="12"/>
      <c r="C37" s="485" t="s">
        <v>131</v>
      </c>
      <c r="D37" s="485"/>
      <c r="E37" s="485"/>
      <c r="F37" s="485"/>
      <c r="G37" s="485"/>
      <c r="H37" s="485"/>
      <c r="I37" s="485"/>
      <c r="J37" s="485"/>
      <c r="K37" s="485"/>
      <c r="L37" s="485"/>
      <c r="M37" s="485"/>
      <c r="N37" s="485"/>
      <c r="O37" s="485"/>
      <c r="P37" s="485"/>
      <c r="Q37" s="485"/>
      <c r="R37" s="485"/>
      <c r="S37" s="485"/>
      <c r="T37" s="485"/>
      <c r="U37" s="485"/>
      <c r="V37" s="485"/>
      <c r="W37" s="485"/>
      <c r="X37" s="485"/>
      <c r="Y37" s="485"/>
      <c r="Z37" s="485"/>
      <c r="AA37" s="485"/>
      <c r="AB37" s="485"/>
      <c r="AC37" s="485"/>
      <c r="AD37" s="485"/>
      <c r="AE37" s="485"/>
      <c r="AF37" s="485"/>
      <c r="AG37" s="485"/>
      <c r="AH37" s="485"/>
      <c r="AI37" s="485"/>
      <c r="AJ37" s="485"/>
      <c r="AK37" s="485"/>
      <c r="AL37" s="485"/>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485"/>
      <c r="BS37" s="485"/>
      <c r="BT37" s="485"/>
      <c r="BU37" s="485"/>
      <c r="BV37" s="485"/>
      <c r="BW37" s="485"/>
      <c r="BX37" s="485"/>
      <c r="BY37" s="485"/>
      <c r="BZ37" s="485"/>
      <c r="CA37" s="485"/>
      <c r="CB37" s="485"/>
      <c r="CC37" s="485"/>
      <c r="CD37" s="485"/>
      <c r="CE37" s="485"/>
      <c r="CF37" s="485"/>
      <c r="CG37" s="485"/>
      <c r="CH37" s="485"/>
      <c r="CI37" s="485"/>
      <c r="CJ37" s="485"/>
      <c r="CK37" s="485"/>
      <c r="CL37" s="485"/>
      <c r="CM37" s="485"/>
      <c r="CN37" s="485"/>
      <c r="CO37" s="485"/>
      <c r="CP37" s="485"/>
      <c r="CQ37" s="485"/>
      <c r="CR37" s="485"/>
      <c r="CS37" s="485"/>
      <c r="CT37" s="485"/>
      <c r="CU37" s="485"/>
      <c r="CV37" s="485"/>
      <c r="CW37" s="485"/>
      <c r="CX37" s="485"/>
      <c r="CY37" s="13"/>
      <c r="CZ37" s="2"/>
      <c r="DA37" s="2"/>
      <c r="DB37" s="2"/>
    </row>
    <row r="38" spans="1:106" ht="7.9" customHeight="1">
      <c r="A38" s="2"/>
      <c r="B38" s="12"/>
      <c r="C38" s="485" t="s">
        <v>132</v>
      </c>
      <c r="D38" s="485"/>
      <c r="E38" s="485"/>
      <c r="F38" s="485"/>
      <c r="G38" s="485"/>
      <c r="H38" s="485"/>
      <c r="I38" s="485"/>
      <c r="J38" s="485"/>
      <c r="K38" s="485"/>
      <c r="L38" s="485"/>
      <c r="M38" s="485"/>
      <c r="N38" s="485"/>
      <c r="O38" s="485"/>
      <c r="P38" s="485"/>
      <c r="Q38" s="485"/>
      <c r="R38" s="485"/>
      <c r="S38" s="485"/>
      <c r="T38" s="485"/>
      <c r="U38" s="485"/>
      <c r="V38" s="485"/>
      <c r="W38" s="485"/>
      <c r="X38" s="485"/>
      <c r="Y38" s="485"/>
      <c r="Z38" s="485"/>
      <c r="AA38" s="485"/>
      <c r="AB38" s="485"/>
      <c r="AC38" s="485"/>
      <c r="AD38" s="485"/>
      <c r="AE38" s="485"/>
      <c r="AF38" s="485"/>
      <c r="AG38" s="485"/>
      <c r="AH38" s="485"/>
      <c r="AI38" s="485"/>
      <c r="AJ38" s="485"/>
      <c r="AK38" s="485"/>
      <c r="AL38" s="485"/>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485"/>
      <c r="BS38" s="485"/>
      <c r="BT38" s="485"/>
      <c r="BU38" s="485"/>
      <c r="BV38" s="485"/>
      <c r="BW38" s="485"/>
      <c r="BX38" s="485"/>
      <c r="BY38" s="485"/>
      <c r="BZ38" s="485"/>
      <c r="CA38" s="485"/>
      <c r="CB38" s="485"/>
      <c r="CC38" s="485"/>
      <c r="CD38" s="485"/>
      <c r="CE38" s="485"/>
      <c r="CF38" s="485"/>
      <c r="CG38" s="485"/>
      <c r="CH38" s="485"/>
      <c r="CI38" s="485"/>
      <c r="CJ38" s="485"/>
      <c r="CK38" s="485"/>
      <c r="CL38" s="485"/>
      <c r="CM38" s="485"/>
      <c r="CN38" s="485"/>
      <c r="CO38" s="485"/>
      <c r="CP38" s="485"/>
      <c r="CQ38" s="485"/>
      <c r="CR38" s="485"/>
      <c r="CS38" s="485"/>
      <c r="CT38" s="485"/>
      <c r="CU38" s="485"/>
      <c r="CV38" s="485"/>
      <c r="CW38" s="485"/>
      <c r="CX38" s="485"/>
      <c r="CY38" s="13"/>
      <c r="CZ38" s="2"/>
      <c r="DA38" s="2"/>
      <c r="DB38" s="2"/>
    </row>
    <row r="39" spans="1:106">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row>
    <row r="40" spans="1:106">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row>
    <row r="41" spans="1:106">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row>
    <row r="42" spans="1:106">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row>
    <row r="43" spans="1:106">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row>
    <row r="44" spans="1:106">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row>
    <row r="45" spans="1:106">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row>
    <row r="46" spans="1:10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row>
    <row r="47" spans="1:106">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row>
    <row r="48" spans="1:106">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row>
  </sheetData>
  <sheetProtection sheet="1" objects="1" scenarios="1" formatCells="0"/>
  <mergeCells count="59">
    <mergeCell ref="CZ3:CZ8"/>
    <mergeCell ref="CZ11:CZ19"/>
    <mergeCell ref="CZ21:CZ28"/>
    <mergeCell ref="CZ30:CZ33"/>
    <mergeCell ref="C3:CX5"/>
    <mergeCell ref="C30:CX30"/>
    <mergeCell ref="C24:CG24"/>
    <mergeCell ref="CH24:CX24"/>
    <mergeCell ref="C25:CG25"/>
    <mergeCell ref="CH25:CX25"/>
    <mergeCell ref="C26:CX26"/>
    <mergeCell ref="B20:CY20"/>
    <mergeCell ref="C21:CX21"/>
    <mergeCell ref="C22:CX22"/>
    <mergeCell ref="C23:CG23"/>
    <mergeCell ref="CH23:CX23"/>
    <mergeCell ref="C36:CX36"/>
    <mergeCell ref="C37:CX37"/>
    <mergeCell ref="C38:CX38"/>
    <mergeCell ref="A3:A8"/>
    <mergeCell ref="A11:A19"/>
    <mergeCell ref="A21:A28"/>
    <mergeCell ref="A30:A33"/>
    <mergeCell ref="C31:CX31"/>
    <mergeCell ref="C32:CX32"/>
    <mergeCell ref="C33:CX33"/>
    <mergeCell ref="B34:CY34"/>
    <mergeCell ref="C35:CX35"/>
    <mergeCell ref="C27:CG27"/>
    <mergeCell ref="CH27:CX27"/>
    <mergeCell ref="C28:CX28"/>
    <mergeCell ref="B29:CY29"/>
    <mergeCell ref="C17:CG17"/>
    <mergeCell ref="CH17:CX17"/>
    <mergeCell ref="C18:CG18"/>
    <mergeCell ref="CH18:CX18"/>
    <mergeCell ref="C19:CX19"/>
    <mergeCell ref="C14:CG14"/>
    <mergeCell ref="CH14:CX14"/>
    <mergeCell ref="C15:CG15"/>
    <mergeCell ref="CH15:CX15"/>
    <mergeCell ref="C16:CG16"/>
    <mergeCell ref="CH16:CX16"/>
    <mergeCell ref="B10:CY10"/>
    <mergeCell ref="C11:CX11"/>
    <mergeCell ref="C12:CG12"/>
    <mergeCell ref="CH12:CX12"/>
    <mergeCell ref="C13:CG13"/>
    <mergeCell ref="CH13:CX13"/>
    <mergeCell ref="C8:N8"/>
    <mergeCell ref="O8:BP8"/>
    <mergeCell ref="BQ8:CB8"/>
    <mergeCell ref="CC8:CX8"/>
    <mergeCell ref="B9:CY9"/>
    <mergeCell ref="B1:CY1"/>
    <mergeCell ref="C2:CX2"/>
    <mergeCell ref="C6:AP6"/>
    <mergeCell ref="AQ6:CX6"/>
    <mergeCell ref="C7:CX7"/>
  </mergeCells>
  <phoneticPr fontId="12" type="noConversion"/>
  <printOptions horizontalCentered="1"/>
  <pageMargins left="0.25" right="0.25" top="1.5" bottom="0.75" header="0.5" footer="0.5"/>
  <pageSetup orientation="portrait" blackAndWhite="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1" master="" otherUserPermission="visible"/>
  <rangeList sheetStid="55" master="" otherUserPermission="visible"/>
  <rangeList sheetStid="52" master="" otherUserPermission="visible"/>
  <rangeList sheetStid="36" master="" otherUserPermission="visible"/>
  <rangeList sheetStid="47" master="" otherUserPermission="visible"/>
  <rangeList sheetStid="39" master="" otherUserPermission="visible"/>
  <rangeList sheetStid="25" master="" otherUserPermission="visible"/>
  <rangeList sheetStid="30" master="" otherUserPermission="visible"/>
  <rangeList sheetStid="27" master="" otherUserPermission="visible"/>
  <rangeList sheetStid="1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21</vt:i4>
      </vt:variant>
    </vt:vector>
  </HeadingPairs>
  <TitlesOfParts>
    <vt:vector size="26" baseType="lpstr">
      <vt:lpstr>Rental income</vt:lpstr>
      <vt:lpstr>Back-to-Work</vt:lpstr>
      <vt:lpstr>Data_Income</vt:lpstr>
      <vt:lpstr>Res Inc Data</vt:lpstr>
      <vt:lpstr>MCC Credit</vt:lpstr>
      <vt:lpstr>BRANCHOFSERVICE</vt:lpstr>
      <vt:lpstr>FREQUENCY</vt:lpstr>
      <vt:lpstr>M_DOCTYPES</vt:lpstr>
      <vt:lpstr>M_PAYDOCS</vt:lpstr>
      <vt:lpstr>M_YEARS</vt:lpstr>
      <vt:lpstr>'Back-to-Work'!Print_Area</vt:lpstr>
      <vt:lpstr>'MCC Credit'!Print_Area</vt:lpstr>
      <vt:lpstr>RESIDUALACTUAL</vt:lpstr>
      <vt:lpstr>RESIDUALDIFF</vt:lpstr>
      <vt:lpstr>RESIDUALREQUIRED</vt:lpstr>
      <vt:lpstr>STATESELECTED</vt:lpstr>
      <vt:lpstr>STATESLIST</vt:lpstr>
      <vt:lpstr>WVOEHEADINGS</vt:lpstr>
      <vt:lpstr>YEARN</vt:lpstr>
      <vt:lpstr>YEARP1</vt:lpstr>
      <vt:lpstr>YEARP2</vt:lpstr>
      <vt:lpstr>YRCB</vt:lpstr>
      <vt:lpstr>YRP1B</vt:lpstr>
      <vt:lpstr>YRP1E</vt:lpstr>
      <vt:lpstr>YRP2B</vt:lpstr>
      <vt:lpstr>YRP2E</vt:lpstr>
    </vt:vector>
  </TitlesOfParts>
  <Company>American United Mortgage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Income Calculation Worksheet</dc:title>
  <dc:creator>Mark A. Johnson</dc:creator>
  <cp:keywords>Income Calculation</cp:keywords>
  <cp:lastModifiedBy>Jerry Young</cp:lastModifiedBy>
  <cp:lastPrinted>2020-10-08T13:54:00Z</cp:lastPrinted>
  <dcterms:created xsi:type="dcterms:W3CDTF">1999-05-05T02:55:00Z</dcterms:created>
  <dcterms:modified xsi:type="dcterms:W3CDTF">2026-03-20T05:55:58Z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430AA8D0F1524E98AE5524B8EDC45C71_13</vt:lpwstr>
  </property>
  <property fmtid="{D5CDD505-2E9C-101B-9397-08002B2CF9AE}" pid="3" name="KSOProductBuildVer">
    <vt:lpwstr>1033-12.2.0.19805</vt:lpwstr>
  </property>
</Properties>
</file>