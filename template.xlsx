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A-110\Coding\schedule-e-rental-income-automator\"/>
    </mc:Choice>
  </mc:AlternateContent>
  <xr:revisionPtr revIDLastSave="0" documentId="13_ncr:1_{1456818B-3C5B-44B3-B290-F8DA0340593C}" xr6:coauthVersionLast="47" xr6:coauthVersionMax="47" xr10:uidLastSave="{00000000-0000-0000-0000-000000000000}"/>
  <bookViews>
    <workbookView xWindow="-120" yWindow="-120" windowWidth="29040" windowHeight="15840" tabRatio="500" xr2:uid="{00000000-000D-0000-FFFF-FFFF00000000}"/>
  </bookViews>
  <sheets>
    <sheet name="个人rental income(4个以下)" sheetId="3" r:id="rId1"/>
    <sheet name="Back-to-Work" sheetId="14" state="hidden" r:id="rId2"/>
    <sheet name="Data_Income" sheetId="15" state="hidden" r:id="rId3"/>
    <sheet name="Res Inc Data" sheetId="22" state="hidden" r:id="rId4"/>
    <sheet name="MCC Credit" sheetId="23" state="hidden" r:id="rId5"/>
  </sheets>
  <definedNames>
    <definedName name="BRANCHOFSERVICE">Data_Income!$C$813:$C$828</definedName>
    <definedName name="FAMILYSIZE">#REF!</definedName>
    <definedName name="FREQUENCY">Data_Income!$C$48:$C$57</definedName>
    <definedName name="M_DOCTYPES">Data_Income!$C$106:$C$115</definedName>
    <definedName name="M_PAYDOCS">Data_Income!$B$48:$B$57</definedName>
    <definedName name="M_YEARS">Data_Income!$C$27:$C$32</definedName>
    <definedName name="_xlnm.Print_Area" localSheetId="1">'Back-to-Work'!$C$2:$DA$80</definedName>
    <definedName name="_xlnm.Print_Area" localSheetId="4">'MCC Credit'!$B$3:$CY$40</definedName>
    <definedName name="_xlnm.Print_Area" localSheetId="0">'个人rental income(4个以下)'!$B$1:$H$41</definedName>
    <definedName name="RESIDUALACTUAL">'Res Inc Data'!$B$46</definedName>
    <definedName name="RESIDUALDIFF">'Res Inc Data'!$B$48</definedName>
    <definedName name="RESIDUALREQUIRED">'Res Inc Data'!$B$45</definedName>
    <definedName name="STATESELECTED">'Res Inc Data'!$B$41</definedName>
    <definedName name="STATESLIST">'Res Inc Data'!$D$67:$D$118</definedName>
    <definedName name="WVOEHEADINGS">Data_Income!$C$94:$C$102</definedName>
    <definedName name="YEARN">Data_Income!$B$8</definedName>
    <definedName name="YEARP1">Data_Income!$B$10</definedName>
    <definedName name="YEARP2">Data_Income!$B$11</definedName>
    <definedName name="YRCB">Data_Income!$B$13</definedName>
    <definedName name="YRP1B">Data_Income!$B$14</definedName>
    <definedName name="YRP1E">Data_Income!$B$15</definedName>
    <definedName name="YRP2B">Data_Income!$B$16</definedName>
    <definedName name="YRP2E">Data_Income!$B$17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H24" i="23" l="1"/>
  <c r="CH25" i="23" s="1"/>
  <c r="CH27" i="23" s="1"/>
  <c r="CH23" i="23"/>
  <c r="CH14" i="23"/>
  <c r="CH16" i="23" s="1"/>
  <c r="CH18" i="23" s="1"/>
  <c r="CC8" i="23"/>
  <c r="O8" i="23"/>
  <c r="AQ6" i="23"/>
  <c r="E180" i="22"/>
  <c r="E179" i="22"/>
  <c r="E178" i="22"/>
  <c r="E177" i="22"/>
  <c r="E176" i="22"/>
  <c r="E174" i="22"/>
  <c r="E173" i="22"/>
  <c r="E172" i="22"/>
  <c r="E171" i="22"/>
  <c r="E170" i="22"/>
  <c r="E168" i="22"/>
  <c r="E166" i="22"/>
  <c r="E165" i="22"/>
  <c r="E164" i="22"/>
  <c r="E163" i="22"/>
  <c r="E162" i="22"/>
  <c r="E160" i="22"/>
  <c r="E157" i="22"/>
  <c r="E156" i="22"/>
  <c r="E155" i="22"/>
  <c r="E154" i="22"/>
  <c r="E153" i="22"/>
  <c r="E152" i="22"/>
  <c r="E151" i="22"/>
  <c r="E149" i="22"/>
  <c r="E147" i="22"/>
  <c r="E146" i="22"/>
  <c r="E145" i="22"/>
  <c r="E144" i="22"/>
  <c r="E143" i="22"/>
  <c r="E142" i="22"/>
  <c r="E141" i="22"/>
  <c r="E140" i="22"/>
  <c r="E139" i="22"/>
  <c r="E138" i="22"/>
  <c r="E137" i="22"/>
  <c r="E136" i="22"/>
  <c r="E134" i="22"/>
  <c r="E133" i="22"/>
  <c r="E132" i="22"/>
  <c r="E131" i="22"/>
  <c r="E130" i="22"/>
  <c r="E129" i="22"/>
  <c r="N118" i="22"/>
  <c r="M118" i="22"/>
  <c r="L118" i="22"/>
  <c r="K118" i="22"/>
  <c r="J118" i="22"/>
  <c r="I118" i="22"/>
  <c r="H118" i="22"/>
  <c r="G118" i="22"/>
  <c r="F118" i="22"/>
  <c r="E118" i="22"/>
  <c r="N117" i="22"/>
  <c r="M117" i="22"/>
  <c r="L117" i="22"/>
  <c r="K117" i="22"/>
  <c r="J117" i="22"/>
  <c r="I117" i="22"/>
  <c r="H117" i="22"/>
  <c r="G117" i="22"/>
  <c r="F117" i="22"/>
  <c r="E117" i="22"/>
  <c r="N116" i="22"/>
  <c r="M116" i="22"/>
  <c r="L116" i="22"/>
  <c r="K116" i="22"/>
  <c r="J116" i="22"/>
  <c r="I116" i="22"/>
  <c r="H116" i="22"/>
  <c r="G116" i="22"/>
  <c r="F116" i="22"/>
  <c r="E116" i="22"/>
  <c r="N115" i="22"/>
  <c r="M115" i="22"/>
  <c r="L115" i="22"/>
  <c r="K115" i="22"/>
  <c r="J115" i="22"/>
  <c r="I115" i="22"/>
  <c r="H115" i="22"/>
  <c r="G115" i="22"/>
  <c r="F115" i="22"/>
  <c r="E115" i="22"/>
  <c r="N114" i="22"/>
  <c r="M114" i="22"/>
  <c r="L114" i="22"/>
  <c r="K114" i="22"/>
  <c r="J114" i="22"/>
  <c r="I114" i="22"/>
  <c r="H114" i="22"/>
  <c r="G114" i="22"/>
  <c r="F114" i="22"/>
  <c r="E114" i="22"/>
  <c r="N113" i="22"/>
  <c r="M113" i="22"/>
  <c r="L113" i="22"/>
  <c r="K113" i="22"/>
  <c r="J113" i="22"/>
  <c r="I113" i="22"/>
  <c r="H113" i="22"/>
  <c r="G113" i="22"/>
  <c r="F113" i="22"/>
  <c r="E113" i="22"/>
  <c r="N112" i="22"/>
  <c r="M112" i="22"/>
  <c r="L112" i="22"/>
  <c r="K112" i="22"/>
  <c r="J112" i="22"/>
  <c r="I112" i="22"/>
  <c r="H112" i="22"/>
  <c r="G112" i="22"/>
  <c r="F112" i="22"/>
  <c r="E112" i="22"/>
  <c r="N111" i="22"/>
  <c r="M111" i="22"/>
  <c r="L111" i="22"/>
  <c r="K111" i="22"/>
  <c r="J111" i="22"/>
  <c r="I111" i="22"/>
  <c r="H111" i="22"/>
  <c r="G111" i="22"/>
  <c r="F111" i="22"/>
  <c r="E111" i="22"/>
  <c r="N110" i="22"/>
  <c r="M110" i="22"/>
  <c r="L110" i="22"/>
  <c r="K110" i="22"/>
  <c r="J110" i="22"/>
  <c r="I110" i="22"/>
  <c r="H110" i="22"/>
  <c r="G110" i="22"/>
  <c r="F110" i="22"/>
  <c r="E110" i="22"/>
  <c r="N109" i="22"/>
  <c r="M109" i="22"/>
  <c r="L109" i="22"/>
  <c r="K109" i="22"/>
  <c r="J109" i="22"/>
  <c r="I109" i="22"/>
  <c r="H109" i="22"/>
  <c r="G109" i="22"/>
  <c r="F109" i="22"/>
  <c r="E109" i="22"/>
  <c r="N108" i="22"/>
  <c r="M108" i="22"/>
  <c r="L108" i="22"/>
  <c r="K108" i="22"/>
  <c r="J108" i="22"/>
  <c r="I108" i="22"/>
  <c r="H108" i="22"/>
  <c r="G108" i="22"/>
  <c r="F108" i="22"/>
  <c r="E108" i="22"/>
  <c r="N107" i="22"/>
  <c r="M107" i="22"/>
  <c r="L107" i="22"/>
  <c r="K107" i="22"/>
  <c r="J107" i="22"/>
  <c r="I107" i="22"/>
  <c r="H107" i="22"/>
  <c r="G107" i="22"/>
  <c r="F107" i="22"/>
  <c r="E107" i="22"/>
  <c r="N106" i="22"/>
  <c r="M106" i="22"/>
  <c r="L106" i="22"/>
  <c r="K106" i="22"/>
  <c r="J106" i="22"/>
  <c r="I106" i="22"/>
  <c r="H106" i="22"/>
  <c r="G106" i="22"/>
  <c r="F106" i="22"/>
  <c r="E106" i="22"/>
  <c r="N105" i="22"/>
  <c r="M105" i="22"/>
  <c r="L105" i="22"/>
  <c r="K105" i="22"/>
  <c r="J105" i="22"/>
  <c r="I105" i="22"/>
  <c r="H105" i="22"/>
  <c r="G105" i="22"/>
  <c r="F105" i="22"/>
  <c r="E105" i="22"/>
  <c r="N104" i="22"/>
  <c r="M104" i="22"/>
  <c r="L104" i="22"/>
  <c r="K104" i="22"/>
  <c r="J104" i="22"/>
  <c r="I104" i="22"/>
  <c r="H104" i="22"/>
  <c r="G104" i="22"/>
  <c r="F104" i="22"/>
  <c r="E104" i="22"/>
  <c r="N103" i="22"/>
  <c r="M103" i="22"/>
  <c r="L103" i="22"/>
  <c r="K103" i="22"/>
  <c r="J103" i="22"/>
  <c r="I103" i="22"/>
  <c r="H103" i="22"/>
  <c r="G103" i="22"/>
  <c r="F103" i="22"/>
  <c r="E103" i="22"/>
  <c r="N102" i="22"/>
  <c r="M102" i="22"/>
  <c r="L102" i="22"/>
  <c r="K102" i="22"/>
  <c r="J102" i="22"/>
  <c r="I102" i="22"/>
  <c r="H102" i="22"/>
  <c r="G102" i="22"/>
  <c r="F102" i="22"/>
  <c r="E102" i="22"/>
  <c r="N101" i="22"/>
  <c r="M101" i="22"/>
  <c r="L101" i="22"/>
  <c r="K101" i="22"/>
  <c r="J101" i="22"/>
  <c r="I101" i="22"/>
  <c r="H101" i="22"/>
  <c r="G101" i="22"/>
  <c r="F101" i="22"/>
  <c r="E101" i="22"/>
  <c r="N100" i="22"/>
  <c r="M100" i="22"/>
  <c r="L100" i="22"/>
  <c r="K100" i="22"/>
  <c r="J100" i="22"/>
  <c r="I100" i="22"/>
  <c r="H100" i="22"/>
  <c r="G100" i="22"/>
  <c r="F100" i="22"/>
  <c r="E100" i="22"/>
  <c r="N99" i="22"/>
  <c r="M99" i="22"/>
  <c r="L99" i="22"/>
  <c r="K99" i="22"/>
  <c r="J99" i="22"/>
  <c r="I99" i="22"/>
  <c r="H99" i="22"/>
  <c r="G99" i="22"/>
  <c r="F99" i="22"/>
  <c r="E99" i="22"/>
  <c r="N98" i="22"/>
  <c r="M98" i="22"/>
  <c r="L98" i="22"/>
  <c r="K98" i="22"/>
  <c r="J98" i="22"/>
  <c r="I98" i="22"/>
  <c r="H98" i="22"/>
  <c r="G98" i="22"/>
  <c r="F98" i="22"/>
  <c r="E98" i="22"/>
  <c r="N97" i="22"/>
  <c r="M97" i="22"/>
  <c r="L97" i="22"/>
  <c r="K97" i="22"/>
  <c r="J97" i="22"/>
  <c r="I97" i="22"/>
  <c r="H97" i="22"/>
  <c r="G97" i="22"/>
  <c r="F97" i="22"/>
  <c r="E97" i="22"/>
  <c r="N96" i="22"/>
  <c r="M96" i="22"/>
  <c r="L96" i="22"/>
  <c r="K96" i="22"/>
  <c r="J96" i="22"/>
  <c r="I96" i="22"/>
  <c r="H96" i="22"/>
  <c r="G96" i="22"/>
  <c r="F96" i="22"/>
  <c r="E96" i="22"/>
  <c r="N95" i="22"/>
  <c r="M95" i="22"/>
  <c r="L95" i="22"/>
  <c r="K95" i="22"/>
  <c r="J95" i="22"/>
  <c r="I95" i="22"/>
  <c r="H95" i="22"/>
  <c r="G95" i="22"/>
  <c r="F95" i="22"/>
  <c r="E95" i="22"/>
  <c r="N94" i="22"/>
  <c r="M94" i="22"/>
  <c r="L94" i="22"/>
  <c r="K94" i="22"/>
  <c r="J94" i="22"/>
  <c r="I94" i="22"/>
  <c r="H94" i="22"/>
  <c r="G94" i="22"/>
  <c r="F94" i="22"/>
  <c r="E94" i="22"/>
  <c r="N93" i="22"/>
  <c r="M93" i="22"/>
  <c r="L93" i="22"/>
  <c r="K93" i="22"/>
  <c r="J93" i="22"/>
  <c r="I93" i="22"/>
  <c r="H93" i="22"/>
  <c r="G93" i="22"/>
  <c r="F93" i="22"/>
  <c r="E93" i="22"/>
  <c r="N92" i="22"/>
  <c r="M92" i="22"/>
  <c r="L92" i="22"/>
  <c r="K92" i="22"/>
  <c r="J92" i="22"/>
  <c r="I92" i="22"/>
  <c r="H92" i="22"/>
  <c r="G92" i="22"/>
  <c r="F92" i="22"/>
  <c r="E92" i="22"/>
  <c r="N91" i="22"/>
  <c r="M91" i="22"/>
  <c r="L91" i="22"/>
  <c r="K91" i="22"/>
  <c r="J91" i="22"/>
  <c r="I91" i="22"/>
  <c r="H91" i="22"/>
  <c r="G91" i="22"/>
  <c r="F91" i="22"/>
  <c r="E91" i="22"/>
  <c r="N90" i="22"/>
  <c r="M90" i="22"/>
  <c r="L90" i="22"/>
  <c r="K90" i="22"/>
  <c r="J90" i="22"/>
  <c r="I90" i="22"/>
  <c r="H90" i="22"/>
  <c r="G90" i="22"/>
  <c r="F90" i="22"/>
  <c r="E90" i="22"/>
  <c r="N89" i="22"/>
  <c r="M89" i="22"/>
  <c r="L89" i="22"/>
  <c r="K89" i="22"/>
  <c r="J89" i="22"/>
  <c r="I89" i="22"/>
  <c r="H89" i="22"/>
  <c r="G89" i="22"/>
  <c r="F89" i="22"/>
  <c r="E89" i="22"/>
  <c r="N88" i="22"/>
  <c r="M88" i="22"/>
  <c r="L88" i="22"/>
  <c r="K88" i="22"/>
  <c r="J88" i="22"/>
  <c r="I88" i="22"/>
  <c r="H88" i="22"/>
  <c r="G88" i="22"/>
  <c r="F88" i="22"/>
  <c r="E88" i="22"/>
  <c r="N87" i="22"/>
  <c r="M87" i="22"/>
  <c r="L87" i="22"/>
  <c r="K87" i="22"/>
  <c r="J87" i="22"/>
  <c r="I87" i="22"/>
  <c r="H87" i="22"/>
  <c r="G87" i="22"/>
  <c r="F87" i="22"/>
  <c r="E87" i="22"/>
  <c r="N86" i="22"/>
  <c r="M86" i="22"/>
  <c r="L86" i="22"/>
  <c r="K86" i="22"/>
  <c r="J86" i="22"/>
  <c r="I86" i="22"/>
  <c r="H86" i="22"/>
  <c r="G86" i="22"/>
  <c r="F86" i="22"/>
  <c r="E86" i="22"/>
  <c r="N85" i="22"/>
  <c r="M85" i="22"/>
  <c r="L85" i="22"/>
  <c r="K85" i="22"/>
  <c r="J85" i="22"/>
  <c r="I85" i="22"/>
  <c r="H85" i="22"/>
  <c r="G85" i="22"/>
  <c r="F85" i="22"/>
  <c r="E85" i="22"/>
  <c r="N84" i="22"/>
  <c r="M84" i="22"/>
  <c r="L84" i="22"/>
  <c r="K84" i="22"/>
  <c r="J84" i="22"/>
  <c r="I84" i="22"/>
  <c r="H84" i="22"/>
  <c r="G84" i="22"/>
  <c r="F84" i="22"/>
  <c r="E84" i="22"/>
  <c r="N83" i="22"/>
  <c r="M83" i="22"/>
  <c r="L83" i="22"/>
  <c r="K83" i="22"/>
  <c r="J83" i="22"/>
  <c r="I83" i="22"/>
  <c r="H83" i="22"/>
  <c r="G83" i="22"/>
  <c r="F83" i="22"/>
  <c r="E83" i="22"/>
  <c r="N82" i="22"/>
  <c r="M82" i="22"/>
  <c r="L82" i="22"/>
  <c r="K82" i="22"/>
  <c r="J82" i="22"/>
  <c r="I82" i="22"/>
  <c r="H82" i="22"/>
  <c r="G82" i="22"/>
  <c r="F82" i="22"/>
  <c r="E82" i="22"/>
  <c r="N81" i="22"/>
  <c r="M81" i="22"/>
  <c r="L81" i="22"/>
  <c r="K81" i="22"/>
  <c r="J81" i="22"/>
  <c r="I81" i="22"/>
  <c r="H81" i="22"/>
  <c r="G81" i="22"/>
  <c r="F81" i="22"/>
  <c r="E81" i="22"/>
  <c r="N80" i="22"/>
  <c r="M80" i="22"/>
  <c r="L80" i="22"/>
  <c r="K80" i="22"/>
  <c r="J80" i="22"/>
  <c r="I80" i="22"/>
  <c r="H80" i="22"/>
  <c r="G80" i="22"/>
  <c r="F80" i="22"/>
  <c r="E80" i="22"/>
  <c r="N79" i="22"/>
  <c r="M79" i="22"/>
  <c r="L79" i="22"/>
  <c r="K79" i="22"/>
  <c r="J79" i="22"/>
  <c r="I79" i="22"/>
  <c r="H79" i="22"/>
  <c r="G79" i="22"/>
  <c r="F79" i="22"/>
  <c r="E79" i="22"/>
  <c r="N78" i="22"/>
  <c r="M78" i="22"/>
  <c r="L78" i="22"/>
  <c r="K78" i="22"/>
  <c r="J78" i="22"/>
  <c r="I78" i="22"/>
  <c r="H78" i="22"/>
  <c r="G78" i="22"/>
  <c r="F78" i="22"/>
  <c r="E78" i="22"/>
  <c r="N77" i="22"/>
  <c r="M77" i="22"/>
  <c r="L77" i="22"/>
  <c r="K77" i="22"/>
  <c r="J77" i="22"/>
  <c r="I77" i="22"/>
  <c r="H77" i="22"/>
  <c r="G77" i="22"/>
  <c r="F77" i="22"/>
  <c r="E77" i="22"/>
  <c r="N76" i="22"/>
  <c r="M76" i="22"/>
  <c r="L76" i="22"/>
  <c r="K76" i="22"/>
  <c r="J76" i="22"/>
  <c r="I76" i="22"/>
  <c r="H76" i="22"/>
  <c r="G76" i="22"/>
  <c r="F76" i="22"/>
  <c r="E76" i="22"/>
  <c r="N75" i="22"/>
  <c r="M75" i="22"/>
  <c r="L75" i="22"/>
  <c r="K75" i="22"/>
  <c r="J75" i="22"/>
  <c r="I75" i="22"/>
  <c r="H75" i="22"/>
  <c r="G75" i="22"/>
  <c r="F75" i="22"/>
  <c r="E75" i="22"/>
  <c r="N74" i="22"/>
  <c r="M74" i="22"/>
  <c r="L74" i="22"/>
  <c r="K74" i="22"/>
  <c r="J74" i="22"/>
  <c r="I74" i="22"/>
  <c r="H74" i="22"/>
  <c r="G74" i="22"/>
  <c r="F74" i="22"/>
  <c r="E74" i="22"/>
  <c r="N73" i="22"/>
  <c r="M73" i="22"/>
  <c r="L73" i="22"/>
  <c r="K73" i="22"/>
  <c r="J73" i="22"/>
  <c r="I73" i="22"/>
  <c r="H73" i="22"/>
  <c r="G73" i="22"/>
  <c r="F73" i="22"/>
  <c r="E73" i="22"/>
  <c r="N72" i="22"/>
  <c r="M72" i="22"/>
  <c r="L72" i="22"/>
  <c r="K72" i="22"/>
  <c r="J72" i="22"/>
  <c r="I72" i="22"/>
  <c r="H72" i="22"/>
  <c r="G72" i="22"/>
  <c r="F72" i="22"/>
  <c r="E72" i="22"/>
  <c r="N71" i="22"/>
  <c r="M71" i="22"/>
  <c r="L71" i="22"/>
  <c r="K71" i="22"/>
  <c r="J71" i="22"/>
  <c r="I71" i="22"/>
  <c r="H71" i="22"/>
  <c r="G71" i="22"/>
  <c r="F71" i="22"/>
  <c r="E71" i="22"/>
  <c r="N70" i="22"/>
  <c r="M70" i="22"/>
  <c r="L70" i="22"/>
  <c r="K70" i="22"/>
  <c r="J70" i="22"/>
  <c r="I70" i="22"/>
  <c r="H70" i="22"/>
  <c r="G70" i="22"/>
  <c r="F70" i="22"/>
  <c r="E70" i="22"/>
  <c r="N69" i="22"/>
  <c r="M69" i="22"/>
  <c r="L69" i="22"/>
  <c r="K69" i="22"/>
  <c r="J69" i="22"/>
  <c r="I69" i="22"/>
  <c r="H69" i="22"/>
  <c r="G69" i="22"/>
  <c r="F69" i="22"/>
  <c r="E69" i="22"/>
  <c r="N68" i="22"/>
  <c r="M68" i="22"/>
  <c r="L68" i="22"/>
  <c r="K68" i="22"/>
  <c r="J68" i="22"/>
  <c r="I68" i="22"/>
  <c r="H68" i="22"/>
  <c r="G68" i="22"/>
  <c r="F68" i="22"/>
  <c r="E68" i="22"/>
  <c r="N67" i="22"/>
  <c r="M67" i="22"/>
  <c r="L67" i="22"/>
  <c r="K67" i="22"/>
  <c r="J67" i="22"/>
  <c r="I67" i="22"/>
  <c r="H67" i="22"/>
  <c r="G67" i="22"/>
  <c r="F67" i="22"/>
  <c r="E67" i="22"/>
  <c r="B44" i="22"/>
  <c r="B43" i="22"/>
  <c r="B42" i="22"/>
  <c r="B41" i="22"/>
  <c r="B28" i="22"/>
  <c r="B29" i="22" s="1"/>
  <c r="B27" i="22"/>
  <c r="B26" i="22"/>
  <c r="B23" i="22"/>
  <c r="B22" i="22"/>
  <c r="B24" i="22" s="1"/>
  <c r="B18" i="22"/>
  <c r="B17" i="22"/>
  <c r="B14" i="22"/>
  <c r="B13" i="22"/>
  <c r="B16" i="22" s="1"/>
  <c r="B9" i="22"/>
  <c r="B8" i="22"/>
  <c r="B5" i="22"/>
  <c r="B4" i="22"/>
  <c r="B7" i="22" s="1"/>
  <c r="B2" i="22"/>
  <c r="E1101" i="15"/>
  <c r="F1079" i="15"/>
  <c r="D1266" i="15"/>
  <c r="D1263" i="15"/>
  <c r="D1261" i="15"/>
  <c r="C1261" i="15"/>
  <c r="D1260" i="15"/>
  <c r="C1260" i="15"/>
  <c r="D1259" i="15"/>
  <c r="C1259" i="15"/>
  <c r="D1258" i="15"/>
  <c r="C1258" i="15"/>
  <c r="D1257" i="15"/>
  <c r="C1257" i="15"/>
  <c r="D1256" i="15"/>
  <c r="C1256" i="15"/>
  <c r="D1254" i="15"/>
  <c r="C1254" i="15"/>
  <c r="D1253" i="15"/>
  <c r="D1255" i="15" s="1"/>
  <c r="C1253" i="15"/>
  <c r="D1252" i="15"/>
  <c r="C1252" i="15"/>
  <c r="D1249" i="15"/>
  <c r="D1247" i="15"/>
  <c r="D1248" i="15" s="1"/>
  <c r="D1246" i="15"/>
  <c r="D1240" i="15"/>
  <c r="D1237" i="15"/>
  <c r="D1238" i="15" s="1"/>
  <c r="D1239" i="15" s="1"/>
  <c r="D1235" i="15"/>
  <c r="C1235" i="15"/>
  <c r="D1234" i="15"/>
  <c r="C1234" i="15"/>
  <c r="D1233" i="15"/>
  <c r="C1233" i="15"/>
  <c r="D1232" i="15"/>
  <c r="C1232" i="15"/>
  <c r="D1231" i="15"/>
  <c r="C1231" i="15"/>
  <c r="D1230" i="15"/>
  <c r="C1230" i="15"/>
  <c r="D1228" i="15"/>
  <c r="C1228" i="15"/>
  <c r="D1227" i="15"/>
  <c r="C1227" i="15"/>
  <c r="D1226" i="15"/>
  <c r="C1226" i="15"/>
  <c r="D1223" i="15"/>
  <c r="D1221" i="15"/>
  <c r="D1222" i="15" s="1"/>
  <c r="D1224" i="15" s="1"/>
  <c r="D1220" i="15"/>
  <c r="D1214" i="15"/>
  <c r="D1211" i="15"/>
  <c r="D1209" i="15"/>
  <c r="C1209" i="15"/>
  <c r="D1208" i="15"/>
  <c r="C1208" i="15"/>
  <c r="D1207" i="15"/>
  <c r="C1207" i="15"/>
  <c r="D1206" i="15"/>
  <c r="C1206" i="15"/>
  <c r="D1205" i="15"/>
  <c r="C1205" i="15"/>
  <c r="D1204" i="15"/>
  <c r="C1204" i="15"/>
  <c r="D1202" i="15"/>
  <c r="C1202" i="15"/>
  <c r="C1203" i="15" s="1"/>
  <c r="C1210" i="15" s="1"/>
  <c r="D1201" i="15"/>
  <c r="C1201" i="15"/>
  <c r="D1200" i="15"/>
  <c r="C1200" i="15"/>
  <c r="D1197" i="15"/>
  <c r="D1195" i="15"/>
  <c r="D1196" i="15" s="1"/>
  <c r="D1194" i="15"/>
  <c r="D1188" i="15"/>
  <c r="D1185" i="15"/>
  <c r="D1183" i="15"/>
  <c r="C1183" i="15"/>
  <c r="D1182" i="15"/>
  <c r="C1182" i="15"/>
  <c r="D1181" i="15"/>
  <c r="C1181" i="15"/>
  <c r="D1180" i="15"/>
  <c r="C1180" i="15"/>
  <c r="D1179" i="15"/>
  <c r="C1179" i="15"/>
  <c r="D1178" i="15"/>
  <c r="C1178" i="15"/>
  <c r="D1176" i="15"/>
  <c r="C1176" i="15"/>
  <c r="D1175" i="15"/>
  <c r="C1175" i="15"/>
  <c r="D1174" i="15"/>
  <c r="C1174" i="15"/>
  <c r="D1171" i="15"/>
  <c r="D1169" i="15"/>
  <c r="D1170" i="15" s="1"/>
  <c r="D1168" i="15"/>
  <c r="D1151" i="15"/>
  <c r="D1152" i="15" s="1"/>
  <c r="C1151" i="15"/>
  <c r="C1154" i="15" s="1"/>
  <c r="D1150" i="15"/>
  <c r="C1150" i="15"/>
  <c r="D1146" i="15"/>
  <c r="C1146" i="15"/>
  <c r="D1145" i="15"/>
  <c r="D1147" i="15" s="1"/>
  <c r="C1145" i="15"/>
  <c r="C1147" i="15" s="1"/>
  <c r="D1130" i="15"/>
  <c r="D1131" i="15" s="1"/>
  <c r="C1130" i="15"/>
  <c r="C1131" i="15" s="1"/>
  <c r="D1129" i="15"/>
  <c r="C1129" i="15"/>
  <c r="D1125" i="15"/>
  <c r="C1125" i="15"/>
  <c r="D1124" i="15"/>
  <c r="D1126" i="15" s="1"/>
  <c r="C1124" i="15"/>
  <c r="C1126" i="15" s="1"/>
  <c r="F1115" i="15"/>
  <c r="E1115" i="15"/>
  <c r="F1114" i="15"/>
  <c r="E1114" i="15"/>
  <c r="F1113" i="15"/>
  <c r="F1116" i="15" s="1"/>
  <c r="E1113" i="15"/>
  <c r="E1116" i="15" s="1"/>
  <c r="E1118" i="15" s="1"/>
  <c r="F1109" i="15"/>
  <c r="E1109" i="15"/>
  <c r="F1108" i="15"/>
  <c r="E1108" i="15"/>
  <c r="F1107" i="15"/>
  <c r="F1110" i="15" s="1"/>
  <c r="E1107" i="15"/>
  <c r="E1110" i="15" s="1"/>
  <c r="F1104" i="15"/>
  <c r="E1104" i="15"/>
  <c r="E1099" i="15"/>
  <c r="E1098" i="15"/>
  <c r="E1097" i="15"/>
  <c r="F1093" i="15"/>
  <c r="G1093" i="15" s="1"/>
  <c r="D1093" i="15"/>
  <c r="F1092" i="15"/>
  <c r="G1092" i="15" s="1"/>
  <c r="D1092" i="15"/>
  <c r="H1091" i="15"/>
  <c r="G1091" i="15"/>
  <c r="F1091" i="15"/>
  <c r="D1091" i="15"/>
  <c r="E1091" i="15" s="1"/>
  <c r="H1090" i="15"/>
  <c r="F1090" i="15"/>
  <c r="G1090" i="15" s="1"/>
  <c r="E1090" i="15"/>
  <c r="D1090" i="15"/>
  <c r="F1089" i="15"/>
  <c r="G1089" i="15" s="1"/>
  <c r="D1089" i="15"/>
  <c r="F1088" i="15"/>
  <c r="G1088" i="15" s="1"/>
  <c r="D1088" i="15"/>
  <c r="H1087" i="15"/>
  <c r="G1087" i="15"/>
  <c r="F1087" i="15"/>
  <c r="D1087" i="15"/>
  <c r="E1087" i="15" s="1"/>
  <c r="H1086" i="15"/>
  <c r="F1086" i="15"/>
  <c r="G1086" i="15" s="1"/>
  <c r="E1086" i="15"/>
  <c r="D1086" i="15"/>
  <c r="F1085" i="15"/>
  <c r="G1085" i="15" s="1"/>
  <c r="D1085" i="15"/>
  <c r="F1084" i="15"/>
  <c r="G1084" i="15" s="1"/>
  <c r="D1084" i="15"/>
  <c r="H1083" i="15"/>
  <c r="G1083" i="15"/>
  <c r="F1083" i="15"/>
  <c r="D1083" i="15"/>
  <c r="E1083" i="15" s="1"/>
  <c r="H1082" i="15"/>
  <c r="F1082" i="15"/>
  <c r="G1082" i="15" s="1"/>
  <c r="E1082" i="15"/>
  <c r="D1082" i="15"/>
  <c r="F1081" i="15"/>
  <c r="G1081" i="15" s="1"/>
  <c r="D1081" i="15"/>
  <c r="F1080" i="15"/>
  <c r="G1080" i="15" s="1"/>
  <c r="D1080" i="15"/>
  <c r="D1079" i="15"/>
  <c r="D1076" i="15"/>
  <c r="C1076" i="15"/>
  <c r="D1075" i="15"/>
  <c r="C1075" i="15"/>
  <c r="D1071" i="15"/>
  <c r="C1071" i="15"/>
  <c r="D1070" i="15"/>
  <c r="C1070" i="15"/>
  <c r="D1067" i="15"/>
  <c r="C1067" i="15"/>
  <c r="D1063" i="15"/>
  <c r="C1063" i="15"/>
  <c r="D1062" i="15"/>
  <c r="C1062" i="15"/>
  <c r="D1059" i="15"/>
  <c r="C1059" i="15"/>
  <c r="D1054" i="15"/>
  <c r="C1054" i="15"/>
  <c r="D1052" i="15"/>
  <c r="C1052" i="15"/>
  <c r="D1050" i="15"/>
  <c r="C1050" i="15"/>
  <c r="D1048" i="15"/>
  <c r="C1048" i="15"/>
  <c r="D1043" i="15"/>
  <c r="C1043" i="15"/>
  <c r="D1040" i="15"/>
  <c r="C1040" i="15"/>
  <c r="D1035" i="15"/>
  <c r="C1035" i="15"/>
  <c r="D1032" i="15"/>
  <c r="C1032" i="15"/>
  <c r="D1030" i="15"/>
  <c r="C1030" i="15"/>
  <c r="D1028" i="15"/>
  <c r="C1028" i="15"/>
  <c r="F1020" i="15"/>
  <c r="F1019" i="15"/>
  <c r="E1019" i="15"/>
  <c r="F1018" i="15"/>
  <c r="E1018" i="15"/>
  <c r="F1017" i="15"/>
  <c r="E1017" i="15"/>
  <c r="E1020" i="15" s="1"/>
  <c r="F1013" i="15"/>
  <c r="E1013" i="15"/>
  <c r="F1012" i="15"/>
  <c r="E1012" i="15"/>
  <c r="F1011" i="15"/>
  <c r="F1014" i="15" s="1"/>
  <c r="E1011" i="15"/>
  <c r="E1014" i="15" s="1"/>
  <c r="G1014" i="15" s="1"/>
  <c r="F1008" i="15"/>
  <c r="E1008" i="15"/>
  <c r="E1004" i="15"/>
  <c r="E1002" i="15"/>
  <c r="E1001" i="15"/>
  <c r="E1000" i="15"/>
  <c r="E1003" i="15" s="1"/>
  <c r="E1005" i="15" s="1"/>
  <c r="E999" i="15"/>
  <c r="I996" i="15"/>
  <c r="H996" i="15"/>
  <c r="F996" i="15"/>
  <c r="G996" i="15" s="1"/>
  <c r="D996" i="15"/>
  <c r="E996" i="15" s="1"/>
  <c r="G995" i="15"/>
  <c r="F995" i="15"/>
  <c r="H995" i="15" s="1"/>
  <c r="D995" i="15"/>
  <c r="E995" i="15" s="1"/>
  <c r="H994" i="15"/>
  <c r="I994" i="15" s="1"/>
  <c r="F994" i="15"/>
  <c r="G994" i="15" s="1"/>
  <c r="E994" i="15"/>
  <c r="D994" i="15"/>
  <c r="F993" i="15"/>
  <c r="G993" i="15" s="1"/>
  <c r="D993" i="15"/>
  <c r="F992" i="15"/>
  <c r="G992" i="15" s="1"/>
  <c r="D992" i="15"/>
  <c r="E992" i="15" s="1"/>
  <c r="F991" i="15"/>
  <c r="G991" i="15" s="1"/>
  <c r="D991" i="15"/>
  <c r="F990" i="15"/>
  <c r="G990" i="15" s="1"/>
  <c r="D990" i="15"/>
  <c r="F989" i="15"/>
  <c r="G989" i="15" s="1"/>
  <c r="D989" i="15"/>
  <c r="F988" i="15"/>
  <c r="G988" i="15" s="1"/>
  <c r="D988" i="15"/>
  <c r="E988" i="15" s="1"/>
  <c r="H987" i="15"/>
  <c r="I987" i="15" s="1"/>
  <c r="F987" i="15"/>
  <c r="G987" i="15" s="1"/>
  <c r="D987" i="15"/>
  <c r="E987" i="15" s="1"/>
  <c r="H986" i="15"/>
  <c r="I986" i="15" s="1"/>
  <c r="I997" i="15" s="1"/>
  <c r="F986" i="15"/>
  <c r="G986" i="15" s="1"/>
  <c r="E986" i="15"/>
  <c r="D986" i="15"/>
  <c r="F985" i="15"/>
  <c r="D985" i="15"/>
  <c r="D982" i="15"/>
  <c r="C982" i="15"/>
  <c r="D981" i="15"/>
  <c r="D983" i="15" s="1"/>
  <c r="C981" i="15"/>
  <c r="D979" i="15"/>
  <c r="D978" i="15"/>
  <c r="C978" i="15"/>
  <c r="D977" i="15"/>
  <c r="C977" i="15"/>
  <c r="C979" i="15" s="1"/>
  <c r="D975" i="15"/>
  <c r="C975" i="15"/>
  <c r="D973" i="15"/>
  <c r="D972" i="15"/>
  <c r="C972" i="15"/>
  <c r="D971" i="15"/>
  <c r="C971" i="15"/>
  <c r="C973" i="15" s="1"/>
  <c r="D969" i="15"/>
  <c r="C969" i="15"/>
  <c r="D967" i="15"/>
  <c r="C967" i="15"/>
  <c r="D966" i="15"/>
  <c r="C966" i="15"/>
  <c r="D965" i="15"/>
  <c r="C965" i="15"/>
  <c r="D964" i="15"/>
  <c r="C964" i="15"/>
  <c r="D963" i="15"/>
  <c r="C963" i="15"/>
  <c r="D962" i="15"/>
  <c r="C962" i="15"/>
  <c r="D961" i="15"/>
  <c r="C961" i="15"/>
  <c r="C946" i="15"/>
  <c r="E945" i="15"/>
  <c r="C945" i="15"/>
  <c r="D945" i="15" s="1"/>
  <c r="B945" i="15"/>
  <c r="E944" i="15"/>
  <c r="D944" i="15"/>
  <c r="C944" i="15"/>
  <c r="B944" i="15"/>
  <c r="B946" i="15" s="1"/>
  <c r="C939" i="15"/>
  <c r="D921" i="15"/>
  <c r="D919" i="15"/>
  <c r="D918" i="15"/>
  <c r="D911" i="15"/>
  <c r="D913" i="15" s="1"/>
  <c r="D903" i="15"/>
  <c r="E900" i="15"/>
  <c r="D900" i="15"/>
  <c r="C900" i="15"/>
  <c r="A900" i="15"/>
  <c r="E899" i="15"/>
  <c r="E901" i="15" s="1"/>
  <c r="D899" i="15"/>
  <c r="C899" i="15"/>
  <c r="A899" i="15"/>
  <c r="E856" i="15"/>
  <c r="F856" i="15" s="1"/>
  <c r="A856" i="15"/>
  <c r="E855" i="15"/>
  <c r="G855" i="15" s="1"/>
  <c r="A855" i="15"/>
  <c r="E854" i="15"/>
  <c r="A854" i="15"/>
  <c r="D850" i="15"/>
  <c r="D846" i="15"/>
  <c r="F893" i="15" s="1"/>
  <c r="D844" i="15"/>
  <c r="D843" i="15"/>
  <c r="D841" i="15"/>
  <c r="C841" i="15"/>
  <c r="B841" i="15"/>
  <c r="A841" i="15"/>
  <c r="D840" i="15"/>
  <c r="C840" i="15"/>
  <c r="B840" i="15"/>
  <c r="A840" i="15"/>
  <c r="D839" i="15"/>
  <c r="B839" i="15"/>
  <c r="A839" i="15"/>
  <c r="D838" i="15"/>
  <c r="C838" i="15"/>
  <c r="B838" i="15"/>
  <c r="A838" i="15"/>
  <c r="D837" i="15"/>
  <c r="C837" i="15"/>
  <c r="B837" i="15"/>
  <c r="A837" i="15"/>
  <c r="D836" i="15"/>
  <c r="B836" i="15"/>
  <c r="A836" i="15"/>
  <c r="D835" i="15"/>
  <c r="C835" i="15"/>
  <c r="B835" i="15"/>
  <c r="A835" i="15"/>
  <c r="D834" i="15"/>
  <c r="C834" i="15"/>
  <c r="B834" i="15"/>
  <c r="A834" i="15"/>
  <c r="D833" i="15"/>
  <c r="C833" i="15"/>
  <c r="B833" i="15"/>
  <c r="A833" i="15"/>
  <c r="A808" i="15"/>
  <c r="A805" i="15"/>
  <c r="A802" i="15"/>
  <c r="D778" i="15"/>
  <c r="D775" i="15"/>
  <c r="D776" i="15" s="1"/>
  <c r="D773" i="15"/>
  <c r="D772" i="15"/>
  <c r="D770" i="15"/>
  <c r="D769" i="15"/>
  <c r="A759" i="15"/>
  <c r="A754" i="15"/>
  <c r="E751" i="15"/>
  <c r="F751" i="15" s="1"/>
  <c r="A751" i="15"/>
  <c r="I751" i="15" s="1"/>
  <c r="E750" i="15"/>
  <c r="G750" i="15" s="1"/>
  <c r="C758" i="15" s="1"/>
  <c r="A750" i="15"/>
  <c r="H750" i="15" s="1"/>
  <c r="E749" i="15"/>
  <c r="A749" i="15"/>
  <c r="A747" i="15"/>
  <c r="A776" i="15" s="1"/>
  <c r="A745" i="15"/>
  <c r="A741" i="15"/>
  <c r="A736" i="15"/>
  <c r="E733" i="15"/>
  <c r="A733" i="15"/>
  <c r="I733" i="15" s="1"/>
  <c r="E732" i="15"/>
  <c r="F732" i="15" s="1"/>
  <c r="A732" i="15"/>
  <c r="H732" i="15" s="1"/>
  <c r="E731" i="15"/>
  <c r="F731" i="15" s="1"/>
  <c r="A731" i="15"/>
  <c r="I731" i="15" s="1"/>
  <c r="A729" i="15"/>
  <c r="A773" i="15" s="1"/>
  <c r="A727" i="15"/>
  <c r="A723" i="15"/>
  <c r="A718" i="15"/>
  <c r="E715" i="15"/>
  <c r="G715" i="15" s="1"/>
  <c r="C723" i="15" s="1"/>
  <c r="E723" i="15" s="1"/>
  <c r="A715" i="15"/>
  <c r="E714" i="15"/>
  <c r="G714" i="15" s="1"/>
  <c r="A714" i="15"/>
  <c r="E713" i="15"/>
  <c r="A713" i="15"/>
  <c r="A711" i="15"/>
  <c r="A769" i="15" s="1"/>
  <c r="A709" i="15"/>
  <c r="G671" i="15"/>
  <c r="F671" i="15"/>
  <c r="F670" i="15"/>
  <c r="D650" i="15"/>
  <c r="E647" i="15"/>
  <c r="D647" i="15"/>
  <c r="C647" i="15"/>
  <c r="A647" i="15"/>
  <c r="K647" i="15" s="1"/>
  <c r="K646" i="15"/>
  <c r="E646" i="15"/>
  <c r="D646" i="15"/>
  <c r="C646" i="15"/>
  <c r="A646" i="15"/>
  <c r="D634" i="15"/>
  <c r="E628" i="15"/>
  <c r="H628" i="15" s="1"/>
  <c r="C628" i="15"/>
  <c r="B628" i="15"/>
  <c r="A657" i="15" s="1"/>
  <c r="A628" i="15"/>
  <c r="E627" i="15"/>
  <c r="F627" i="15" s="1"/>
  <c r="A627" i="15"/>
  <c r="E626" i="15"/>
  <c r="G626" i="15" s="1"/>
  <c r="C655" i="15" s="1"/>
  <c r="D626" i="15"/>
  <c r="D693" i="15" s="1"/>
  <c r="C626" i="15"/>
  <c r="B626" i="15"/>
  <c r="A697" i="15" s="1"/>
  <c r="A626" i="15"/>
  <c r="D622" i="15"/>
  <c r="D619" i="15"/>
  <c r="D618" i="15"/>
  <c r="D691" i="15" s="1"/>
  <c r="D616" i="15"/>
  <c r="D615" i="15"/>
  <c r="D613" i="15"/>
  <c r="C613" i="15"/>
  <c r="B613" i="15"/>
  <c r="A613" i="15"/>
  <c r="D612" i="15"/>
  <c r="C612" i="15"/>
  <c r="B612" i="15"/>
  <c r="A612" i="15"/>
  <c r="D611" i="15"/>
  <c r="B611" i="15"/>
  <c r="A611" i="15"/>
  <c r="D610" i="15"/>
  <c r="C610" i="15"/>
  <c r="B610" i="15"/>
  <c r="A610" i="15"/>
  <c r="D609" i="15"/>
  <c r="C609" i="15"/>
  <c r="B609" i="15"/>
  <c r="A609" i="15"/>
  <c r="D608" i="15"/>
  <c r="B608" i="15"/>
  <c r="A608" i="15"/>
  <c r="D607" i="15"/>
  <c r="C607" i="15"/>
  <c r="B607" i="15"/>
  <c r="A607" i="15"/>
  <c r="D606" i="15"/>
  <c r="C606" i="15"/>
  <c r="B606" i="15"/>
  <c r="A606" i="15"/>
  <c r="D605" i="15"/>
  <c r="C605" i="15"/>
  <c r="B605" i="15"/>
  <c r="A605" i="15"/>
  <c r="E588" i="15"/>
  <c r="D577" i="15"/>
  <c r="D570" i="15"/>
  <c r="A568" i="15"/>
  <c r="D566" i="15"/>
  <c r="D564" i="15"/>
  <c r="D568" i="15" s="1"/>
  <c r="A564" i="15"/>
  <c r="D559" i="15"/>
  <c r="A546" i="15"/>
  <c r="A545" i="15"/>
  <c r="F542" i="15"/>
  <c r="G542" i="15" s="1"/>
  <c r="F541" i="15"/>
  <c r="D539" i="15"/>
  <c r="E528" i="15"/>
  <c r="A528" i="15"/>
  <c r="A526" i="15"/>
  <c r="D520" i="15"/>
  <c r="D514" i="15"/>
  <c r="H512" i="15"/>
  <c r="F512" i="15"/>
  <c r="E512" i="15"/>
  <c r="H511" i="15"/>
  <c r="F511" i="15"/>
  <c r="E511" i="15"/>
  <c r="D511" i="15"/>
  <c r="C511" i="15"/>
  <c r="G511" i="15" s="1"/>
  <c r="B511" i="15"/>
  <c r="A511" i="15"/>
  <c r="K511" i="15" s="1"/>
  <c r="H510" i="15"/>
  <c r="G510" i="15"/>
  <c r="G512" i="15" s="1"/>
  <c r="F510" i="15"/>
  <c r="E510" i="15"/>
  <c r="D510" i="15"/>
  <c r="C510" i="15"/>
  <c r="B510" i="15"/>
  <c r="A510" i="15"/>
  <c r="K510" i="15" s="1"/>
  <c r="G492" i="15"/>
  <c r="C528" i="15" s="1"/>
  <c r="F492" i="15"/>
  <c r="E492" i="15"/>
  <c r="D492" i="15"/>
  <c r="C492" i="15"/>
  <c r="B492" i="15"/>
  <c r="A492" i="15"/>
  <c r="H491" i="15"/>
  <c r="F491" i="15"/>
  <c r="E491" i="15"/>
  <c r="G491" i="15" s="1"/>
  <c r="L491" i="15" s="1"/>
  <c r="D491" i="15"/>
  <c r="C491" i="15"/>
  <c r="B491" i="15"/>
  <c r="A491" i="15"/>
  <c r="I491" i="15" s="1"/>
  <c r="E490" i="15"/>
  <c r="D490" i="15"/>
  <c r="D537" i="15" s="1"/>
  <c r="D538" i="15" s="1"/>
  <c r="C490" i="15"/>
  <c r="B490" i="15"/>
  <c r="E590" i="15" s="1"/>
  <c r="A490" i="15"/>
  <c r="D486" i="15"/>
  <c r="D485" i="15"/>
  <c r="D484" i="15"/>
  <c r="D483" i="15"/>
  <c r="D482" i="15"/>
  <c r="D480" i="15"/>
  <c r="D551" i="15" s="1"/>
  <c r="D479" i="15"/>
  <c r="E477" i="15"/>
  <c r="D477" i="15"/>
  <c r="C477" i="15"/>
  <c r="B477" i="15"/>
  <c r="A477" i="15"/>
  <c r="E476" i="15"/>
  <c r="D476" i="15"/>
  <c r="C476" i="15"/>
  <c r="B476" i="15"/>
  <c r="A476" i="15"/>
  <c r="E475" i="15"/>
  <c r="D475" i="15"/>
  <c r="B475" i="15"/>
  <c r="A475" i="15"/>
  <c r="E474" i="15"/>
  <c r="D474" i="15"/>
  <c r="C474" i="15"/>
  <c r="B474" i="15"/>
  <c r="A474" i="15"/>
  <c r="D576" i="15" s="1"/>
  <c r="D578" i="15" s="1"/>
  <c r="E473" i="15"/>
  <c r="D473" i="15"/>
  <c r="C473" i="15"/>
  <c r="B473" i="15"/>
  <c r="A473" i="15"/>
  <c r="D481" i="15" s="1"/>
  <c r="E472" i="15"/>
  <c r="D472" i="15"/>
  <c r="C472" i="15"/>
  <c r="B472" i="15"/>
  <c r="A472" i="15"/>
  <c r="E471" i="15"/>
  <c r="D471" i="15"/>
  <c r="C471" i="15"/>
  <c r="B471" i="15"/>
  <c r="A471" i="15"/>
  <c r="E470" i="15"/>
  <c r="D470" i="15"/>
  <c r="C470" i="15"/>
  <c r="B470" i="15"/>
  <c r="A470" i="15"/>
  <c r="E469" i="15"/>
  <c r="D469" i="15"/>
  <c r="C469" i="15"/>
  <c r="B469" i="15"/>
  <c r="A469" i="15"/>
  <c r="A461" i="15"/>
  <c r="A458" i="15"/>
  <c r="A455" i="15"/>
  <c r="D431" i="15"/>
  <c r="D428" i="15"/>
  <c r="D429" i="15" s="1"/>
  <c r="D426" i="15"/>
  <c r="D425" i="15"/>
  <c r="D423" i="15"/>
  <c r="D422" i="15"/>
  <c r="A412" i="15"/>
  <c r="A407" i="15"/>
  <c r="E404" i="15"/>
  <c r="G404" i="15" s="1"/>
  <c r="C412" i="15" s="1"/>
  <c r="E412" i="15" s="1"/>
  <c r="A404" i="15"/>
  <c r="I404" i="15" s="1"/>
  <c r="E403" i="15"/>
  <c r="G403" i="15" s="1"/>
  <c r="A403" i="15"/>
  <c r="I403" i="15" s="1"/>
  <c r="E402" i="15"/>
  <c r="F402" i="15" s="1"/>
  <c r="D402" i="15"/>
  <c r="A402" i="15"/>
  <c r="I402" i="15" s="1"/>
  <c r="A400" i="15"/>
  <c r="A429" i="15" s="1"/>
  <c r="A398" i="15"/>
  <c r="A394" i="15"/>
  <c r="A389" i="15"/>
  <c r="E386" i="15"/>
  <c r="A386" i="15"/>
  <c r="I386" i="15" s="1"/>
  <c r="E385" i="15"/>
  <c r="F385" i="15" s="1"/>
  <c r="A385" i="15"/>
  <c r="I385" i="15" s="1"/>
  <c r="E384" i="15"/>
  <c r="D384" i="15"/>
  <c r="A384" i="15"/>
  <c r="I384" i="15" s="1"/>
  <c r="A382" i="15"/>
  <c r="A425" i="15" s="1"/>
  <c r="A380" i="15"/>
  <c r="A376" i="15"/>
  <c r="A371" i="15"/>
  <c r="E368" i="15"/>
  <c r="A368" i="15"/>
  <c r="E367" i="15"/>
  <c r="A367" i="15"/>
  <c r="E366" i="15"/>
  <c r="A366" i="15"/>
  <c r="A364" i="15"/>
  <c r="A423" i="15" s="1"/>
  <c r="A362" i="15"/>
  <c r="G324" i="15"/>
  <c r="F324" i="15"/>
  <c r="F323" i="15"/>
  <c r="D303" i="15"/>
  <c r="K300" i="15"/>
  <c r="E300" i="15"/>
  <c r="D300" i="15"/>
  <c r="C300" i="15"/>
  <c r="A300" i="15"/>
  <c r="E299" i="15"/>
  <c r="E301" i="15" s="1"/>
  <c r="D299" i="15"/>
  <c r="C299" i="15"/>
  <c r="A299" i="15"/>
  <c r="K299" i="15" s="1"/>
  <c r="D287" i="15"/>
  <c r="H281" i="15"/>
  <c r="E281" i="15"/>
  <c r="A281" i="15"/>
  <c r="I281" i="15" s="1"/>
  <c r="E280" i="15"/>
  <c r="F280" i="15" s="1"/>
  <c r="D280" i="15"/>
  <c r="A280" i="15"/>
  <c r="G279" i="15"/>
  <c r="C308" i="15" s="1"/>
  <c r="E279" i="15"/>
  <c r="D279" i="15"/>
  <c r="D319" i="15" s="1"/>
  <c r="A279" i="15"/>
  <c r="D275" i="15"/>
  <c r="D440" i="15" s="1"/>
  <c r="D272" i="15"/>
  <c r="D271" i="15"/>
  <c r="E258" i="15" s="1"/>
  <c r="D269" i="15"/>
  <c r="D268" i="15"/>
  <c r="D266" i="15"/>
  <c r="C266" i="15"/>
  <c r="B266" i="15"/>
  <c r="A266" i="15"/>
  <c r="D265" i="15"/>
  <c r="C265" i="15"/>
  <c r="B265" i="15"/>
  <c r="A265" i="15"/>
  <c r="D264" i="15"/>
  <c r="B264" i="15"/>
  <c r="A264" i="15"/>
  <c r="D263" i="15"/>
  <c r="C263" i="15"/>
  <c r="B263" i="15"/>
  <c r="A263" i="15"/>
  <c r="D262" i="15"/>
  <c r="C262" i="15"/>
  <c r="B262" i="15"/>
  <c r="A262" i="15"/>
  <c r="D261" i="15"/>
  <c r="B261" i="15"/>
  <c r="A261" i="15"/>
  <c r="D260" i="15"/>
  <c r="C260" i="15"/>
  <c r="B260" i="15"/>
  <c r="A260" i="15"/>
  <c r="D259" i="15"/>
  <c r="C259" i="15"/>
  <c r="B259" i="15"/>
  <c r="A259" i="15"/>
  <c r="D258" i="15"/>
  <c r="C258" i="15"/>
  <c r="B258" i="15"/>
  <c r="A258" i="15"/>
  <c r="D238" i="15"/>
  <c r="A218" i="15"/>
  <c r="D217" i="15"/>
  <c r="D202" i="15"/>
  <c r="A199" i="15"/>
  <c r="F195" i="15"/>
  <c r="G195" i="15" s="1"/>
  <c r="A195" i="15"/>
  <c r="F194" i="15"/>
  <c r="D191" i="15"/>
  <c r="D190" i="15"/>
  <c r="A180" i="15"/>
  <c r="D173" i="15"/>
  <c r="D172" i="15"/>
  <c r="D167" i="15"/>
  <c r="E165" i="15"/>
  <c r="H164" i="15"/>
  <c r="E164" i="15"/>
  <c r="D164" i="15"/>
  <c r="G164" i="15" s="1"/>
  <c r="C164" i="15"/>
  <c r="B164" i="15"/>
  <c r="A164" i="15"/>
  <c r="F164" i="15" s="1"/>
  <c r="H163" i="15"/>
  <c r="H165" i="15" s="1"/>
  <c r="E163" i="15"/>
  <c r="D163" i="15"/>
  <c r="C163" i="15"/>
  <c r="G163" i="15" s="1"/>
  <c r="G165" i="15" s="1"/>
  <c r="K165" i="15" s="1"/>
  <c r="B163" i="15"/>
  <c r="A163" i="15"/>
  <c r="K163" i="15" s="1"/>
  <c r="D158" i="15"/>
  <c r="D151" i="15"/>
  <c r="G146" i="15"/>
  <c r="D171" i="15" s="1"/>
  <c r="D174" i="15" s="1"/>
  <c r="E145" i="15"/>
  <c r="D145" i="15"/>
  <c r="C145" i="15"/>
  <c r="B145" i="15"/>
  <c r="A181" i="15" s="1"/>
  <c r="A145" i="15"/>
  <c r="H144" i="15"/>
  <c r="G144" i="15"/>
  <c r="E144" i="15"/>
  <c r="D144" i="15"/>
  <c r="C144" i="15"/>
  <c r="B144" i="15"/>
  <c r="A222" i="15" s="1"/>
  <c r="A144" i="15"/>
  <c r="M143" i="15"/>
  <c r="E143" i="15"/>
  <c r="H146" i="15" s="1"/>
  <c r="D206" i="15" s="1"/>
  <c r="D143" i="15"/>
  <c r="C143" i="15"/>
  <c r="B143" i="15"/>
  <c r="A143" i="15"/>
  <c r="H143" i="15" s="1"/>
  <c r="D139" i="15"/>
  <c r="D136" i="15"/>
  <c r="D135" i="15"/>
  <c r="D134" i="15"/>
  <c r="D133" i="15"/>
  <c r="D132" i="15"/>
  <c r="E130" i="15"/>
  <c r="D130" i="15"/>
  <c r="C130" i="15"/>
  <c r="B130" i="15"/>
  <c r="A130" i="15"/>
  <c r="E129" i="15"/>
  <c r="D129" i="15"/>
  <c r="C129" i="15"/>
  <c r="B129" i="15"/>
  <c r="A129" i="15"/>
  <c r="D128" i="15"/>
  <c r="B128" i="15"/>
  <c r="A128" i="15"/>
  <c r="D127" i="15"/>
  <c r="C127" i="15"/>
  <c r="B127" i="15"/>
  <c r="A127" i="15"/>
  <c r="E126" i="15"/>
  <c r="D126" i="15"/>
  <c r="C126" i="15"/>
  <c r="B126" i="15"/>
  <c r="A126" i="15"/>
  <c r="D125" i="15"/>
  <c r="C125" i="15"/>
  <c r="B125" i="15"/>
  <c r="A125" i="15"/>
  <c r="E124" i="15"/>
  <c r="D124" i="15"/>
  <c r="C124" i="15"/>
  <c r="B124" i="15"/>
  <c r="A124" i="15"/>
  <c r="E123" i="15"/>
  <c r="D123" i="15"/>
  <c r="C123" i="15"/>
  <c r="B123" i="15"/>
  <c r="A123" i="15"/>
  <c r="E122" i="15"/>
  <c r="D122" i="15"/>
  <c r="C122" i="15"/>
  <c r="B122" i="15"/>
  <c r="A122" i="15"/>
  <c r="B65" i="15"/>
  <c r="B66" i="15" s="1"/>
  <c r="B67" i="15" s="1"/>
  <c r="B68" i="15" s="1"/>
  <c r="B69" i="15" s="1"/>
  <c r="B70" i="15" s="1"/>
  <c r="B71" i="15" s="1"/>
  <c r="B72" i="15" s="1"/>
  <c r="B73" i="15" s="1"/>
  <c r="B74" i="15" s="1"/>
  <c r="B75" i="15" s="1"/>
  <c r="B76" i="15" s="1"/>
  <c r="B77" i="15" s="1"/>
  <c r="B78" i="15" s="1"/>
  <c r="B79" i="15" s="1"/>
  <c r="B80" i="15" s="1"/>
  <c r="B81" i="15" s="1"/>
  <c r="B82" i="15" s="1"/>
  <c r="B83" i="15" s="1"/>
  <c r="B84" i="15" s="1"/>
  <c r="B85" i="15" s="1"/>
  <c r="B86" i="15" s="1"/>
  <c r="B87" i="15" s="1"/>
  <c r="B88" i="15" s="1"/>
  <c r="B89" i="15" s="1"/>
  <c r="C64" i="15" s="1"/>
  <c r="C65" i="15" s="1"/>
  <c r="C66" i="15" s="1"/>
  <c r="C67" i="15" s="1"/>
  <c r="C68" i="15" s="1"/>
  <c r="C69" i="15" s="1"/>
  <c r="C70" i="15" s="1"/>
  <c r="C71" i="15" s="1"/>
  <c r="C72" i="15" s="1"/>
  <c r="C73" i="15" s="1"/>
  <c r="C74" i="15" s="1"/>
  <c r="C75" i="15" s="1"/>
  <c r="C76" i="15" s="1"/>
  <c r="C77" i="15" s="1"/>
  <c r="C78" i="15" s="1"/>
  <c r="C79" i="15" s="1"/>
  <c r="C80" i="15" s="1"/>
  <c r="C81" i="15" s="1"/>
  <c r="C82" i="15" s="1"/>
  <c r="C83" i="15" s="1"/>
  <c r="C84" i="15" s="1"/>
  <c r="C85" i="15" s="1"/>
  <c r="C86" i="15" s="1"/>
  <c r="C87" i="15" s="1"/>
  <c r="C88" i="15" s="1"/>
  <c r="C89" i="15" s="1"/>
  <c r="D64" i="15" s="1"/>
  <c r="D65" i="15" s="1"/>
  <c r="D66" i="15" s="1"/>
  <c r="D67" i="15" s="1"/>
  <c r="D68" i="15" s="1"/>
  <c r="D69" i="15" s="1"/>
  <c r="D70" i="15" s="1"/>
  <c r="D71" i="15" s="1"/>
  <c r="D72" i="15" s="1"/>
  <c r="D73" i="15" s="1"/>
  <c r="D74" i="15" s="1"/>
  <c r="D75" i="15" s="1"/>
  <c r="D76" i="15" s="1"/>
  <c r="D77" i="15" s="1"/>
  <c r="D78" i="15" s="1"/>
  <c r="D79" i="15" s="1"/>
  <c r="D80" i="15" s="1"/>
  <c r="D81" i="15" s="1"/>
  <c r="D82" i="15" s="1"/>
  <c r="D83" i="15" s="1"/>
  <c r="D84" i="15" s="1"/>
  <c r="D85" i="15" s="1"/>
  <c r="D86" i="15" s="1"/>
  <c r="D87" i="15" s="1"/>
  <c r="D88" i="15" s="1"/>
  <c r="D89" i="15" s="1"/>
  <c r="A65" i="15"/>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E64" i="15"/>
  <c r="E65" i="15" s="1"/>
  <c r="E66" i="15" s="1"/>
  <c r="E67" i="15" s="1"/>
  <c r="E68" i="15" s="1"/>
  <c r="E69" i="15" s="1"/>
  <c r="E70" i="15" s="1"/>
  <c r="E71" i="15" s="1"/>
  <c r="E72" i="15" s="1"/>
  <c r="E73" i="15" s="1"/>
  <c r="E74" i="15" s="1"/>
  <c r="E75" i="15" s="1"/>
  <c r="E76" i="15" s="1"/>
  <c r="E77" i="15" s="1"/>
  <c r="E78" i="15" s="1"/>
  <c r="E79" i="15" s="1"/>
  <c r="E80" i="15" s="1"/>
  <c r="E81" i="15" s="1"/>
  <c r="E82" i="15" s="1"/>
  <c r="E83" i="15" s="1"/>
  <c r="E84" i="15" s="1"/>
  <c r="E85" i="15" s="1"/>
  <c r="E86" i="15" s="1"/>
  <c r="E87" i="15" s="1"/>
  <c r="E88" i="15" s="1"/>
  <c r="E89" i="15" s="1"/>
  <c r="F64" i="15" s="1"/>
  <c r="F65" i="15" s="1"/>
  <c r="F66" i="15" s="1"/>
  <c r="F67" i="15" s="1"/>
  <c r="F68" i="15" s="1"/>
  <c r="F69" i="15" s="1"/>
  <c r="F70" i="15" s="1"/>
  <c r="F71" i="15" s="1"/>
  <c r="F72" i="15" s="1"/>
  <c r="F73" i="15" s="1"/>
  <c r="F74" i="15" s="1"/>
  <c r="F75" i="15" s="1"/>
  <c r="F76" i="15" s="1"/>
  <c r="F77" i="15" s="1"/>
  <c r="F78" i="15" s="1"/>
  <c r="F79" i="15" s="1"/>
  <c r="F80" i="15" s="1"/>
  <c r="F81" i="15" s="1"/>
  <c r="F82" i="15" s="1"/>
  <c r="F83" i="15" s="1"/>
  <c r="F84" i="15" s="1"/>
  <c r="F85" i="15" s="1"/>
  <c r="F86" i="15" s="1"/>
  <c r="F87" i="15" s="1"/>
  <c r="F88" i="15" s="1"/>
  <c r="F89" i="15" s="1"/>
  <c r="G64" i="15" s="1"/>
  <c r="G65" i="15" s="1"/>
  <c r="G66" i="15" s="1"/>
  <c r="G67" i="15" s="1"/>
  <c r="G68" i="15" s="1"/>
  <c r="G69" i="15" s="1"/>
  <c r="G70" i="15" s="1"/>
  <c r="G71" i="15" s="1"/>
  <c r="G72" i="15" s="1"/>
  <c r="G73" i="15" s="1"/>
  <c r="G74" i="15" s="1"/>
  <c r="G75" i="15" s="1"/>
  <c r="G76" i="15" s="1"/>
  <c r="G77" i="15" s="1"/>
  <c r="G78" i="15" s="1"/>
  <c r="G79" i="15" s="1"/>
  <c r="G80" i="15" s="1"/>
  <c r="G81" i="15" s="1"/>
  <c r="G82" i="15" s="1"/>
  <c r="G83" i="15" s="1"/>
  <c r="G84" i="15" s="1"/>
  <c r="G85" i="15" s="1"/>
  <c r="G86" i="15" s="1"/>
  <c r="G87" i="15" s="1"/>
  <c r="G88" i="15" s="1"/>
  <c r="G89" i="15" s="1"/>
  <c r="H64" i="15" s="1"/>
  <c r="H65" i="15" s="1"/>
  <c r="H66" i="15" s="1"/>
  <c r="H67" i="15" s="1"/>
  <c r="H68" i="15" s="1"/>
  <c r="H69" i="15" s="1"/>
  <c r="H70" i="15" s="1"/>
  <c r="H71" i="15" s="1"/>
  <c r="H72" i="15" s="1"/>
  <c r="H73" i="15" s="1"/>
  <c r="H74" i="15" s="1"/>
  <c r="H75" i="15" s="1"/>
  <c r="H76" i="15" s="1"/>
  <c r="H77" i="15" s="1"/>
  <c r="H78" i="15" s="1"/>
  <c r="H79" i="15" s="1"/>
  <c r="H80" i="15" s="1"/>
  <c r="H81" i="15" s="1"/>
  <c r="H82" i="15" s="1"/>
  <c r="H83" i="15" s="1"/>
  <c r="H84" i="15" s="1"/>
  <c r="H85" i="15" s="1"/>
  <c r="H86" i="15" s="1"/>
  <c r="H87" i="15" s="1"/>
  <c r="H88" i="15" s="1"/>
  <c r="H89" i="15" s="1"/>
  <c r="H62" i="15"/>
  <c r="G62" i="15"/>
  <c r="C62" i="15"/>
  <c r="D62" i="15" s="1"/>
  <c r="E62" i="15" s="1"/>
  <c r="F62" i="15" s="1"/>
  <c r="F55" i="15"/>
  <c r="F52" i="15"/>
  <c r="C23" i="15"/>
  <c r="C22" i="15"/>
  <c r="B17" i="15"/>
  <c r="B16" i="15"/>
  <c r="B15" i="15"/>
  <c r="B14" i="15"/>
  <c r="B13" i="15"/>
  <c r="B12" i="15"/>
  <c r="B11" i="15"/>
  <c r="B10" i="15"/>
  <c r="B9" i="15"/>
  <c r="B6" i="15"/>
  <c r="B5" i="15"/>
  <c r="CK21" i="14"/>
  <c r="CK18" i="14"/>
  <c r="CK14" i="14"/>
  <c r="CE7" i="14"/>
  <c r="O7" i="14"/>
  <c r="B33" i="22"/>
  <c r="H900" i="15"/>
  <c r="H899" i="15"/>
  <c r="H901" i="15" s="1"/>
  <c r="C855" i="15"/>
  <c r="D854" i="15"/>
  <c r="D878" i="15" s="1"/>
  <c r="D847" i="15"/>
  <c r="H647" i="15"/>
  <c r="B647" i="15"/>
  <c r="H646" i="15"/>
  <c r="D751" i="15"/>
  <c r="C751" i="15"/>
  <c r="D749" i="15"/>
  <c r="B749" i="15"/>
  <c r="A757" i="15" s="1"/>
  <c r="C733" i="15"/>
  <c r="D732" i="15"/>
  <c r="D731" i="15"/>
  <c r="B731" i="15"/>
  <c r="A739" i="15" s="1"/>
  <c r="D715" i="15"/>
  <c r="C715" i="15"/>
  <c r="B715" i="15"/>
  <c r="D713" i="15"/>
  <c r="B713" i="15"/>
  <c r="A721" i="15" s="1"/>
  <c r="D628" i="15"/>
  <c r="B751" i="15"/>
  <c r="D627" i="15"/>
  <c r="C749" i="15"/>
  <c r="H300" i="15"/>
  <c r="H299" i="15"/>
  <c r="H301" i="15" s="1"/>
  <c r="D403" i="15"/>
  <c r="D385" i="15"/>
  <c r="D367" i="15"/>
  <c r="D366" i="15"/>
  <c r="H29" i="3"/>
  <c r="G29" i="3"/>
  <c r="F29" i="3"/>
  <c r="H21" i="3"/>
  <c r="H22" i="3" s="1"/>
  <c r="G21" i="3"/>
  <c r="G22" i="3" s="1"/>
  <c r="F21" i="3"/>
  <c r="F22" i="3" s="1"/>
  <c r="H20" i="3"/>
  <c r="G20" i="3"/>
  <c r="F20" i="3"/>
  <c r="D1172" i="15" l="1"/>
  <c r="C1255" i="15"/>
  <c r="D1203" i="15"/>
  <c r="D1210" i="15" s="1"/>
  <c r="C1148" i="15"/>
  <c r="D1229" i="15"/>
  <c r="D1236" i="15" s="1"/>
  <c r="C1229" i="15"/>
  <c r="D1250" i="15"/>
  <c r="D1198" i="15"/>
  <c r="C1138" i="15"/>
  <c r="D1177" i="15"/>
  <c r="C1177" i="15"/>
  <c r="C1184" i="15" s="1"/>
  <c r="D1077" i="15"/>
  <c r="D1127" i="15"/>
  <c r="C1072" i="15"/>
  <c r="G1110" i="15"/>
  <c r="D1148" i="15"/>
  <c r="C1127" i="15"/>
  <c r="C1133" i="15"/>
  <c r="D1133" i="15"/>
  <c r="B45" i="22"/>
  <c r="C1064" i="15"/>
  <c r="C1135" i="15"/>
  <c r="B6" i="22"/>
  <c r="D1036" i="15"/>
  <c r="D1037" i="15" s="1"/>
  <c r="D1038" i="15" s="1"/>
  <c r="M367" i="15"/>
  <c r="I750" i="15"/>
  <c r="D1044" i="15"/>
  <c r="D1045" i="15" s="1"/>
  <c r="D1046" i="15" s="1"/>
  <c r="C1077" i="15"/>
  <c r="B15" i="22"/>
  <c r="C1044" i="15"/>
  <c r="C1045" i="15" s="1"/>
  <c r="C1046" i="15" s="1"/>
  <c r="G857" i="15"/>
  <c r="D917" i="15" s="1"/>
  <c r="B19" i="22"/>
  <c r="B20" i="22" s="1"/>
  <c r="D848" i="15"/>
  <c r="G856" i="15"/>
  <c r="B30" i="22"/>
  <c r="D880" i="15"/>
  <c r="E838" i="15"/>
  <c r="D879" i="15"/>
  <c r="F900" i="15"/>
  <c r="B10" i="22"/>
  <c r="B11" i="22" s="1"/>
  <c r="G282" i="15"/>
  <c r="D418" i="15" s="1"/>
  <c r="D928" i="15"/>
  <c r="E261" i="15"/>
  <c r="E833" i="15"/>
  <c r="D927" i="15"/>
  <c r="E610" i="15"/>
  <c r="G854" i="15"/>
  <c r="L856" i="15" s="1"/>
  <c r="H854" i="15"/>
  <c r="F715" i="15"/>
  <c r="I715" i="15" s="1"/>
  <c r="M749" i="15"/>
  <c r="D274" i="15"/>
  <c r="M368" i="15"/>
  <c r="D849" i="15"/>
  <c r="I732" i="15"/>
  <c r="J732" i="15" s="1"/>
  <c r="E837" i="15"/>
  <c r="M855" i="15"/>
  <c r="M856" i="15"/>
  <c r="K855" i="15"/>
  <c r="E839" i="15"/>
  <c r="E857" i="15"/>
  <c r="G385" i="15"/>
  <c r="C393" i="15" s="1"/>
  <c r="M714" i="15"/>
  <c r="E841" i="15"/>
  <c r="F855" i="15"/>
  <c r="I855" i="15" s="1"/>
  <c r="D865" i="15"/>
  <c r="E834" i="15"/>
  <c r="E836" i="15"/>
  <c r="F854" i="15"/>
  <c r="D864" i="15" s="1"/>
  <c r="D873" i="15"/>
  <c r="J281" i="15"/>
  <c r="F714" i="15"/>
  <c r="I714" i="15" s="1"/>
  <c r="D809" i="15"/>
  <c r="A693" i="15"/>
  <c r="M628" i="15"/>
  <c r="F647" i="15"/>
  <c r="G647" i="15" s="1"/>
  <c r="H731" i="15"/>
  <c r="J731" i="15" s="1"/>
  <c r="L403" i="15"/>
  <c r="H627" i="15"/>
  <c r="F646" i="15"/>
  <c r="F648" i="15" s="1"/>
  <c r="K714" i="15"/>
  <c r="C722" i="15"/>
  <c r="F722" i="15" s="1"/>
  <c r="H367" i="15"/>
  <c r="E405" i="15"/>
  <c r="G627" i="15"/>
  <c r="C656" i="15" s="1"/>
  <c r="D655" i="15" s="1"/>
  <c r="G628" i="15"/>
  <c r="K628" i="15" s="1"/>
  <c r="H714" i="15"/>
  <c r="G731" i="15"/>
  <c r="C739" i="15" s="1"/>
  <c r="D358" i="15"/>
  <c r="G280" i="15"/>
  <c r="K279" i="15" s="1"/>
  <c r="M627" i="15"/>
  <c r="F749" i="15"/>
  <c r="H403" i="15"/>
  <c r="J403" i="15" s="1"/>
  <c r="G749" i="15"/>
  <c r="L749" i="15" s="1"/>
  <c r="K403" i="15"/>
  <c r="E648" i="15"/>
  <c r="H751" i="15"/>
  <c r="J751" i="15" s="1"/>
  <c r="A772" i="15"/>
  <c r="M403" i="15"/>
  <c r="A674" i="15"/>
  <c r="M731" i="15"/>
  <c r="M750" i="15"/>
  <c r="M751" i="15"/>
  <c r="E752" i="15"/>
  <c r="H385" i="15"/>
  <c r="J385" i="15" s="1"/>
  <c r="F628" i="15"/>
  <c r="I628" i="15" s="1"/>
  <c r="J628" i="15" s="1"/>
  <c r="M732" i="15"/>
  <c r="F750" i="15"/>
  <c r="H752" i="15"/>
  <c r="M404" i="15"/>
  <c r="H280" i="15"/>
  <c r="M366" i="15"/>
  <c r="H405" i="15"/>
  <c r="A422" i="15"/>
  <c r="H368" i="15"/>
  <c r="H386" i="15"/>
  <c r="J386" i="15" s="1"/>
  <c r="H366" i="15"/>
  <c r="H384" i="15"/>
  <c r="J384" i="15" s="1"/>
  <c r="G402" i="15"/>
  <c r="K402" i="15" s="1"/>
  <c r="H402" i="15"/>
  <c r="J402" i="15" s="1"/>
  <c r="C411" i="15"/>
  <c r="M280" i="15"/>
  <c r="D341" i="15"/>
  <c r="F404" i="15"/>
  <c r="A426" i="15"/>
  <c r="E1096" i="15"/>
  <c r="B281" i="15"/>
  <c r="A310" i="15" s="1"/>
  <c r="B300" i="15"/>
  <c r="B404" i="15"/>
  <c r="B368" i="15"/>
  <c r="B386" i="15"/>
  <c r="D241" i="15"/>
  <c r="I145" i="15"/>
  <c r="H145" i="15"/>
  <c r="M145" i="15"/>
  <c r="J145" i="15"/>
  <c r="H387" i="15"/>
  <c r="F384" i="15"/>
  <c r="E387" i="15"/>
  <c r="M384" i="15"/>
  <c r="G384" i="15"/>
  <c r="D459" i="15"/>
  <c r="G733" i="15"/>
  <c r="F733" i="15"/>
  <c r="D806" i="15"/>
  <c r="B279" i="15"/>
  <c r="B384" i="15"/>
  <c r="A392" i="15" s="1"/>
  <c r="B366" i="15"/>
  <c r="A374" i="15" s="1"/>
  <c r="B402" i="15"/>
  <c r="A410" i="15" s="1"/>
  <c r="D221" i="15"/>
  <c r="D223" i="15" s="1"/>
  <c r="D219" i="15"/>
  <c r="I856" i="15"/>
  <c r="F30" i="3"/>
  <c r="D240" i="15"/>
  <c r="G386" i="15"/>
  <c r="F386" i="15"/>
  <c r="M386" i="15"/>
  <c r="D449" i="15"/>
  <c r="D323" i="15"/>
  <c r="H282" i="15"/>
  <c r="D335" i="15" s="1"/>
  <c r="D359" i="15"/>
  <c r="F279" i="15"/>
  <c r="I279" i="15" s="1"/>
  <c r="E282" i="15"/>
  <c r="H279" i="15"/>
  <c r="M279" i="15"/>
  <c r="F31" i="3"/>
  <c r="F33" i="3" s="1"/>
  <c r="J492" i="15"/>
  <c r="E241" i="15"/>
  <c r="A179" i="15"/>
  <c r="A198" i="15"/>
  <c r="A221" i="15"/>
  <c r="E242" i="15"/>
  <c r="A217" i="15"/>
  <c r="A194" i="15"/>
  <c r="E151" i="15"/>
  <c r="D154" i="15"/>
  <c r="D153" i="15"/>
  <c r="E154" i="15" s="1"/>
  <c r="K164" i="15"/>
  <c r="G281" i="15"/>
  <c r="K281" i="15" s="1"/>
  <c r="M281" i="15"/>
  <c r="F281" i="15"/>
  <c r="C839" i="15"/>
  <c r="C475" i="15"/>
  <c r="C611" i="15"/>
  <c r="C128" i="15"/>
  <c r="E993" i="15"/>
  <c r="H993" i="15"/>
  <c r="I993" i="15" s="1"/>
  <c r="D714" i="15"/>
  <c r="D733" i="15"/>
  <c r="B854" i="15"/>
  <c r="B8" i="15"/>
  <c r="B7" i="15"/>
  <c r="F145" i="15"/>
  <c r="G145" i="15"/>
  <c r="C181" i="15" s="1"/>
  <c r="E153" i="15"/>
  <c r="D192" i="15"/>
  <c r="E243" i="15"/>
  <c r="D204" i="15"/>
  <c r="D137" i="15"/>
  <c r="F1022" i="15"/>
  <c r="F1024" i="15"/>
  <c r="B627" i="15"/>
  <c r="E791" i="15" s="1"/>
  <c r="B732" i="15"/>
  <c r="A740" i="15" s="1"/>
  <c r="B714" i="15"/>
  <c r="A722" i="15" s="1"/>
  <c r="D750" i="15"/>
  <c r="C854" i="15"/>
  <c r="M144" i="15"/>
  <c r="F144" i="15"/>
  <c r="I144" i="15" s="1"/>
  <c r="J144" i="15" s="1"/>
  <c r="D212" i="15"/>
  <c r="C264" i="15"/>
  <c r="F518" i="15"/>
  <c r="H1088" i="15"/>
  <c r="E1088" i="15"/>
  <c r="B855" i="15"/>
  <c r="D855" i="15"/>
  <c r="D505" i="15"/>
  <c r="D587" i="15"/>
  <c r="D498" i="15"/>
  <c r="D585" i="15"/>
  <c r="D546" i="15"/>
  <c r="D569" i="15"/>
  <c r="D542" i="15"/>
  <c r="D565" i="15"/>
  <c r="B899" i="15"/>
  <c r="D138" i="15"/>
  <c r="D239" i="15" s="1"/>
  <c r="C180" i="15"/>
  <c r="K144" i="15"/>
  <c r="L144" i="15"/>
  <c r="F163" i="15"/>
  <c r="F165" i="15" s="1"/>
  <c r="H493" i="15"/>
  <c r="D553" i="15" s="1"/>
  <c r="G490" i="15"/>
  <c r="F490" i="15"/>
  <c r="D541" i="15"/>
  <c r="H490" i="15"/>
  <c r="E493" i="15"/>
  <c r="D697" i="15"/>
  <c r="H655" i="15"/>
  <c r="D660" i="15" s="1"/>
  <c r="E991" i="15"/>
  <c r="H991" i="15"/>
  <c r="I991" i="15" s="1"/>
  <c r="C836" i="15"/>
  <c r="C608" i="15"/>
  <c r="F418" i="15"/>
  <c r="D270" i="15"/>
  <c r="E265" i="15"/>
  <c r="E260" i="15"/>
  <c r="D343" i="15"/>
  <c r="E263" i="15"/>
  <c r="D273" i="15"/>
  <c r="D1241" i="15"/>
  <c r="D883" i="15"/>
  <c r="D881" i="15"/>
  <c r="F230" i="15"/>
  <c r="E127" i="15"/>
  <c r="D214" i="15"/>
  <c r="D229" i="15"/>
  <c r="E125" i="15"/>
  <c r="F143" i="15"/>
  <c r="E262" i="15"/>
  <c r="D294" i="15"/>
  <c r="F299" i="15"/>
  <c r="D562" i="15"/>
  <c r="D560" i="15"/>
  <c r="D803" i="15"/>
  <c r="E716" i="15"/>
  <c r="H713" i="15"/>
  <c r="G713" i="15"/>
  <c r="M713" i="15"/>
  <c r="H716" i="15"/>
  <c r="F713" i="15"/>
  <c r="I713" i="15" s="1"/>
  <c r="C713" i="15"/>
  <c r="C731" i="15"/>
  <c r="D194" i="15"/>
  <c r="E146" i="15"/>
  <c r="D230" i="15"/>
  <c r="C261" i="15"/>
  <c r="E264" i="15"/>
  <c r="F300" i="15"/>
  <c r="K512" i="15"/>
  <c r="D519" i="15" s="1"/>
  <c r="E611" i="15"/>
  <c r="F765" i="15"/>
  <c r="D690" i="15"/>
  <c r="E613" i="15"/>
  <c r="E608" i="15"/>
  <c r="E606" i="15"/>
  <c r="D705" i="15"/>
  <c r="D617" i="15"/>
  <c r="E612" i="15"/>
  <c r="E607" i="15"/>
  <c r="E609" i="15"/>
  <c r="E605" i="15"/>
  <c r="G629" i="15"/>
  <c r="H715" i="15"/>
  <c r="M715" i="15"/>
  <c r="E757" i="15"/>
  <c r="K899" i="15"/>
  <c r="I1091" i="15"/>
  <c r="B733" i="15"/>
  <c r="H648" i="15"/>
  <c r="E128" i="15"/>
  <c r="G143" i="15"/>
  <c r="F171" i="15"/>
  <c r="E259" i="15"/>
  <c r="E266" i="15"/>
  <c r="D320" i="15"/>
  <c r="D321" i="15" s="1"/>
  <c r="H404" i="15"/>
  <c r="J404" i="15" s="1"/>
  <c r="A428" i="15"/>
  <c r="G646" i="15"/>
  <c r="G648" i="15" s="1"/>
  <c r="I749" i="15"/>
  <c r="H749" i="15"/>
  <c r="I280" i="15"/>
  <c r="E392" i="15"/>
  <c r="D688" i="15"/>
  <c r="D689" i="15" s="1"/>
  <c r="D620" i="15"/>
  <c r="D621" i="15"/>
  <c r="D796" i="15"/>
  <c r="F626" i="15"/>
  <c r="D670" i="15"/>
  <c r="H629" i="15"/>
  <c r="D682" i="15" s="1"/>
  <c r="H626" i="15"/>
  <c r="D641" i="15"/>
  <c r="E629" i="15"/>
  <c r="M626" i="15"/>
  <c r="F723" i="15"/>
  <c r="E722" i="15"/>
  <c r="D333" i="15"/>
  <c r="F412" i="15"/>
  <c r="E411" i="15"/>
  <c r="D550" i="15"/>
  <c r="D549" i="15"/>
  <c r="M490" i="15"/>
  <c r="C527" i="15"/>
  <c r="D680" i="15"/>
  <c r="G732" i="15"/>
  <c r="H734" i="15"/>
  <c r="C1036" i="15"/>
  <c r="C1037" i="15" s="1"/>
  <c r="C1038" i="15" s="1"/>
  <c r="C1140" i="15"/>
  <c r="E369" i="15"/>
  <c r="H369" i="15"/>
  <c r="I405" i="15"/>
  <c r="M491" i="15"/>
  <c r="J491" i="15"/>
  <c r="K491" i="15"/>
  <c r="H528" i="15"/>
  <c r="G527" i="15"/>
  <c r="F528" i="15"/>
  <c r="E527" i="15"/>
  <c r="I627" i="15"/>
  <c r="D706" i="15"/>
  <c r="I734" i="15"/>
  <c r="F734" i="15"/>
  <c r="G734" i="15" s="1"/>
  <c r="G899" i="15"/>
  <c r="G901" i="15" s="1"/>
  <c r="K901" i="15" s="1"/>
  <c r="E990" i="15"/>
  <c r="H990" i="15"/>
  <c r="I990" i="15" s="1"/>
  <c r="E1022" i="15"/>
  <c r="G1020" i="15"/>
  <c r="E1024" i="15"/>
  <c r="F403" i="15"/>
  <c r="F405" i="15" s="1"/>
  <c r="G405" i="15" s="1"/>
  <c r="E792" i="15"/>
  <c r="A670" i="15"/>
  <c r="A655" i="15"/>
  <c r="E734" i="15"/>
  <c r="I752" i="15"/>
  <c r="F752" i="15"/>
  <c r="G752" i="15" s="1"/>
  <c r="A565" i="15"/>
  <c r="A542" i="15"/>
  <c r="M492" i="15"/>
  <c r="A527" i="15"/>
  <c r="A541" i="15"/>
  <c r="D666" i="15"/>
  <c r="M733" i="15"/>
  <c r="H1081" i="15"/>
  <c r="E1081" i="15"/>
  <c r="H492" i="15"/>
  <c r="G493" i="15"/>
  <c r="D518" i="15" s="1"/>
  <c r="F577" i="15"/>
  <c r="L855" i="15"/>
  <c r="K900" i="15"/>
  <c r="C940" i="15"/>
  <c r="C941" i="15" s="1"/>
  <c r="M385" i="15"/>
  <c r="M402" i="15"/>
  <c r="D462" i="15"/>
  <c r="I492" i="15"/>
  <c r="D561" i="15"/>
  <c r="A569" i="15"/>
  <c r="E589" i="15"/>
  <c r="D787" i="15"/>
  <c r="G751" i="15"/>
  <c r="A770" i="15"/>
  <c r="D863" i="15"/>
  <c r="M854" i="15"/>
  <c r="H1085" i="15"/>
  <c r="E1085" i="15"/>
  <c r="H1093" i="15"/>
  <c r="E1093" i="15"/>
  <c r="F1120" i="15"/>
  <c r="F1118" i="15"/>
  <c r="G1118" i="15" s="1"/>
  <c r="L714" i="15"/>
  <c r="H733" i="15"/>
  <c r="J733" i="15" s="1"/>
  <c r="C983" i="15"/>
  <c r="E989" i="15"/>
  <c r="H989" i="15"/>
  <c r="I989" i="15" s="1"/>
  <c r="H992" i="15"/>
  <c r="I992" i="15" s="1"/>
  <c r="I995" i="15"/>
  <c r="H1080" i="15"/>
  <c r="E1080" i="15"/>
  <c r="I1082" i="15"/>
  <c r="I1090" i="15"/>
  <c r="J750" i="15"/>
  <c r="H856" i="15"/>
  <c r="H988" i="15"/>
  <c r="I988" i="15" s="1"/>
  <c r="I1087" i="15"/>
  <c r="E1120" i="15"/>
  <c r="G1116" i="15"/>
  <c r="D1184" i="15"/>
  <c r="D1212" i="15"/>
  <c r="D1213" i="15" s="1"/>
  <c r="E840" i="15"/>
  <c r="D845" i="15"/>
  <c r="H855" i="15"/>
  <c r="D875" i="15"/>
  <c r="F946" i="15"/>
  <c r="D946" i="15"/>
  <c r="I1083" i="15"/>
  <c r="C1236" i="15"/>
  <c r="D1262" i="15"/>
  <c r="A775" i="15"/>
  <c r="D885" i="15"/>
  <c r="D884" i="15"/>
  <c r="E835" i="15"/>
  <c r="D926" i="15"/>
  <c r="D893" i="15"/>
  <c r="H857" i="15"/>
  <c r="D867" i="15" s="1"/>
  <c r="F899" i="15"/>
  <c r="G900" i="15"/>
  <c r="E946" i="15"/>
  <c r="CK23" i="14" s="1"/>
  <c r="H1084" i="15"/>
  <c r="E1084" i="15"/>
  <c r="I1086" i="15"/>
  <c r="H1089" i="15"/>
  <c r="E1089" i="15"/>
  <c r="E1100" i="15"/>
  <c r="C1139" i="15"/>
  <c r="C1132" i="15"/>
  <c r="D1138" i="15"/>
  <c r="C1262" i="15"/>
  <c r="H1092" i="15"/>
  <c r="E1092" i="15"/>
  <c r="C1134" i="15"/>
  <c r="D1186" i="15"/>
  <c r="D1187" i="15" s="1"/>
  <c r="D1064" i="15"/>
  <c r="D1072" i="15"/>
  <c r="D1154" i="15"/>
  <c r="C1155" i="15" s="1"/>
  <c r="C1156" i="15"/>
  <c r="C1152" i="15"/>
  <c r="C1141" i="15" l="1"/>
  <c r="J856" i="15"/>
  <c r="H722" i="15"/>
  <c r="B32" i="22"/>
  <c r="B46" i="22" s="1"/>
  <c r="I854" i="15"/>
  <c r="J854" i="15" s="1"/>
  <c r="J280" i="15"/>
  <c r="E655" i="15"/>
  <c r="G655" i="15" s="1"/>
  <c r="L854" i="15"/>
  <c r="F857" i="15"/>
  <c r="D930" i="15" s="1"/>
  <c r="K854" i="15"/>
  <c r="I857" i="15"/>
  <c r="J857" i="15" s="1"/>
  <c r="K856" i="15"/>
  <c r="D892" i="15"/>
  <c r="D894" i="15" s="1"/>
  <c r="D929" i="15" s="1"/>
  <c r="D441" i="15"/>
  <c r="K733" i="15"/>
  <c r="E721" i="15"/>
  <c r="D722" i="15"/>
  <c r="C309" i="15"/>
  <c r="F308" i="15" s="1"/>
  <c r="J714" i="15"/>
  <c r="J627" i="15"/>
  <c r="D442" i="15"/>
  <c r="D876" i="15"/>
  <c r="D874" i="15"/>
  <c r="L402" i="15"/>
  <c r="D360" i="15"/>
  <c r="J749" i="15"/>
  <c r="L279" i="15"/>
  <c r="K404" i="15"/>
  <c r="G411" i="15"/>
  <c r="L731" i="15"/>
  <c r="L404" i="15"/>
  <c r="K731" i="15"/>
  <c r="G722" i="15"/>
  <c r="J713" i="15"/>
  <c r="K749" i="15"/>
  <c r="K751" i="15"/>
  <c r="C410" i="15"/>
  <c r="G412" i="15" s="1"/>
  <c r="F655" i="15"/>
  <c r="D636" i="15"/>
  <c r="L280" i="15"/>
  <c r="C757" i="15"/>
  <c r="G757" i="15" s="1"/>
  <c r="L628" i="15"/>
  <c r="K280" i="15"/>
  <c r="L281" i="15"/>
  <c r="K627" i="15"/>
  <c r="K626" i="15"/>
  <c r="L626" i="15"/>
  <c r="D707" i="15"/>
  <c r="C657" i="15"/>
  <c r="C660" i="15" s="1"/>
  <c r="L627" i="15"/>
  <c r="H656" i="15"/>
  <c r="D659" i="15" s="1"/>
  <c r="D332" i="15"/>
  <c r="D344" i="15"/>
  <c r="D342" i="15"/>
  <c r="F411" i="15"/>
  <c r="D411" i="15"/>
  <c r="E410" i="15"/>
  <c r="J279" i="15"/>
  <c r="D351" i="15"/>
  <c r="D347" i="15"/>
  <c r="D324" i="15"/>
  <c r="D325" i="15" s="1"/>
  <c r="D331" i="15" s="1"/>
  <c r="D328" i="15"/>
  <c r="L490" i="15"/>
  <c r="K490" i="15"/>
  <c r="K492" i="15"/>
  <c r="C526" i="15"/>
  <c r="L492" i="15"/>
  <c r="F387" i="15"/>
  <c r="G387" i="15" s="1"/>
  <c r="I387" i="15"/>
  <c r="D231" i="15"/>
  <c r="B856" i="15"/>
  <c r="D856" i="15"/>
  <c r="F917" i="15" s="1"/>
  <c r="C856" i="15"/>
  <c r="B900" i="15"/>
  <c r="D1189" i="15"/>
  <c r="G1120" i="15"/>
  <c r="D866" i="15"/>
  <c r="D870" i="15" s="1"/>
  <c r="D871" i="15" s="1"/>
  <c r="D872" i="15" s="1"/>
  <c r="B951" i="15"/>
  <c r="C23" i="14" s="1"/>
  <c r="D521" i="15"/>
  <c r="A698" i="15"/>
  <c r="A675" i="15"/>
  <c r="A671" i="15"/>
  <c r="A694" i="15"/>
  <c r="A656" i="15"/>
  <c r="E790" i="15"/>
  <c r="A878" i="15"/>
  <c r="A883" i="15"/>
  <c r="C404" i="15"/>
  <c r="C281" i="15"/>
  <c r="C368" i="15"/>
  <c r="C386" i="15"/>
  <c r="B51" i="22"/>
  <c r="B48" i="22"/>
  <c r="B54" i="22" s="1"/>
  <c r="B47" i="22"/>
  <c r="B53" i="22"/>
  <c r="B52" i="22"/>
  <c r="B949" i="15"/>
  <c r="C20" i="14" s="1"/>
  <c r="D215" i="15"/>
  <c r="D213" i="15"/>
  <c r="E213" i="15" s="1"/>
  <c r="C1161" i="15"/>
  <c r="D1159" i="15"/>
  <c r="C1153" i="15"/>
  <c r="C1160" i="15"/>
  <c r="I1084" i="15"/>
  <c r="J855" i="15"/>
  <c r="J734" i="15"/>
  <c r="F773" i="15"/>
  <c r="A879" i="15"/>
  <c r="A884" i="15"/>
  <c r="B860" i="15"/>
  <c r="D860" i="15"/>
  <c r="D222" i="15"/>
  <c r="D218" i="15"/>
  <c r="D195" i="15"/>
  <c r="D196" i="15" s="1"/>
  <c r="D199" i="15"/>
  <c r="C741" i="15"/>
  <c r="L733" i="15"/>
  <c r="C533" i="15"/>
  <c r="F527" i="15"/>
  <c r="E526" i="15"/>
  <c r="H527" i="15"/>
  <c r="D527" i="15"/>
  <c r="G526" i="15"/>
  <c r="C1159" i="15"/>
  <c r="B280" i="15"/>
  <c r="E444" i="15" s="1"/>
  <c r="B299" i="15"/>
  <c r="B385" i="15"/>
  <c r="A393" i="15" s="1"/>
  <c r="B403" i="15"/>
  <c r="B367" i="15"/>
  <c r="A375" i="15" s="1"/>
  <c r="I1092" i="15"/>
  <c r="E1102" i="15"/>
  <c r="I1085" i="15"/>
  <c r="D590" i="15"/>
  <c r="D584" i="15" s="1"/>
  <c r="D589" i="15"/>
  <c r="D588" i="15"/>
  <c r="F716" i="15"/>
  <c r="G716" i="15" s="1"/>
  <c r="I716" i="15"/>
  <c r="I1088" i="15"/>
  <c r="E181" i="15"/>
  <c r="H181" i="15"/>
  <c r="D185" i="15" s="1"/>
  <c r="E180" i="15"/>
  <c r="F181" i="15"/>
  <c r="G180" i="15"/>
  <c r="D155" i="15"/>
  <c r="E155" i="15" s="1"/>
  <c r="D327" i="15"/>
  <c r="F282" i="15"/>
  <c r="D453" i="15" s="1"/>
  <c r="I282" i="15"/>
  <c r="J282" i="15" s="1"/>
  <c r="K384" i="15"/>
  <c r="L386" i="15"/>
  <c r="C392" i="15"/>
  <c r="G392" i="15" s="1"/>
  <c r="L384" i="15"/>
  <c r="K386" i="15"/>
  <c r="D281" i="15"/>
  <c r="D404" i="15"/>
  <c r="D386" i="15"/>
  <c r="D368" i="15"/>
  <c r="F368" i="15" s="1"/>
  <c r="K713" i="15"/>
  <c r="C721" i="15"/>
  <c r="L715" i="15"/>
  <c r="L713" i="15"/>
  <c r="K715" i="15"/>
  <c r="D443" i="15"/>
  <c r="D444" i="15"/>
  <c r="D445" i="15"/>
  <c r="A346" i="15"/>
  <c r="A308" i="15"/>
  <c r="A327" i="15"/>
  <c r="A323" i="15"/>
  <c r="A350" i="15"/>
  <c r="E445" i="15"/>
  <c r="B954" i="15"/>
  <c r="C29" i="14" s="1"/>
  <c r="B953" i="15"/>
  <c r="C28" i="14" s="1"/>
  <c r="CK25" i="14"/>
  <c r="D791" i="15"/>
  <c r="D792" i="15"/>
  <c r="D790" i="15"/>
  <c r="B750" i="15"/>
  <c r="A758" i="15" s="1"/>
  <c r="B646" i="15"/>
  <c r="C394" i="15"/>
  <c r="K385" i="15"/>
  <c r="C1136" i="15"/>
  <c r="I1093" i="15"/>
  <c r="D242" i="15"/>
  <c r="G300" i="15"/>
  <c r="C279" i="15"/>
  <c r="C402" i="15"/>
  <c r="C366" i="15"/>
  <c r="F366" i="15" s="1"/>
  <c r="C384" i="15"/>
  <c r="C759" i="15"/>
  <c r="L751" i="15"/>
  <c r="K750" i="15"/>
  <c r="L750" i="15"/>
  <c r="D1264" i="15"/>
  <c r="D1265" i="15" s="1"/>
  <c r="G1024" i="15"/>
  <c r="L385" i="15"/>
  <c r="D1215" i="15"/>
  <c r="I1081" i="15"/>
  <c r="D667" i="15"/>
  <c r="D668" i="15" s="1"/>
  <c r="G1022" i="15"/>
  <c r="K648" i="15"/>
  <c r="J715" i="15"/>
  <c r="D886" i="15"/>
  <c r="D888" i="15" s="1"/>
  <c r="D889" i="15" s="1"/>
  <c r="D890" i="15" s="1"/>
  <c r="D543" i="15"/>
  <c r="C186" i="15"/>
  <c r="H180" i="15"/>
  <c r="E179" i="15"/>
  <c r="F180" i="15"/>
  <c r="D180" i="15"/>
  <c r="D586" i="15"/>
  <c r="C627" i="15"/>
  <c r="C750" i="15"/>
  <c r="C714" i="15"/>
  <c r="C732" i="15"/>
  <c r="F429" i="15"/>
  <c r="J405" i="15"/>
  <c r="I1080" i="15"/>
  <c r="D920" i="15"/>
  <c r="D922" i="15" s="1"/>
  <c r="F901" i="15"/>
  <c r="C1157" i="15"/>
  <c r="I1089" i="15"/>
  <c r="B948" i="15"/>
  <c r="C19" i="14" s="1"/>
  <c r="B950" i="15"/>
  <c r="C21" i="14" s="1"/>
  <c r="J752" i="15"/>
  <c r="F776" i="15"/>
  <c r="K732" i="15"/>
  <c r="C740" i="15"/>
  <c r="L732" i="15"/>
  <c r="D552" i="15"/>
  <c r="I629" i="15"/>
  <c r="J629" i="15" s="1"/>
  <c r="I626" i="15"/>
  <c r="J626" i="15" s="1"/>
  <c r="D674" i="15"/>
  <c r="F629" i="15"/>
  <c r="D679" i="15"/>
  <c r="L145" i="15"/>
  <c r="K143" i="15"/>
  <c r="K145" i="15"/>
  <c r="C179" i="15"/>
  <c r="G179" i="15" s="1"/>
  <c r="L143" i="15"/>
  <c r="D765" i="15"/>
  <c r="D788" i="15" s="1"/>
  <c r="F301" i="15"/>
  <c r="D198" i="15"/>
  <c r="I146" i="15"/>
  <c r="J146" i="15" s="1"/>
  <c r="I143" i="15"/>
  <c r="J143" i="15" s="1"/>
  <c r="D203" i="15"/>
  <c r="D205" i="15" s="1"/>
  <c r="D243" i="15" s="1"/>
  <c r="D237" i="15" s="1"/>
  <c r="F146" i="15"/>
  <c r="G299" i="15"/>
  <c r="I493" i="15"/>
  <c r="J493" i="15" s="1"/>
  <c r="D545" i="15"/>
  <c r="D547" i="15" s="1"/>
  <c r="F493" i="15"/>
  <c r="I490" i="15"/>
  <c r="J490" i="15" s="1"/>
  <c r="C310" i="15"/>
  <c r="C1162" i="15" l="1"/>
  <c r="D309" i="15"/>
  <c r="E308" i="15"/>
  <c r="G308" i="15" s="1"/>
  <c r="D308" i="15"/>
  <c r="D635" i="15"/>
  <c r="E635" i="15" s="1"/>
  <c r="G410" i="15"/>
  <c r="D412" i="15"/>
  <c r="E443" i="15"/>
  <c r="D757" i="15"/>
  <c r="D759" i="15"/>
  <c r="D334" i="15"/>
  <c r="D338" i="15" s="1"/>
  <c r="D339" i="15" s="1"/>
  <c r="D340" i="15" s="1"/>
  <c r="F757" i="15"/>
  <c r="F410" i="15"/>
  <c r="D410" i="15"/>
  <c r="C659" i="15"/>
  <c r="C661" i="15"/>
  <c r="D784" i="15" s="1"/>
  <c r="E656" i="15"/>
  <c r="G656" i="15" s="1"/>
  <c r="D656" i="15"/>
  <c r="D657" i="15"/>
  <c r="F656" i="15"/>
  <c r="E657" i="15"/>
  <c r="G657" i="15" s="1"/>
  <c r="H657" i="15"/>
  <c r="C662" i="15"/>
  <c r="F657" i="15"/>
  <c r="D661" i="15"/>
  <c r="D439" i="15"/>
  <c r="D447" i="15" s="1"/>
  <c r="C315" i="15"/>
  <c r="F309" i="15"/>
  <c r="D694" i="15"/>
  <c r="D695" i="15" s="1"/>
  <c r="D671" i="15"/>
  <c r="D672" i="15" s="1"/>
  <c r="D678" i="15" s="1"/>
  <c r="D681" i="15" s="1"/>
  <c r="D698" i="15"/>
  <c r="D699" i="15" s="1"/>
  <c r="D675" i="15"/>
  <c r="D766" i="15"/>
  <c r="D767" i="15" s="1"/>
  <c r="G366" i="15"/>
  <c r="I366" i="15"/>
  <c r="F426" i="15"/>
  <c r="J387" i="15"/>
  <c r="D200" i="15"/>
  <c r="D572" i="15"/>
  <c r="D573" i="15" s="1"/>
  <c r="D574" i="15" s="1"/>
  <c r="D495" i="15" s="1"/>
  <c r="D556" i="15"/>
  <c r="D557" i="15" s="1"/>
  <c r="D558" i="15" s="1"/>
  <c r="D1267" i="15"/>
  <c r="G181" i="15"/>
  <c r="C280" i="15"/>
  <c r="C403" i="15"/>
  <c r="C367" i="15"/>
  <c r="F367" i="15" s="1"/>
  <c r="F369" i="15" s="1"/>
  <c r="G369" i="15" s="1"/>
  <c r="C385" i="15"/>
  <c r="F741" i="15"/>
  <c r="E740" i="15"/>
  <c r="G740" i="15" s="1"/>
  <c r="E741" i="15"/>
  <c r="G741" i="15" s="1"/>
  <c r="D741" i="15"/>
  <c r="G368" i="15"/>
  <c r="I368" i="15"/>
  <c r="H757" i="15"/>
  <c r="D451" i="15"/>
  <c r="D346" i="15"/>
  <c r="D532" i="15"/>
  <c r="G301" i="15"/>
  <c r="K301" i="15" s="1"/>
  <c r="H740" i="15"/>
  <c r="F740" i="15"/>
  <c r="D740" i="15"/>
  <c r="E739" i="15"/>
  <c r="G739" i="15" s="1"/>
  <c r="H739" i="15"/>
  <c r="F739" i="15"/>
  <c r="D739" i="15"/>
  <c r="I1094" i="15"/>
  <c r="C313" i="15"/>
  <c r="F526" i="15"/>
  <c r="D526" i="15"/>
  <c r="F706" i="15" s="1"/>
  <c r="C531" i="15"/>
  <c r="C532" i="15"/>
  <c r="H526" i="15"/>
  <c r="D531" i="15" s="1"/>
  <c r="C530" i="15"/>
  <c r="D528" i="15"/>
  <c r="G528" i="15"/>
  <c r="D181" i="15"/>
  <c r="H179" i="15"/>
  <c r="F179" i="15"/>
  <c r="D152" i="15" s="1"/>
  <c r="C185" i="15"/>
  <c r="C183" i="15"/>
  <c r="D235" i="15" s="1"/>
  <c r="C184" i="15"/>
  <c r="D179" i="15"/>
  <c r="D251" i="15"/>
  <c r="D249" i="15"/>
  <c r="D247" i="15"/>
  <c r="D245" i="15"/>
  <c r="F770" i="15"/>
  <c r="J716" i="15"/>
  <c r="D798" i="15"/>
  <c r="D800" i="15"/>
  <c r="D789" i="15"/>
  <c r="D786" i="15" s="1"/>
  <c r="D794" i="15" s="1"/>
  <c r="F394" i="15"/>
  <c r="E393" i="15"/>
  <c r="G393" i="15" s="1"/>
  <c r="E394" i="15"/>
  <c r="G394" i="15" s="1"/>
  <c r="D393" i="15"/>
  <c r="H393" i="15"/>
  <c r="F393" i="15"/>
  <c r="D721" i="15"/>
  <c r="F721" i="15"/>
  <c r="H721" i="15"/>
  <c r="C725" i="15" s="1"/>
  <c r="D723" i="15"/>
  <c r="G723" i="15"/>
  <c r="G721" i="15"/>
  <c r="D329" i="15"/>
  <c r="A351" i="15"/>
  <c r="A309" i="15"/>
  <c r="A347" i="15"/>
  <c r="A324" i="15"/>
  <c r="A328" i="15"/>
  <c r="H308" i="15"/>
  <c r="D313" i="15" s="1"/>
  <c r="D184" i="15"/>
  <c r="D183" i="15"/>
  <c r="F392" i="15"/>
  <c r="D392" i="15"/>
  <c r="D394" i="15"/>
  <c r="H392" i="15"/>
  <c r="A411" i="15"/>
  <c r="H411" i="15"/>
  <c r="D596" i="15"/>
  <c r="D598" i="15"/>
  <c r="D592" i="15"/>
  <c r="D594" i="15"/>
  <c r="E309" i="15"/>
  <c r="H309" i="15" s="1"/>
  <c r="F310" i="15"/>
  <c r="E310" i="15"/>
  <c r="G310" i="15" s="1"/>
  <c r="D310" i="15"/>
  <c r="C314" i="15"/>
  <c r="C312" i="15"/>
  <c r="D209" i="15"/>
  <c r="D210" i="15" s="1"/>
  <c r="D211" i="15" s="1"/>
  <c r="D225" i="15"/>
  <c r="D226" i="15" s="1"/>
  <c r="D227" i="15" s="1"/>
  <c r="D676" i="15"/>
  <c r="H410" i="15"/>
  <c r="E759" i="15"/>
  <c r="G759" i="15" s="1"/>
  <c r="F759" i="15"/>
  <c r="E758" i="15"/>
  <c r="G758" i="15" s="1"/>
  <c r="D758" i="15"/>
  <c r="H758" i="15"/>
  <c r="C761" i="15" s="1"/>
  <c r="F758" i="15"/>
  <c r="D289" i="15"/>
  <c r="D288" i="15"/>
  <c r="A880" i="15"/>
  <c r="B861" i="15"/>
  <c r="B859" i="15"/>
  <c r="D859" i="15"/>
  <c r="D861" i="15"/>
  <c r="A885" i="15"/>
  <c r="D354" i="15" l="1"/>
  <c r="D355" i="15" s="1"/>
  <c r="D356" i="15" s="1"/>
  <c r="D284" i="15" s="1"/>
  <c r="D637" i="15"/>
  <c r="C743" i="15"/>
  <c r="C396" i="15"/>
  <c r="E152" i="15"/>
  <c r="E156" i="15"/>
  <c r="D530" i="15"/>
  <c r="D780" i="15"/>
  <c r="D500" i="15"/>
  <c r="D499" i="15"/>
  <c r="D350" i="15"/>
  <c r="D352" i="15" s="1"/>
  <c r="D348" i="15"/>
  <c r="J366" i="15"/>
  <c r="H310" i="15"/>
  <c r="C414" i="15"/>
  <c r="D148" i="15"/>
  <c r="E136" i="15"/>
  <c r="C374" i="15"/>
  <c r="L368" i="15"/>
  <c r="K368" i="15"/>
  <c r="C376" i="15"/>
  <c r="D419" i="15"/>
  <c r="D312" i="15"/>
  <c r="D314" i="15"/>
  <c r="E288" i="15"/>
  <c r="D290" i="15"/>
  <c r="E290" i="15" s="1"/>
  <c r="G309" i="15"/>
  <c r="F359" i="15"/>
  <c r="D685" i="15"/>
  <c r="D686" i="15" s="1"/>
  <c r="D687" i="15" s="1"/>
  <c r="D701" i="15"/>
  <c r="D702" i="15" s="1"/>
  <c r="D703" i="15" s="1"/>
  <c r="D631" i="15" s="1"/>
  <c r="G367" i="15"/>
  <c r="I367" i="15"/>
  <c r="I369" i="15" s="1"/>
  <c r="D437" i="15"/>
  <c r="D582" i="15"/>
  <c r="J368" i="15"/>
  <c r="E637" i="15" l="1"/>
  <c r="D638" i="15"/>
  <c r="E638" i="15" s="1"/>
  <c r="E634" i="15"/>
  <c r="E639" i="15" s="1"/>
  <c r="E636" i="15"/>
  <c r="F423" i="15"/>
  <c r="J369" i="15"/>
  <c r="F376" i="15"/>
  <c r="K367" i="15"/>
  <c r="L367" i="15"/>
  <c r="C375" i="15"/>
  <c r="F374" i="15" s="1"/>
  <c r="D420" i="15"/>
  <c r="E287" i="15"/>
  <c r="E292" i="15" s="1"/>
  <c r="E500" i="15"/>
  <c r="E501" i="15"/>
  <c r="L366" i="15"/>
  <c r="E289" i="15"/>
  <c r="D291" i="15"/>
  <c r="E291" i="15" s="1"/>
  <c r="J367" i="15"/>
  <c r="D376" i="15"/>
  <c r="E376" i="15" s="1"/>
  <c r="G376" i="15" s="1"/>
  <c r="E499" i="15"/>
  <c r="D501" i="15"/>
  <c r="E498" i="15" s="1"/>
  <c r="K366" i="15"/>
  <c r="D433" i="15" l="1"/>
  <c r="D375" i="15"/>
  <c r="E375" i="15" s="1"/>
  <c r="G375" i="15" s="1"/>
  <c r="F375" i="15"/>
  <c r="H375" i="15"/>
  <c r="E374" i="15"/>
  <c r="H374" i="15" s="1"/>
  <c r="D502" i="15"/>
  <c r="E502" i="15" s="1"/>
  <c r="D374" i="15"/>
  <c r="C378" i="15" l="1"/>
  <c r="D456" i="15" s="1"/>
  <c r="G374" i="15"/>
  <c r="E503" i="15"/>
</calcChain>
</file>

<file path=xl/sharedStrings.xml><?xml version="1.0" encoding="utf-8"?>
<sst xmlns="http://schemas.openxmlformats.org/spreadsheetml/2006/main" count="2027" uniqueCount="732">
  <si>
    <t>Salary</t>
  </si>
  <si>
    <t>Monthly</t>
  </si>
  <si>
    <t>+/-</t>
  </si>
  <si>
    <t>Year-to-Date Total</t>
  </si>
  <si>
    <t>Rental Income Worksheet</t>
  </si>
  <si>
    <t>Principal Residence, 2- to 4-unit Property:  Monthly Qualifying Rental Income</t>
  </si>
  <si>
    <t xml:space="preserve">Documentation Required:  </t>
  </si>
  <si>
    <t>Address of Principal Residence:</t>
  </si>
  <si>
    <t>Enter</t>
  </si>
  <si>
    <t xml:space="preserve">Rental Unit                                                        </t>
  </si>
  <si>
    <t>Rental Unit</t>
  </si>
  <si>
    <r>
      <rPr>
        <b/>
        <sz val="10"/>
        <color theme="1"/>
        <rFont val="Calibri"/>
        <charset val="134"/>
      </rPr>
      <t>Step 1</t>
    </r>
    <r>
      <rPr>
        <sz val="10"/>
        <color theme="1"/>
        <rFont val="Calibri"/>
        <charset val="134"/>
      </rPr>
      <t xml:space="preserve">.  When using Schedule E, determine the number of months the property was in service by dividing the Fair Rental Days by 30.  </t>
    </r>
  </si>
  <si>
    <t>If Fair Rental Days are not reported, the property is considered to be in service for 12 months unless there is evidence of a shorter term of service.</t>
  </si>
  <si>
    <r>
      <rPr>
        <b/>
        <sz val="10"/>
        <color rgb="FFC0504D"/>
        <rFont val="Calibri"/>
        <charset val="134"/>
      </rPr>
      <t>Step 1.  Result:</t>
    </r>
    <r>
      <rPr>
        <sz val="10"/>
        <color theme="1"/>
        <rFont val="Calibri"/>
        <charset val="134"/>
      </rPr>
      <t xml:space="preserve">  The number of months the property was in service:</t>
    </r>
  </si>
  <si>
    <t>Result</t>
  </si>
  <si>
    <r>
      <rPr>
        <b/>
        <sz val="10"/>
        <color theme="1"/>
        <rFont val="Calibri"/>
        <charset val="134"/>
      </rPr>
      <t>Step 2</t>
    </r>
    <r>
      <rPr>
        <sz val="10"/>
        <color theme="1"/>
        <rFont val="Calibri"/>
        <charset val="134"/>
      </rPr>
      <t xml:space="preserve">.  Calculate monthly qualifying rental income using Step 2A:  Schedule E </t>
    </r>
    <r>
      <rPr>
        <b/>
        <sz val="10"/>
        <color theme="1"/>
        <rFont val="Calibri"/>
        <charset val="134"/>
      </rPr>
      <t xml:space="preserve">OR </t>
    </r>
    <r>
      <rPr>
        <sz val="10"/>
        <color theme="1"/>
        <rFont val="Calibri"/>
        <charset val="134"/>
      </rPr>
      <t>Step 2B:  Lease Agreement or Fannie Mae Form  1025.</t>
    </r>
  </si>
  <si>
    <r>
      <rPr>
        <b/>
        <sz val="10"/>
        <color theme="1"/>
        <rFont val="Calibri"/>
        <charset val="134"/>
      </rPr>
      <t xml:space="preserve">Step 2 A.   Schedule E - Part I            </t>
    </r>
    <r>
      <rPr>
        <b/>
        <sz val="10"/>
        <color rgb="FFFF0000"/>
        <rFont val="Calibri"/>
        <charset val="134"/>
      </rPr>
      <t>For each property complete ONLY 2A or 2B</t>
    </r>
  </si>
  <si>
    <t>A1</t>
  </si>
  <si>
    <r>
      <rPr>
        <sz val="10"/>
        <color theme="1"/>
        <rFont val="Calibri"/>
        <charset val="134"/>
      </rPr>
      <t xml:space="preserve">Enter total rents received (from the </t>
    </r>
    <r>
      <rPr>
        <b/>
        <sz val="10"/>
        <color theme="1"/>
        <rFont val="Calibri"/>
        <charset val="134"/>
      </rPr>
      <t xml:space="preserve">non-owner-occupied </t>
    </r>
    <r>
      <rPr>
        <sz val="10"/>
        <color theme="1"/>
        <rFont val="Calibri"/>
        <charset val="134"/>
      </rPr>
      <t xml:space="preserve">units). </t>
    </r>
    <r>
      <rPr>
        <i/>
        <sz val="9"/>
        <color theme="1"/>
        <rFont val="Calibri"/>
        <charset val="134"/>
      </rPr>
      <t>May enter rent from individual unit(s) or combine.</t>
    </r>
  </si>
  <si>
    <t>A2</t>
  </si>
  <si>
    <t>Subtract total expenses.</t>
  </si>
  <si>
    <t>Subtract</t>
  </si>
  <si>
    <t>A3</t>
  </si>
  <si>
    <t>Add back insurance expense.</t>
  </si>
  <si>
    <t>Add</t>
  </si>
  <si>
    <t>A4</t>
  </si>
  <si>
    <t xml:space="preserve">Add back mortgage interest paid. </t>
  </si>
  <si>
    <t>A5</t>
  </si>
  <si>
    <t>Add back tax expense.</t>
  </si>
  <si>
    <t>A6</t>
  </si>
  <si>
    <r>
      <rPr>
        <sz val="10"/>
        <color theme="1"/>
        <rFont val="Calibri"/>
        <charset val="134"/>
      </rPr>
      <t xml:space="preserve">Add back homeowners’ association dues.  </t>
    </r>
    <r>
      <rPr>
        <i/>
        <sz val="9"/>
        <color theme="1"/>
        <rFont val="Calibri"/>
        <charset val="134"/>
      </rPr>
      <t>This expense must be specifically identified on Schedule E in order to add it back.</t>
    </r>
  </si>
  <si>
    <t>A7</t>
  </si>
  <si>
    <t xml:space="preserve">Add back depreciation expense or depletion. </t>
  </si>
  <si>
    <t>A8</t>
  </si>
  <si>
    <r>
      <rPr>
        <sz val="10"/>
        <color theme="1"/>
        <rFont val="Calibri"/>
        <charset val="134"/>
      </rPr>
      <t xml:space="preserve">Add back any one-time extraordinary expense (e.g., casualty loss). </t>
    </r>
    <r>
      <rPr>
        <i/>
        <sz val="9"/>
        <color theme="1"/>
        <rFont val="Calibri"/>
        <charset val="134"/>
      </rPr>
      <t>There must be evidence of the nature of the one-time extraordinary expense.</t>
    </r>
  </si>
  <si>
    <t xml:space="preserve">Equals adjusted rental income. </t>
  </si>
  <si>
    <t>Total</t>
  </si>
  <si>
    <t>A9</t>
  </si>
  <si>
    <t xml:space="preserve">Divide by the number of months the property was in service (Step 1 Result). </t>
  </si>
  <si>
    <t>Divide</t>
  </si>
  <si>
    <r>
      <rPr>
        <b/>
        <sz val="10"/>
        <color rgb="FFC0504D"/>
        <rFont val="Calibri"/>
        <charset val="134"/>
      </rPr>
      <t>Step 2A.  Result:</t>
    </r>
    <r>
      <rPr>
        <b/>
        <sz val="10"/>
        <color theme="1"/>
        <rFont val="Calibri"/>
        <charset val="134"/>
      </rPr>
      <t xml:space="preserve">  </t>
    </r>
    <r>
      <rPr>
        <sz val="10"/>
        <color theme="1"/>
        <rFont val="Calibri"/>
        <charset val="134"/>
      </rPr>
      <t>Monthly qualifying rental income (or loss):</t>
    </r>
  </si>
  <si>
    <r>
      <rPr>
        <b/>
        <sz val="10"/>
        <color theme="1"/>
        <rFont val="Calibri"/>
        <charset val="134"/>
      </rPr>
      <t>Step 2B.  Lease Agreement OR Fannie Mae Form 1025</t>
    </r>
    <r>
      <rPr>
        <b/>
        <sz val="10"/>
        <color rgb="FFFF0000"/>
        <rFont val="Calibri"/>
        <charset val="134"/>
      </rPr>
      <t xml:space="preserve">      For each property complete ONLY 2A or 2B</t>
    </r>
  </si>
  <si>
    <r>
      <rPr>
        <sz val="9"/>
        <color theme="1"/>
        <rFont val="Calibri"/>
        <charset val="134"/>
      </rPr>
      <t>This method is used when</t>
    </r>
    <r>
      <rPr>
        <sz val="9"/>
        <color rgb="FF1F497D"/>
        <rFont val="Calibri"/>
        <charset val="134"/>
      </rPr>
      <t xml:space="preserve"> </t>
    </r>
    <r>
      <rPr>
        <sz val="9"/>
        <color theme="1"/>
        <rFont val="Calibri"/>
        <charset val="134"/>
      </rPr>
      <t>the transaction is a purchase, the property was acquired subsequent to the most recent tax filing.</t>
    </r>
  </si>
  <si>
    <t>B1</t>
  </si>
  <si>
    <t>Enter the gross monthly rent (from the lease agreement) or market rent (from Form 1025) for the applicable rental unit</t>
  </si>
  <si>
    <t>B2</t>
  </si>
  <si>
    <r>
      <rPr>
        <sz val="10"/>
        <color theme="1"/>
        <rFont val="Calibri"/>
        <charset val="134"/>
      </rPr>
      <t xml:space="preserve">Multiply gross monthly rent or market rent by 75% (.75).  </t>
    </r>
    <r>
      <rPr>
        <i/>
        <sz val="9"/>
        <color theme="1"/>
        <rFont val="Calibri"/>
        <charset val="134"/>
      </rPr>
      <t xml:space="preserve">The remaining 25% accounts for vacancy loss, maintenance, and management expenses.      </t>
    </r>
  </si>
  <si>
    <t>Multiply</t>
  </si>
  <si>
    <t>x.75</t>
  </si>
  <si>
    <t>Equals monthly rental income per unit</t>
  </si>
  <si>
    <t>B3</t>
  </si>
  <si>
    <t>Combine the monthly rental income of all non-owner-occupied rental units (up to a maximum of 3 rental units since rental income is not eligible on the unit occupied by the borrower).</t>
  </si>
  <si>
    <r>
      <rPr>
        <b/>
        <sz val="10"/>
        <color rgb="FFC0504D"/>
        <rFont val="Calibri"/>
        <charset val="134"/>
      </rPr>
      <t xml:space="preserve">Step 2B.  Result: </t>
    </r>
    <r>
      <rPr>
        <b/>
        <sz val="10"/>
        <color theme="1"/>
        <rFont val="Calibri"/>
        <charset val="134"/>
      </rPr>
      <t xml:space="preserve"> </t>
    </r>
    <r>
      <rPr>
        <sz val="10"/>
        <color theme="1"/>
        <rFont val="Calibri"/>
        <charset val="134"/>
      </rPr>
      <t>Monthly qualifying rental income:</t>
    </r>
  </si>
  <si>
    <r>
      <rPr>
        <b/>
        <sz val="10"/>
        <color theme="1"/>
        <rFont val="Calibri"/>
        <charset val="134"/>
      </rPr>
      <t>Step 3</t>
    </r>
    <r>
      <rPr>
        <sz val="10"/>
        <color theme="1"/>
        <rFont val="Calibri"/>
        <charset val="134"/>
      </rPr>
      <t xml:space="preserve">.  </t>
    </r>
    <r>
      <rPr>
        <b/>
        <sz val="10"/>
        <color theme="1"/>
        <rFont val="Calibri"/>
        <charset val="134"/>
      </rPr>
      <t xml:space="preserve"> Determine the qualifying impact using the combined result of Step 2A or Step 2B.    </t>
    </r>
  </si>
  <si>
    <t>3A</t>
  </si>
  <si>
    <t>Add the monthly qualifying rental income to the borrower’s monthly qualifying income.</t>
  </si>
  <si>
    <t>3B</t>
  </si>
  <si>
    <t>Identify the full amount of the PITIA as the borrower’s primary housing expense 
and include it in the debt-to-income ratio.
Use proposed PITIA when the subject property; existing PITIA when not the subject property.</t>
  </si>
  <si>
    <t>DU Data Entry</t>
  </si>
  <si>
    <t>Monthly Income and Combined Housing Expenses</t>
  </si>
  <si>
    <t>Mortgage Liabilities</t>
  </si>
  <si>
    <t xml:space="preserve">Subject Property </t>
  </si>
  <si>
    <t xml:space="preserve">Enter the amount of the monthly qualifying income “Subject Net Cash.” </t>
  </si>
  <si>
    <t>Include as the borrower’s primary housing expense.  For refinance transactions, identify the mortgage as a subject property lien.</t>
  </si>
  <si>
    <t>Non-Subject Property</t>
  </si>
  <si>
    <t xml:space="preserve">Enter the amount of the monthly qualifying income “Net Rental.”  </t>
  </si>
  <si>
    <t>Include as the borrower’s primary housing expense.</t>
  </si>
  <si>
    <t>Refer to the Rental Income topic in the Selling Guide for additional guidance.</t>
  </si>
  <si>
    <t>Months</t>
  </si>
  <si>
    <t>Income Calculations Worksheet</t>
  </si>
  <si>
    <t>Borrower:</t>
  </si>
  <si>
    <t>Loan #:</t>
  </si>
  <si>
    <t>Document</t>
  </si>
  <si>
    <t>Frequency</t>
  </si>
  <si>
    <t>Earnings</t>
  </si>
  <si>
    <t>Written VOE</t>
  </si>
  <si>
    <t>Date From</t>
  </si>
  <si>
    <t>Date To</t>
  </si>
  <si>
    <t>OVERTIME</t>
  </si>
  <si>
    <t>BONUS</t>
  </si>
  <si>
    <t>COMMISSIONS</t>
  </si>
  <si>
    <t>UNREIMBURSED EMPLOYEE EXPENSES</t>
  </si>
  <si>
    <t>Depreciation</t>
  </si>
  <si>
    <t>Business Miles</t>
  </si>
  <si>
    <t>Average</t>
  </si>
  <si>
    <t>●</t>
  </si>
  <si>
    <t>NOTES</t>
  </si>
  <si>
    <t>This worksheet is not intended to be legal or comprehensive financial advice. The user assumes any legal liability and responsibility</t>
  </si>
  <si>
    <t>for the accuracy, completeness, usefulness, effectiveness, reliability, information and/or results obtained from the use of this worksheet.</t>
  </si>
  <si>
    <t>It is the responsibility of the user to be knowledgeable of the text and data contained in the worksheet, to ensure the accuracy of any</t>
  </si>
  <si>
    <t>documentation used to complete the worksheet, and that contents are in accordance with product, investor and regulatory requirements.</t>
  </si>
  <si>
    <t>Year</t>
  </si>
  <si>
    <t xml:space="preserve"> ~ SELECT BRANCH OF SERVICE ~</t>
  </si>
  <si>
    <t>Paystub</t>
  </si>
  <si>
    <t xml:space="preserve"> Grand Total Monthly Earnings</t>
  </si>
  <si>
    <t>FHA Back to Work Initiative</t>
  </si>
  <si>
    <t>TOTAL HOUSEHOLD EARNINGS AT TIME OF ECONOMIC EVENT</t>
  </si>
  <si>
    <t xml:space="preserve"> Actual Date of Economic Event</t>
  </si>
  <si>
    <t xml:space="preserve"> Borrower's total monthly income at time of economic event</t>
  </si>
  <si>
    <t xml:space="preserve"> Other household monthly income at time of economic event</t>
  </si>
  <si>
    <t xml:space="preserve"> Total Household Monthly Income at time of economic event</t>
  </si>
  <si>
    <t>PERIOD AFTER ECONOMIC EVENT (MINIMUM 6 MONTHS)</t>
  </si>
  <si>
    <t xml:space="preserve"> Date for the six month period after the date of Economic Event</t>
  </si>
  <si>
    <t>Increase / Decrease difference in monthly earnings</t>
  </si>
  <si>
    <t>Required Documentation</t>
  </si>
  <si>
    <t>Loss of Employment</t>
  </si>
  <si>
    <t>Verify with written VOE to show termination date.</t>
  </si>
  <si>
    <t>If employer went out of business, then document with copy of borrowers' severance package letter, other publicly available document that the</t>
  </si>
  <si>
    <t>employer went out of business, and/or receipt of Unemployment income within timeframe.</t>
  </si>
  <si>
    <t>Loss of Income</t>
  </si>
  <si>
    <t>Must verify and ensure proper documentation is provided to reflect what the borrower's household income was prior to the Economic Event.</t>
  </si>
  <si>
    <t>Must verify that either the loss of employment, the loss of income or the loss of both trigerred the Economic Event by documenting the</t>
  </si>
  <si>
    <t>borrower's household income was after the Economic Event was trigerred.</t>
  </si>
  <si>
    <t>Satisfactory Credit BEFORE Economic Event</t>
  </si>
  <si>
    <t>Must verify that borrower(s) had a satisfactory credit history 12 months (minimum) before the Economic Event.</t>
  </si>
  <si>
    <t>Satisfactory Credit AFTER Economic Event</t>
  </si>
  <si>
    <r>
      <rPr>
        <sz val="8"/>
        <rFont val="Arial"/>
        <charset val="134"/>
      </rPr>
      <t xml:space="preserve">Must verify no late payments in the last 12 months </t>
    </r>
    <r>
      <rPr>
        <i/>
        <u/>
        <sz val="8"/>
        <rFont val="Arial"/>
        <charset val="134"/>
      </rPr>
      <t>since</t>
    </r>
    <r>
      <rPr>
        <sz val="8"/>
        <rFont val="Arial"/>
        <charset val="134"/>
      </rPr>
      <t xml:space="preserve"> the Economic Event.</t>
    </r>
  </si>
  <si>
    <t>Borrower's credit history is clear of late housing or installment debt payments and major derogatory credit issues on revolving debts.</t>
  </si>
  <si>
    <t>Any open mortgage is current and shows a 12 month history of satisfactory payments. Mortgage payments brought current through a loan</t>
  </si>
  <si>
    <t>modification is acceptable so long as all payments are documented as being paid on time as per the loan modification agreement.</t>
  </si>
  <si>
    <t>Collections</t>
  </si>
  <si>
    <t>Regardless of the initial AUS findings, if the total outstanding balance of ALL collections for ALL borrowers is &gt; $2,000, the collections to be paid</t>
  </si>
  <si>
    <t>off at closing, or provide verification with a letter from the creditor on their letterhead or a credit supplement that borrower has been in a</t>
  </si>
  <si>
    <t>satisfactory payment plan. Must qualify the borrower with the verified payment amount. If no payment can be verified, qualify the borrower with</t>
  </si>
  <si>
    <t>each collection account using 5% of the balance as the payment.</t>
  </si>
  <si>
    <r>
      <rPr>
        <b/>
        <sz val="8"/>
        <rFont val="Arial"/>
        <charset val="134"/>
      </rPr>
      <t>Note:</t>
    </r>
    <r>
      <rPr>
        <sz val="8"/>
        <rFont val="Arial"/>
        <charset val="134"/>
      </rPr>
      <t xml:space="preserve">  Medical collections and charge-offs are excluded from this policy. This policy includes the collection accounts for non-borrowing spouses</t>
    </r>
  </si>
  <si>
    <t>who live in a community property state. Collection accounts may NOT be paid down to less than $2,000.</t>
  </si>
  <si>
    <t>Judgements</t>
  </si>
  <si>
    <t>Regardless of the initial AUS findings, Judgment(s) must be paid in full through closing of the transaction, or evidence judgment has been</t>
  </si>
  <si>
    <t>satisfactorily paid prior to close, or evidence borrowers are in a payment plan with the following requirements: Provide a copy of the agreement,</t>
  </si>
  <si>
    <t>payment must have been made in a timely manner, and evidence a minimum of 3 months scheduled payments have been made prior to close.</t>
  </si>
  <si>
    <r>
      <rPr>
        <b/>
        <sz val="8"/>
        <rFont val="Arial"/>
        <charset val="134"/>
      </rPr>
      <t>Note:</t>
    </r>
    <r>
      <rPr>
        <sz val="8"/>
        <rFont val="Arial"/>
        <charset val="134"/>
      </rPr>
      <t xml:space="preserve">  Borrowers may not pre-pay scheduled payments in advance to reflect 3 payments. This policy includes the judgments for non-borrowing</t>
    </r>
  </si>
  <si>
    <t>spouses who live in a community property state.</t>
  </si>
  <si>
    <t>Mortgage Foreclosure, Short-Sale, Chapter 7 Bankruptcy</t>
  </si>
  <si>
    <t>Must verify and ensure proper documentation is provided to reflect that 12 months have elapsed from the date of the foreclosure or deed in lieu</t>
  </si>
  <si>
    <t>and that it was a direct result of the Economic Event which occurred.</t>
  </si>
  <si>
    <t>Chapter 13 Bankruptcy</t>
  </si>
  <si>
    <t>Chapter 13 Bankruptcy must have been as a direct result of the Economic Event, and must be discharged prior to the loan application. If not</t>
  </si>
  <si>
    <t>discharged prior to loan application, must receive written permission from the Court to enter into a mortgage transaction for the subject property.</t>
  </si>
  <si>
    <t>Must also provide evidence of satisfactory 12 month payment history on Bankruptcy payment plan.</t>
  </si>
  <si>
    <t>Housing Counseling</t>
  </si>
  <si>
    <t>Each participant must provide evidence that they have completed Homeownership Counseling (received a minimum of 1 hour one-on-one</t>
  </si>
  <si>
    <t>counseling), addressing the cause of the Economic Event and the actions taken to overcome the cause thereby reducing the likelihood of</t>
  </si>
  <si>
    <t>reoccurrence.</t>
  </si>
  <si>
    <t>Must be completed a minimum 30 days prior to loan application and no more than 6 months prior to submitting the loan to Lender. NO</t>
  </si>
  <si>
    <t>EXCEPTIONS!</t>
  </si>
  <si>
    <t>If there is a fee associated with the Housing Counseling requirement then, the Loan Estimate must reflect a Written Provider in box 6 in order to</t>
  </si>
  <si>
    <t>be compliant.</t>
  </si>
  <si>
    <t>BASIC PARAMETERS</t>
  </si>
  <si>
    <t>DATES</t>
  </si>
  <si>
    <t>Today Date</t>
  </si>
  <si>
    <t>Today Month</t>
  </si>
  <si>
    <t>Today Day</t>
  </si>
  <si>
    <t>Year Today</t>
  </si>
  <si>
    <t>Year to Date</t>
  </si>
  <si>
    <t>Year Last</t>
  </si>
  <si>
    <t>Year Previous</t>
  </si>
  <si>
    <t>Doc Date</t>
  </si>
  <si>
    <t>YR Today Beg</t>
  </si>
  <si>
    <t>YRCB</t>
  </si>
  <si>
    <t>YR Last Beg</t>
  </si>
  <si>
    <t>YRP1B</t>
  </si>
  <si>
    <t>YR Last End</t>
  </si>
  <si>
    <t>YRP1E</t>
  </si>
  <si>
    <t>YR Prev Beg</t>
  </si>
  <si>
    <t>YRP2B</t>
  </si>
  <si>
    <t>YR Prev End</t>
  </si>
  <si>
    <t>YRP2E</t>
  </si>
  <si>
    <t>SS &amp; MEDICARE WITHHOLDING CALCULATIONS PARAMETERS</t>
  </si>
  <si>
    <t>Tax %</t>
  </si>
  <si>
    <t>Withholdings</t>
  </si>
  <si>
    <t>YEAR SELECTIONS  \  [ M_YEARS ]  \  memory variable list begins with "Select Year" (B27) and ends with "2018" (B32)</t>
  </si>
  <si>
    <t>↑</t>
  </si>
  <si>
    <t>Select Year</t>
  </si>
  <si>
    <t>M_YEARS</t>
  </si>
  <si>
    <t>|</t>
  </si>
  <si>
    <t>↓</t>
  </si>
  <si>
    <t>DEPRECIATION MILEAGE FACTORS</t>
  </si>
  <si>
    <t>FNMA Factor</t>
  </si>
  <si>
    <t>List of FNMA</t>
  </si>
  <si>
    <t>Mileage</t>
  </si>
  <si>
    <t>Factors</t>
  </si>
  <si>
    <t>INCOME PAY PERIOD FREQUENCY  \  [ M_PAYDOCS ]  \  memory variable list begins with "Paystub" (C49) and ends with "Other" (C57)</t>
  </si>
  <si>
    <t>VLOOKUP</t>
  </si>
  <si>
    <t>Search</t>
  </si>
  <si>
    <t>Pay Periods</t>
  </si>
  <si>
    <t>Hours</t>
  </si>
  <si>
    <t>Term</t>
  </si>
  <si>
    <t>Hourly (H)</t>
  </si>
  <si>
    <t>Annually (1)</t>
  </si>
  <si>
    <t>annually</t>
  </si>
  <si>
    <t>Weekly (52)</t>
  </si>
  <si>
    <t>Bi-Weekly (26)</t>
  </si>
  <si>
    <t>bi-weekly</t>
  </si>
  <si>
    <t>Paystub &amp; VOE</t>
  </si>
  <si>
    <t>hourly</t>
  </si>
  <si>
    <t>Awards Letter</t>
  </si>
  <si>
    <t>Semi-Monthly (24)</t>
  </si>
  <si>
    <t>Monthly (12)</t>
  </si>
  <si>
    <t>monthly</t>
  </si>
  <si>
    <t>Bank Statement</t>
  </si>
  <si>
    <t>Part-Time</t>
  </si>
  <si>
    <t>part-time</t>
  </si>
  <si>
    <t>Multiple Docs</t>
  </si>
  <si>
    <t>Seasonal</t>
  </si>
  <si>
    <t>seasonal</t>
  </si>
  <si>
    <t>IRS Form 1099</t>
  </si>
  <si>
    <t>semi-monthly</t>
  </si>
  <si>
    <t>W2</t>
  </si>
  <si>
    <t>Varies</t>
  </si>
  <si>
    <t>varies</t>
  </si>
  <si>
    <t>Other</t>
  </si>
  <si>
    <t>Varies / Averaged</t>
  </si>
  <si>
    <t>weekly</t>
  </si>
  <si>
    <t>GOVERNMENT PAY PERIODS</t>
  </si>
  <si>
    <t>Pay Period Ending</t>
  </si>
  <si>
    <t>PAY TYPES  \  [ M_PAYTYPES ]  \  memory variable list begins with "Click Here …" (C94) and continues until "Other" (C102)</t>
  </si>
  <si>
    <t>Click Here, then Click on Down Arrow (to the right) for a List of Additional Pay Types</t>
  </si>
  <si>
    <t>M_PAYTYPES</t>
  </si>
  <si>
    <t>\ Options for drop down selections</t>
  </si>
  <si>
    <t>DIFFERENTIAL</t>
  </si>
  <si>
    <t>HOUSING ALLOWANCE</t>
  </si>
  <si>
    <t>INCENTIVE</t>
  </si>
  <si>
    <t>TIPS</t>
  </si>
  <si>
    <t>OTHER</t>
  </si>
  <si>
    <t>DOCUMENT TYPES  \  [ M_DOCTYPES ]  \  memory variable list begins with blank line (C106) and continues until "Other" (C115)</t>
  </si>
  <si>
    <t>M_DOCTYPES</t>
  </si>
  <si>
    <t>Earnings Statement</t>
  </si>
  <si>
    <t>Pay Statement</t>
  </si>
  <si>
    <t>Tax Returns</t>
  </si>
  <si>
    <t>VA Cert of Eligibility</t>
  </si>
  <si>
    <t>BORROWER'S PAYSTUB</t>
  </si>
  <si>
    <t>Message</t>
  </si>
  <si>
    <t xml:space="preserve"> Document date</t>
  </si>
  <si>
    <t>/ Date of document as entered by user in the box/field between document type and rate of pay</t>
  </si>
  <si>
    <t xml:space="preserve"> Rate of Pay</t>
  </si>
  <si>
    <t>/ Rate of pay</t>
  </si>
  <si>
    <t xml:space="preserve"> Rate of Pay Message</t>
  </si>
  <si>
    <t xml:space="preserve"> Pay period frequency</t>
  </si>
  <si>
    <t>/ Pay period frequency as selected by user from drop down selections provided</t>
  </si>
  <si>
    <t xml:space="preserve"> Average hours per week</t>
  </si>
  <si>
    <t>/ Average weekly hours from box/field between pay period frequency and monthly earnings, field is blank and grayed out unless hourly pay period frequency is selected, then field becomes active and displays 40 hours as default, user may change figure.</t>
  </si>
  <si>
    <t xml:space="preserve"> Annual earnings based on current rate</t>
  </si>
  <si>
    <t>/ Annual calculated earnings based on current rate and pay period frequency selected, and average hours per week (when hourly pay period frequency is selected).</t>
  </si>
  <si>
    <t xml:space="preserve"> Monthly earnings based on current rate</t>
  </si>
  <si>
    <t>/ Annual earnings divided by 12 for monthly results  /  If "Part-Time", "Seasonal", or "Varies" is selected then "See Below" is displayed.</t>
  </si>
  <si>
    <t xml:space="preserve"> Use current rate / pay increase</t>
  </si>
  <si>
    <t>/ True if option box "qualify at current rate" is selected and False if option box is left blank.</t>
  </si>
  <si>
    <t>BASE EARNINGS</t>
  </si>
  <si>
    <t>Include in Calculations</t>
  </si>
  <si>
    <t>Variances</t>
  </si>
  <si>
    <t>Include calcs</t>
  </si>
  <si>
    <t>% Change</t>
  </si>
  <si>
    <t>Inc / Dec</t>
  </si>
  <si>
    <t>Stats</t>
  </si>
  <si>
    <t xml:space="preserve"> Totals</t>
  </si>
  <si>
    <t xml:space="preserve"> Average hours message</t>
  </si>
  <si>
    <t xml:space="preserve"> Total Qualifying Base Income Determination</t>
  </si>
  <si>
    <t xml:space="preserve"> YTD less than 10% decrease</t>
  </si>
  <si>
    <t xml:space="preserve"> YTD greater than 10% decrease</t>
  </si>
  <si>
    <t xml:space="preserve"> Part-Time, Seasonal, Varies</t>
  </si>
  <si>
    <t xml:space="preserve"> Monthly earnings based on calculations</t>
  </si>
  <si>
    <t xml:space="preserve"> Total Qualifying Base Income</t>
  </si>
  <si>
    <t xml:space="preserve"> Income supported by YTD message</t>
  </si>
  <si>
    <t>/ Message to display when YTD earnings are lower than base rate of pay.</t>
  </si>
  <si>
    <t>Inc / Exc</t>
  </si>
  <si>
    <t>Amt Claimed</t>
  </si>
  <si>
    <t>Buss Miles</t>
  </si>
  <si>
    <t>BM addback</t>
  </si>
  <si>
    <t xml:space="preserve"> Deduct from base earnings</t>
  </si>
  <si>
    <t>/ Checkbox option results to deduct unreimbursed employee expenses from base earnings, if not deducted from base earnings, then underwriter to enter unreimbursed employee expenses as a monthly liability</t>
  </si>
  <si>
    <t>TOTAL QUALIFYING EARNINGS</t>
  </si>
  <si>
    <t xml:space="preserve"> Total Base Earnings</t>
  </si>
  <si>
    <t xml:space="preserve"> Total Average Unreimbursed Emp Expenses</t>
  </si>
  <si>
    <t xml:space="preserve"> Other Additions or Subtractions to Income</t>
  </si>
  <si>
    <t xml:space="preserve"> Total Calculated Qualifying Base Earnings</t>
  </si>
  <si>
    <t>STATISTICS  —  VARIANCES IN EARNINGS</t>
  </si>
  <si>
    <t>Amount</t>
  </si>
  <si>
    <t>Difference-$</t>
  </si>
  <si>
    <t>Difference-%</t>
  </si>
  <si>
    <t>Data Validation</t>
  </si>
  <si>
    <t>Variances in earnings not determined.</t>
  </si>
  <si>
    <t>STATISTICS  —  AVERAGE WORKING HOURS</t>
  </si>
  <si>
    <t xml:space="preserve"> YTD  (date)</t>
  </si>
  <si>
    <t xml:space="preserve"> YTD - 1st Quarter end</t>
  </si>
  <si>
    <t xml:space="preserve"> YTD during 1st quarter</t>
  </si>
  <si>
    <t xml:space="preserve"> Total earnings</t>
  </si>
  <si>
    <t xml:space="preserve"> Total Months included</t>
  </si>
  <si>
    <t>/ YTD earnings</t>
  </si>
  <si>
    <t xml:space="preserve"> Months included in YTD Earnings</t>
  </si>
  <si>
    <t>/ months calculated based on user entered dates on YTD line</t>
  </si>
  <si>
    <t xml:space="preserve"> Average monthly earnings (YTD)</t>
  </si>
  <si>
    <t>/ Average monthly earnings calculated from YTD total</t>
  </si>
  <si>
    <t xml:space="preserve"> Total YTD and pervious years earnings</t>
  </si>
  <si>
    <t>/ Average monthly earnings calculated from totals of all years selected</t>
  </si>
  <si>
    <t xml:space="preserve"> Calculated Averages - YTD</t>
  </si>
  <si>
    <t>Average monthly earnings (YTD)</t>
  </si>
  <si>
    <t>Average calculated annual earnings</t>
  </si>
  <si>
    <t>Average calculated weekly earnings</t>
  </si>
  <si>
    <t>Hourly rate of pay</t>
  </si>
  <si>
    <t>Average calculated weekly hours</t>
  </si>
  <si>
    <t>Avg weekly hours display</t>
  </si>
  <si>
    <t>Weekly hours message</t>
  </si>
  <si>
    <t>/ Total days determined by taking Date To minus Date From for the particular period</t>
  </si>
  <si>
    <t xml:space="preserve"> Grand Total Days</t>
  </si>
  <si>
    <t>/ Total days determined by taking combined Date To minus Date From for all periods combined</t>
  </si>
  <si>
    <t>/ Total weeks determined by taking Total Days ÷ 7 for the particular period</t>
  </si>
  <si>
    <t xml:space="preserve"> Grand Total Weeks</t>
  </si>
  <si>
    <t>/ Total weeks determined by taking combined Total Days ÷ 7 for all periods combined</t>
  </si>
  <si>
    <t xml:space="preserve"> Total average earnings per week</t>
  </si>
  <si>
    <t>/ If Part-Time, Seasonal or Varies/Averaged is selected, then grand total income of all years cobmined ÷ grand total weeks, for any other selection Total YTD Earnings ÷ Total Weeks for YTD period</t>
  </si>
  <si>
    <t xml:space="preserve"> Earnings per hour</t>
  </si>
  <si>
    <t>/ If Part-Time, Seasonal or Varies/Averaged is selected, then use Rate of Pay, for any other selection Rate of Pay ÷ Pay Period Frequency periods</t>
  </si>
  <si>
    <t xml:space="preserve"> Average weekly hours</t>
  </si>
  <si>
    <t>/ Average weekly hours worked based on total average earnings per week ÷ earnings per hour.</t>
  </si>
  <si>
    <t xml:space="preserve"> Monthly Calculated Earnings</t>
  </si>
  <si>
    <t>/ Average monthly earnings, minimum of YTD average monthly earnings or total average monthly earnings, determined with figures from current rate of pay and base earnings section of the income worksheet (top section)</t>
  </si>
  <si>
    <t>/ YTD "Date To" less YTD "Date From" ÷ 365 X 12</t>
  </si>
  <si>
    <t xml:space="preserve"> Expected YTD earnings</t>
  </si>
  <si>
    <t>/ Monthly avearge earnings X months included in earnings</t>
  </si>
  <si>
    <t>MESSAGES</t>
  </si>
  <si>
    <t xml:space="preserve"> #1 - increase/decrease</t>
  </si>
  <si>
    <t xml:space="preserve"> #2 - Determination</t>
  </si>
  <si>
    <t>Total qualifying income to be determined.</t>
  </si>
  <si>
    <t>Current Rate of Pay</t>
  </si>
  <si>
    <t>Total qualifying income determined on current pay rate even if not supported with YTD earnings (may be due to pay increase earlier this year, or time off taken without pay, etc.). LOE required.</t>
  </si>
  <si>
    <t>Total qualifying income determined on current salary, and supported by YTD earnings.</t>
  </si>
  <si>
    <t>YTD lower</t>
  </si>
  <si>
    <t>Total qualifying income determined on YTD average monthly earnings which are lower than regular full-time salary.</t>
  </si>
  <si>
    <t>YTD and previous 2 yrs</t>
  </si>
  <si>
    <t>YTD and previous 1</t>
  </si>
  <si>
    <t>YTD only</t>
  </si>
  <si>
    <t xml:space="preserve"> #2 - included in calcs</t>
  </si>
  <si>
    <t xml:space="preserve"> #3 - average hours worked</t>
  </si>
  <si>
    <t xml:space="preserve"> #4 - expected YTD total</t>
  </si>
  <si>
    <t xml:space="preserve"> #5 - total average earnings</t>
  </si>
  <si>
    <t>BORROWER'S WRITTEN VOE (BONUS, COMSSIONS, OVERTIME)</t>
  </si>
  <si>
    <t>=IF(AND(D213=0,D215=0),0,IF(D219=TRUE,D218,IF(OR(D215=A206,D215=A207,D215=A209),J226,IF(D219=FALSE,MIN(D218,G223)))))</t>
  </si>
  <si>
    <t xml:space="preserve"> YTD (date)</t>
  </si>
  <si>
    <t>Earning variances message</t>
  </si>
  <si>
    <t>CO-BORROWER'S PAYSTUB</t>
  </si>
  <si>
    <t>C</t>
  </si>
  <si>
    <t>CO-BORROWER'S WRITTEN VOE (BONUS, COMSSIONS, OVERTIME)</t>
  </si>
  <si>
    <t>MILITARY INCOME CALCULATIONS</t>
  </si>
  <si>
    <t>Branch of Service</t>
  </si>
  <si>
    <t xml:space="preserve"> U.S. AIR FORCE / DEPT OF DEFENSE</t>
  </si>
  <si>
    <t xml:space="preserve"> U.S. ARMY / DEPT OF DEFENSE</t>
  </si>
  <si>
    <t xml:space="preserve"> U.S. COAST GUARD / DEPT OF DEFENSE</t>
  </si>
  <si>
    <t xml:space="preserve"> U.S. MARINE CORPS / DEPT OF DEFENSE</t>
  </si>
  <si>
    <t xml:space="preserve"> U.S. NATIONAL GUARD / RESERVES</t>
  </si>
  <si>
    <t xml:space="preserve"> U.S. NAVY / DEPT OF DEFENSE</t>
  </si>
  <si>
    <t xml:space="preserve"> ARMY RESERVES / DEPT OF DEFENSE</t>
  </si>
  <si>
    <t xml:space="preserve"> NAVY RESERVES / DEPT OF DEFENSE</t>
  </si>
  <si>
    <t xml:space="preserve"> MARINE CORPS RESERVES / DEPT OF DEFENSE</t>
  </si>
  <si>
    <t xml:space="preserve"> AIR FORCE RESERVES / DEPT OF DEFENSE</t>
  </si>
  <si>
    <t xml:space="preserve"> COAST GUARD RESERVES / DEPT OF DEFENSE</t>
  </si>
  <si>
    <t xml:space="preserve"> ARMY NATIONAL GUARD / DEPT OF DEFENSE</t>
  </si>
  <si>
    <t xml:space="preserve"> AIR NATIONAL GUARD / DEPT OF DEFENSE</t>
  </si>
  <si>
    <t xml:space="preserve"> U.S. DEPT OF HOMELAND SECURITY</t>
  </si>
  <si>
    <t xml:space="preserve"> OTHER</t>
  </si>
  <si>
    <t xml:space="preserve"> Statistics 1</t>
  </si>
  <si>
    <t>/ Percentage increase or decrease from selected years</t>
  </si>
  <si>
    <t xml:space="preserve"> Statistics 2</t>
  </si>
  <si>
    <t xml:space="preserve"> Statistics 3</t>
  </si>
  <si>
    <t xml:space="preserve"> YTD Earnings</t>
  </si>
  <si>
    <t xml:space="preserve"> Average monthly earnings (years combined)</t>
  </si>
  <si>
    <t>Grand Total Days</t>
  </si>
  <si>
    <t>Grand Total Weeks</t>
  </si>
  <si>
    <t xml:space="preserve"> Monthly Average Earnings</t>
  </si>
  <si>
    <t>BAS QUALIFYING EARNINGS</t>
  </si>
  <si>
    <t xml:space="preserve"> BAS for Officers</t>
  </si>
  <si>
    <t xml:space="preserve"> BAS for Enlisted personnel</t>
  </si>
  <si>
    <t xml:space="preserve"> Actual BAS</t>
  </si>
  <si>
    <t xml:space="preserve"> BAS Type</t>
  </si>
  <si>
    <t xml:space="preserve"> Total BAH</t>
  </si>
  <si>
    <t xml:space="preserve"> Total BAS</t>
  </si>
  <si>
    <t>RESIDUAL INCOME</t>
  </si>
  <si>
    <t xml:space="preserve"> See "Res Inc Data" hidden worksheet</t>
  </si>
  <si>
    <t>BACK TO WORK INITIATIVE</t>
  </si>
  <si>
    <t>Period</t>
  </si>
  <si>
    <t>Dates</t>
  </si>
  <si>
    <t xml:space="preserve"> Economic Event Date</t>
  </si>
  <si>
    <t xml:space="preserve"> Day after economic event</t>
  </si>
  <si>
    <t xml:space="preserve"> 6 mos post Economic Event</t>
  </si>
  <si>
    <t>Household</t>
  </si>
  <si>
    <t>Before</t>
  </si>
  <si>
    <t>After</t>
  </si>
  <si>
    <t xml:space="preserve"> Borrower</t>
  </si>
  <si>
    <t xml:space="preserve"> Other</t>
  </si>
  <si>
    <t>LineMsg1</t>
  </si>
  <si>
    <t>\ Borrower's total income beginning on ",MONTH(I335),"/",DAY(I335),"/",YEAR(I335)," and ending on ",MONTH(I336),"/",DAY(I336),"/",YEAR(I336)</t>
  </si>
  <si>
    <t>LineMsg2</t>
  </si>
  <si>
    <t>\ Other household income beginning on ",MONTH(H335),"/",DAY(H335),"/",YEAR(H335)," and ending on ",MONTH(H336),"/",DAY(H336),"/",YEAR(H336)</t>
  </si>
  <si>
    <t>LineMsg3</t>
  </si>
  <si>
    <t>\ Grand Total Household Income beginning on ",MONTH(H335),"/",DAY(H335),"/",YEAR(H335)," and ending on ",MONTH(H336),"/",DAY(H336),"/",YEAR(H336)</t>
  </si>
  <si>
    <t>LineMsg4</t>
  </si>
  <si>
    <t>\ Grand Total Household Monthly Income Average for the period of ",MONTH(H335),"/",DAY(H335),"/",YEAR(H335)," to ",MONTH(H336),"/",DAY(H336),"/",YEAR(H336)</t>
  </si>
  <si>
    <t>Message1</t>
  </si>
  <si>
    <t>\ Based on figures above, it appears the Economic Event caused a reduction in borrower's household income of ",ROUND(K341*100,1),"% for a period of at least six months following the economic event.")</t>
  </si>
  <si>
    <t>Message2</t>
  </si>
  <si>
    <t>=IF(K341=" "," ",IF(K341&gt;19.99%,G351,G352))</t>
  </si>
  <si>
    <t>Positive</t>
  </si>
  <si>
    <t>Borrower DOES appear to satisfy the FHA Back to Work Initiative income reduction requirements.</t>
  </si>
  <si>
    <t>Negative</t>
  </si>
  <si>
    <t>Borrower DOES NOT appear to satisfy the FHA Back to Work Initiative income reduction requirements.</t>
  </si>
  <si>
    <t>SELF-EMPLOYED INCOME ANALYSIS  /  SE FNMA 1084</t>
  </si>
  <si>
    <t xml:space="preserve"> Sections Sub-Totals</t>
  </si>
  <si>
    <t>1.  W2 from self employment</t>
  </si>
  <si>
    <t>2.  Schedule B</t>
  </si>
  <si>
    <t>3.  Schedule C</t>
  </si>
  <si>
    <t>4.  Schedule D</t>
  </si>
  <si>
    <t>5.  Schedule E</t>
  </si>
  <si>
    <t>6.  Schedule F</t>
  </si>
  <si>
    <t>7.  K1 - Partnership</t>
  </si>
  <si>
    <t>8.  Subtotal Form 1065</t>
  </si>
  <si>
    <t>8.  Percentage of ownership</t>
  </si>
  <si>
    <t>8.  Total Form 1065</t>
  </si>
  <si>
    <t>9.  K1 - S-Corp</t>
  </si>
  <si>
    <t>10.  Subtotal Form 1120S</t>
  </si>
  <si>
    <t>10.  Percentage of ownership</t>
  </si>
  <si>
    <t>10.  Total Form 1120S</t>
  </si>
  <si>
    <t>11.  Subtotal Form 1120</t>
  </si>
  <si>
    <t>11.  Dividends paid</t>
  </si>
  <si>
    <t>11.  Total Form 1120</t>
  </si>
  <si>
    <t>1 - W2 Income from Self-Employment</t>
  </si>
  <si>
    <t>2 - Schedule B</t>
  </si>
  <si>
    <t>3 - Schedule C</t>
  </si>
  <si>
    <t>4 - Schedule D</t>
  </si>
  <si>
    <t>5 - Schedule E</t>
  </si>
  <si>
    <t>6 - Schedule F</t>
  </si>
  <si>
    <t>7 - Schedule K-1 (Form 1065)</t>
  </si>
  <si>
    <t>8 - Form 1065</t>
  </si>
  <si>
    <t>9 - Schedule K-1 (Form 1120S)</t>
  </si>
  <si>
    <t>10 - Form 1120S</t>
  </si>
  <si>
    <t>11 - Form 1120</t>
  </si>
  <si>
    <t xml:space="preserve"> Grand Total</t>
  </si>
  <si>
    <t xml:space="preserve"> Year to Date Profit &amp; Loss</t>
  </si>
  <si>
    <t>Salary/Draws to Individual</t>
  </si>
  <si>
    <t>Net Profit X Percentage of Ownership</t>
  </si>
  <si>
    <t>Total Allowable Addbacks X % of Ownership</t>
  </si>
  <si>
    <t xml:space="preserve"> Months Covered in Year-to-Date Total</t>
  </si>
  <si>
    <t xml:space="preserve"> Average Monthly Income</t>
  </si>
  <si>
    <t xml:space="preserve"> Liquidity Worksheet</t>
  </si>
  <si>
    <t>Trend</t>
  </si>
  <si>
    <t xml:space="preserve"> Schedule L – Assets</t>
  </si>
  <si>
    <t xml:space="preserve">  Cash  (Line 1, Column d)</t>
  </si>
  <si>
    <t xml:space="preserve">  Trade Notes &amp; Accounts Receivable  (Line 2b, Column d)</t>
  </si>
  <si>
    <t xml:space="preserve">  Inventories  (Line 3, Column d)</t>
  </si>
  <si>
    <t xml:space="preserve"> Total Current Assets</t>
  </si>
  <si>
    <t xml:space="preserve"> Schedule L – Liabilities</t>
  </si>
  <si>
    <t xml:space="preserve">  Accounts Payable  (Line 16, Column d)</t>
  </si>
  <si>
    <t xml:space="preserve">  Mortgages, notes, bond payable &lt; 1 year</t>
  </si>
  <si>
    <t xml:space="preserve">  Other Current Liabilities  (Line 18, Column d)</t>
  </si>
  <si>
    <t xml:space="preserve"> Total Current Liabilities</t>
  </si>
  <si>
    <r>
      <rPr>
        <sz val="10"/>
        <rFont val="Arial"/>
        <charset val="134"/>
      </rPr>
      <t xml:space="preserve"> Current Ratio - Total Assets </t>
    </r>
    <r>
      <rPr>
        <sz val="10"/>
        <rFont val="Calibri"/>
        <charset val="134"/>
      </rPr>
      <t>÷</t>
    </r>
    <r>
      <rPr>
        <sz val="10"/>
        <rFont val="Arial"/>
        <charset val="134"/>
      </rPr>
      <t xml:space="preserve"> Total Liabilities</t>
    </r>
  </si>
  <si>
    <t xml:space="preserve"> Quick Ratio - Current Assets ÷ Current Liabilities</t>
  </si>
  <si>
    <t>SELF-EMPLOYED INCOME ANALYSIS  /  SAM METHOD</t>
  </si>
  <si>
    <t>I. Form 1040 page 1</t>
  </si>
  <si>
    <t>II. Form 1040 page 1 Other</t>
  </si>
  <si>
    <t>III. Form 2016</t>
  </si>
  <si>
    <t>Depreciation Rate</t>
  </si>
  <si>
    <t>Total Mileage Dep.</t>
  </si>
  <si>
    <t>SubTotal</t>
  </si>
  <si>
    <t>IV. Schedule B</t>
  </si>
  <si>
    <t>V. Schedule C</t>
  </si>
  <si>
    <t>VI. Schedule D</t>
  </si>
  <si>
    <t>VII. Form 6252</t>
  </si>
  <si>
    <t>VIII. Schedule E</t>
  </si>
  <si>
    <t>IX. Schdule F</t>
  </si>
  <si>
    <t xml:space="preserve"> Part 1: Schedule K-1</t>
  </si>
  <si>
    <t>X. Partnership K-1</t>
  </si>
  <si>
    <t xml:space="preserve"> Part 2: Form 1065</t>
  </si>
  <si>
    <t>XI. Form 1065 Subtotal</t>
  </si>
  <si>
    <t>% of ownership</t>
  </si>
  <si>
    <t>X. S-Corp K-1</t>
  </si>
  <si>
    <t xml:space="preserve"> Part 2: Form 1120-S</t>
  </si>
  <si>
    <t>XI. Form 1120-S Subtotal</t>
  </si>
  <si>
    <t xml:space="preserve"> XIV - Corporation</t>
  </si>
  <si>
    <t>XIV. Form 1120 Subtotal</t>
  </si>
  <si>
    <t>I - Form 1040 Self-Employed Wages</t>
  </si>
  <si>
    <t>II - Form 1040 Other Income</t>
  </si>
  <si>
    <t>III - Form 2106 (exclude if entering on 1003)</t>
  </si>
  <si>
    <t>IV - Schedule B</t>
  </si>
  <si>
    <t>V - Schedule C</t>
  </si>
  <si>
    <t>VI - Schedule D</t>
  </si>
  <si>
    <t>VII - Form 6252</t>
  </si>
  <si>
    <t>VIII - Schedule E</t>
  </si>
  <si>
    <t>IX - Schedule F</t>
  </si>
  <si>
    <t>X - Schedule K-1 (Form 1065)</t>
  </si>
  <si>
    <t>XI - Form 1065</t>
  </si>
  <si>
    <t>XII - Schedule K-1 (Form 1120S)</t>
  </si>
  <si>
    <t>XIII - Form 1120S</t>
  </si>
  <si>
    <t>XIV - Form 1120</t>
  </si>
  <si>
    <t>SCHEDULE C  —  BUSINESS #1</t>
  </si>
  <si>
    <t xml:space="preserve"> Business #1</t>
  </si>
  <si>
    <t xml:space="preserve"> Business Miles</t>
  </si>
  <si>
    <t xml:space="preserve"> Addback Factor</t>
  </si>
  <si>
    <t xml:space="preserve"> Addback Amount</t>
  </si>
  <si>
    <t xml:space="preserve"> Include in calcs</t>
  </si>
  <si>
    <t xml:space="preserve"> Sub-Total</t>
  </si>
  <si>
    <t xml:space="preserve"> Months included</t>
  </si>
  <si>
    <t xml:space="preserve"> Total Months Combined</t>
  </si>
  <si>
    <t xml:space="preserve"> Message</t>
  </si>
  <si>
    <t xml:space="preserve"> Total Average S/E Income</t>
  </si>
  <si>
    <t xml:space="preserve"> Statistics</t>
  </si>
  <si>
    <t xml:space="preserve"> Statistics Message Part 1</t>
  </si>
  <si>
    <t xml:space="preserve"> Statistics Message Part 2</t>
  </si>
  <si>
    <t xml:space="preserve"> Statistics Final Message</t>
  </si>
  <si>
    <t>SCHEDULE C  —  BUSINESS #2</t>
  </si>
  <si>
    <t xml:space="preserve"> Business #2</t>
  </si>
  <si>
    <t>SCHEDULE E - RENTAL 1</t>
  </si>
  <si>
    <t xml:space="preserve"> Rental Lease</t>
  </si>
  <si>
    <t xml:space="preserve"> Gross Monthly Rent</t>
  </si>
  <si>
    <t>\ Gross Monthly Rent from Rental Lease</t>
  </si>
  <si>
    <t xml:space="preserve"> Percentage of Gross Rents</t>
  </si>
  <si>
    <t>\ Percentage of Gross Monthly Rent from Rental Lease to be used in calculations</t>
  </si>
  <si>
    <t xml:space="preserve"> Calculated Gross Rents</t>
  </si>
  <si>
    <t>\ Calculated/Actual Gross Monthly Rent from Rental Lease to be used in calculations</t>
  </si>
  <si>
    <t xml:space="preserve"> Total PITI</t>
  </si>
  <si>
    <t>\ Total PITI</t>
  </si>
  <si>
    <t xml:space="preserve"> Net Monthly Rental Income</t>
  </si>
  <si>
    <t>\ Total Monthly Net Rental Income</t>
  </si>
  <si>
    <t xml:space="preserve"> Tax Returns</t>
  </si>
  <si>
    <t xml:space="preserve"> Monthly Gross Rental Income</t>
  </si>
  <si>
    <t>\ Monthly Gross Rental Income</t>
  </si>
  <si>
    <t xml:space="preserve"> Depreciation</t>
  </si>
  <si>
    <t>\ Depreciation</t>
  </si>
  <si>
    <t>\ Sub-Total</t>
  </si>
  <si>
    <t xml:space="preserve"> Insurance</t>
  </si>
  <si>
    <t>\ Hazard Insurance</t>
  </si>
  <si>
    <t xml:space="preserve"> Mortgage Interest</t>
  </si>
  <si>
    <t>\ Mortgage Insurance</t>
  </si>
  <si>
    <t xml:space="preserve"> Taxes</t>
  </si>
  <si>
    <t>\ Property Taxes</t>
  </si>
  <si>
    <t xml:space="preserve"> HOA Dues</t>
  </si>
  <si>
    <t xml:space="preserve">\ HOA Dues </t>
  </si>
  <si>
    <t xml:space="preserve"> Repairs / Remodel</t>
  </si>
  <si>
    <t>\ Amount of "Other Expenses" for non-recurring repairs/remodel</t>
  </si>
  <si>
    <t>\ Amount of "Other Expenses" to be included in calculations</t>
  </si>
  <si>
    <t xml:space="preserve"> Total Gross Income</t>
  </si>
  <si>
    <t>\ Total calculated gross income</t>
  </si>
  <si>
    <t xml:space="preserve"> Number of Months</t>
  </si>
  <si>
    <t>\ Number of months to be used in calculations</t>
  </si>
  <si>
    <t xml:space="preserve"> Gross Rental Income (calculated)</t>
  </si>
  <si>
    <t>\ Total calculated gross income combined from all years included in calculations</t>
  </si>
  <si>
    <t xml:space="preserve"> Total Gross Rental Income</t>
  </si>
  <si>
    <t>\ Total Monthly Gross Rental Income (amount to be entered on REO screen)</t>
  </si>
  <si>
    <t>SCHEDULE E - RENTAL 2</t>
  </si>
  <si>
    <t>SCHEDULE E - RENTAL 3</t>
  </si>
  <si>
    <t>SCHEDULE E - RENTAL 4</t>
  </si>
  <si>
    <t>1</t>
  </si>
  <si>
    <t>2</t>
  </si>
  <si>
    <t>3</t>
  </si>
  <si>
    <t>4</t>
  </si>
  <si>
    <t>5</t>
  </si>
  <si>
    <t>6</t>
  </si>
  <si>
    <t>7</t>
  </si>
  <si>
    <t>8</t>
  </si>
  <si>
    <t>9</t>
  </si>
  <si>
    <t>10</t>
  </si>
  <si>
    <t xml:space="preserve"> Total Loan Amount</t>
  </si>
  <si>
    <t xml:space="preserve"> W2 - Gross Wages</t>
  </si>
  <si>
    <t xml:space="preserve"> W2 - Fed Income Tax</t>
  </si>
  <si>
    <t xml:space="preserve"> W2 - Social Security</t>
  </si>
  <si>
    <t xml:space="preserve"> W2 - Medicare</t>
  </si>
  <si>
    <t xml:space="preserve"> W2 - State Inc Tax</t>
  </si>
  <si>
    <t xml:space="preserve"> W2 - Other Inc Tax</t>
  </si>
  <si>
    <t xml:space="preserve"> W2 - Total Payroll Ded</t>
  </si>
  <si>
    <t xml:space="preserve"> W2 - Net Income</t>
  </si>
  <si>
    <t xml:space="preserve"> S/E - Social Security</t>
  </si>
  <si>
    <t xml:space="preserve"> S/E - Medicare</t>
  </si>
  <si>
    <t xml:space="preserve"> S/E - Total Payroll Ded</t>
  </si>
  <si>
    <t xml:space="preserve"> S/E - Net Income</t>
  </si>
  <si>
    <t xml:space="preserve"> N/T - Gross Wages</t>
  </si>
  <si>
    <t xml:space="preserve"> N/T - Grossed Up Amt</t>
  </si>
  <si>
    <t xml:space="preserve"> N/T - Grand Total</t>
  </si>
  <si>
    <t xml:space="preserve"> PITIA</t>
  </si>
  <si>
    <t xml:space="preserve"> All Other Payments</t>
  </si>
  <si>
    <t xml:space="preserve"> Subj Prop Sq Ft</t>
  </si>
  <si>
    <t xml:space="preserve"> Housing Maintenance</t>
  </si>
  <si>
    <t xml:space="preserve"> Total All Debts</t>
  </si>
  <si>
    <t xml:space="preserve"> Grand Total Net Inc</t>
  </si>
  <si>
    <t xml:space="preserve"> Grand Total All Debt</t>
  </si>
  <si>
    <t xml:space="preserve"> Active Duty Selection</t>
  </si>
  <si>
    <t>Select for Veteran Borrowers</t>
  </si>
  <si>
    <t>Active Duty</t>
  </si>
  <si>
    <t>Separated from Service</t>
  </si>
  <si>
    <t xml:space="preserve"> Active Duty Selected</t>
  </si>
  <si>
    <t xml:space="preserve"> State Selected</t>
  </si>
  <si>
    <t xml:space="preserve"> Family Size</t>
  </si>
  <si>
    <t xml:space="preserve"> Active Duty</t>
  </si>
  <si>
    <t xml:space="preserve"> Residual Proposed</t>
  </si>
  <si>
    <t xml:space="preserve"> Residual Required</t>
  </si>
  <si>
    <t xml:space="preserve"> Residual Actual</t>
  </si>
  <si>
    <t xml:space="preserve"> Residual Difference ($)</t>
  </si>
  <si>
    <t xml:space="preserve"> Residual Difference (%)</t>
  </si>
  <si>
    <t xml:space="preserve"> Message Line 1</t>
  </si>
  <si>
    <t xml:space="preserve"> Message Line 2</t>
  </si>
  <si>
    <t xml:space="preserve"> Message Line 3</t>
  </si>
  <si>
    <t xml:space="preserve"> Message Line 4</t>
  </si>
  <si>
    <t>VA Residual Income Data for Loan Amounts =&gt; $80,000</t>
  </si>
  <si>
    <t>Area</t>
  </si>
  <si>
    <t>State Abbr</t>
  </si>
  <si>
    <t xml:space="preserve"> NORTHEAST</t>
  </si>
  <si>
    <t xml:space="preserve"> MIDWEST</t>
  </si>
  <si>
    <t xml:space="preserve"> SOUTH</t>
  </si>
  <si>
    <t xml:space="preserve"> WEST</t>
  </si>
  <si>
    <t>State</t>
  </si>
  <si>
    <t>Region</t>
  </si>
  <si>
    <t xml:space="preserve"> ALABAMA</t>
  </si>
  <si>
    <t>AL</t>
  </si>
  <si>
    <t>S</t>
  </si>
  <si>
    <t xml:space="preserve"> ALASKA</t>
  </si>
  <si>
    <t>AK</t>
  </si>
  <si>
    <t>W</t>
  </si>
  <si>
    <t xml:space="preserve"> ARIZONA</t>
  </si>
  <si>
    <t>AZ</t>
  </si>
  <si>
    <t xml:space="preserve"> ARKANSAS</t>
  </si>
  <si>
    <t>AR</t>
  </si>
  <si>
    <t xml:space="preserve"> CALIFORNIA</t>
  </si>
  <si>
    <t>CA</t>
  </si>
  <si>
    <t xml:space="preserve"> COLORADO</t>
  </si>
  <si>
    <t>CO</t>
  </si>
  <si>
    <t xml:space="preserve"> CONNECTICUT</t>
  </si>
  <si>
    <t>CT</t>
  </si>
  <si>
    <t>NE</t>
  </si>
  <si>
    <t xml:space="preserve"> DELAWARE</t>
  </si>
  <si>
    <t>DE</t>
  </si>
  <si>
    <t xml:space="preserve"> DISTRICT OF COLUMBIA</t>
  </si>
  <si>
    <t>DC</t>
  </si>
  <si>
    <t xml:space="preserve"> FLORIDA</t>
  </si>
  <si>
    <t>FL</t>
  </si>
  <si>
    <t xml:space="preserve"> GEORGIA</t>
  </si>
  <si>
    <t>GA</t>
  </si>
  <si>
    <t xml:space="preserve"> HAWAII</t>
  </si>
  <si>
    <t>HI</t>
  </si>
  <si>
    <t xml:space="preserve"> IDAHO</t>
  </si>
  <si>
    <t>ID</t>
  </si>
  <si>
    <t xml:space="preserve"> ILLINOIS</t>
  </si>
  <si>
    <t>IL</t>
  </si>
  <si>
    <t>MW</t>
  </si>
  <si>
    <t xml:space="preserve"> INDIANA</t>
  </si>
  <si>
    <t>IN</t>
  </si>
  <si>
    <t xml:space="preserve"> IOWA</t>
  </si>
  <si>
    <t>IA</t>
  </si>
  <si>
    <t xml:space="preserve"> KANSAS</t>
  </si>
  <si>
    <t>KS</t>
  </si>
  <si>
    <t xml:space="preserve"> KENTUCKY </t>
  </si>
  <si>
    <t>KY</t>
  </si>
  <si>
    <t xml:space="preserve"> LOUISIANA</t>
  </si>
  <si>
    <t>LA</t>
  </si>
  <si>
    <t xml:space="preserve"> MAINE</t>
  </si>
  <si>
    <t>ME</t>
  </si>
  <si>
    <t xml:space="preserve"> MARYLAND</t>
  </si>
  <si>
    <t>MD</t>
  </si>
  <si>
    <t xml:space="preserve"> MASSACHUSETTS</t>
  </si>
  <si>
    <t>MA</t>
  </si>
  <si>
    <t xml:space="preserve"> MICHIGAN</t>
  </si>
  <si>
    <t>MI</t>
  </si>
  <si>
    <t xml:space="preserve"> MINNESOTA</t>
  </si>
  <si>
    <t>MN</t>
  </si>
  <si>
    <t xml:space="preserve"> MISSISSIPPI</t>
  </si>
  <si>
    <t>MS</t>
  </si>
  <si>
    <t xml:space="preserve"> MISSOURI</t>
  </si>
  <si>
    <t>MO</t>
  </si>
  <si>
    <t xml:space="preserve"> MONTANA</t>
  </si>
  <si>
    <t>MT</t>
  </si>
  <si>
    <t xml:space="preserve"> NEBRASKA</t>
  </si>
  <si>
    <t xml:space="preserve"> NEVADA</t>
  </si>
  <si>
    <t>NV</t>
  </si>
  <si>
    <t xml:space="preserve"> NEW HAMPSHIRE</t>
  </si>
  <si>
    <t>NH</t>
  </si>
  <si>
    <t xml:space="preserve"> NEW JERSEY</t>
  </si>
  <si>
    <t>NJ</t>
  </si>
  <si>
    <t xml:space="preserve"> NEW MEXICO</t>
  </si>
  <si>
    <t>NM</t>
  </si>
  <si>
    <t xml:space="preserve"> NEW YORK</t>
  </si>
  <si>
    <t>NY</t>
  </si>
  <si>
    <t xml:space="preserve"> NORTH CAROLINA</t>
  </si>
  <si>
    <t>NC</t>
  </si>
  <si>
    <t xml:space="preserve"> NORTH DAKOTA</t>
  </si>
  <si>
    <t>ND</t>
  </si>
  <si>
    <t xml:space="preserve"> OHIO</t>
  </si>
  <si>
    <t>OH</t>
  </si>
  <si>
    <t xml:space="preserve"> OKLAHOMA</t>
  </si>
  <si>
    <t>OK</t>
  </si>
  <si>
    <t xml:space="preserve"> OREGON</t>
  </si>
  <si>
    <t>OR</t>
  </si>
  <si>
    <t xml:space="preserve"> PENNSYLVANIA</t>
  </si>
  <si>
    <t>PA</t>
  </si>
  <si>
    <t xml:space="preserve"> PUERTO RICO</t>
  </si>
  <si>
    <t>PR</t>
  </si>
  <si>
    <t xml:space="preserve"> RHODE ISLAND</t>
  </si>
  <si>
    <t>RI</t>
  </si>
  <si>
    <t xml:space="preserve"> SOUTH CAROLINA</t>
  </si>
  <si>
    <t>SC</t>
  </si>
  <si>
    <t xml:space="preserve"> SOUTH DAKOTA</t>
  </si>
  <si>
    <t>SD</t>
  </si>
  <si>
    <t xml:space="preserve"> TENNESSEE</t>
  </si>
  <si>
    <t>TN</t>
  </si>
  <si>
    <t xml:space="preserve"> TEXAS</t>
  </si>
  <si>
    <t>TX</t>
  </si>
  <si>
    <t xml:space="preserve"> UTAH</t>
  </si>
  <si>
    <t>UT</t>
  </si>
  <si>
    <t xml:space="preserve"> VERMONT</t>
  </si>
  <si>
    <t>VT</t>
  </si>
  <si>
    <t xml:space="preserve"> VIRGINIA</t>
  </si>
  <si>
    <t>VA</t>
  </si>
  <si>
    <t xml:space="preserve"> WASHINGTON</t>
  </si>
  <si>
    <t>WA</t>
  </si>
  <si>
    <t xml:space="preserve"> WEST VIRGINIA</t>
  </si>
  <si>
    <t>WV</t>
  </si>
  <si>
    <t xml:space="preserve"> WISCONSIN</t>
  </si>
  <si>
    <t>WI</t>
  </si>
  <si>
    <t xml:space="preserve"> WYOMING</t>
  </si>
  <si>
    <t>WY</t>
  </si>
  <si>
    <t>VA Residual Income Data for Loan Amounts &lt; $80,000</t>
  </si>
  <si>
    <t>MCC Credit Calculations</t>
  </si>
  <si>
    <t xml:space="preserve"> Original Loan Amount</t>
  </si>
  <si>
    <t xml:space="preserve"> Interest Rate</t>
  </si>
  <si>
    <t xml:space="preserve"> Total Annual Interest</t>
  </si>
  <si>
    <t xml:space="preserve"> Annual Tax Credit Percentage</t>
  </si>
  <si>
    <t xml:space="preserve"> Total Annual Tax Credit</t>
  </si>
  <si>
    <t xml:space="preserve"> Total Annual Tax Credit Divided by 12 Months for Monthly Credit</t>
  </si>
  <si>
    <t xml:space="preserve"> Monthly Tax Credit Benefit for Qualifying Purposes</t>
  </si>
  <si>
    <t>AVERAGE EARNINGS (PAST 2 YEARS)</t>
  </si>
  <si>
    <t>Total Earnings (previous 2 years)</t>
  </si>
  <si>
    <t>Total Months Included in Total Earnings</t>
  </si>
  <si>
    <t>Average Total Monthly Earnings</t>
  </si>
  <si>
    <t>Total Average Earnings for the past 2 years</t>
  </si>
  <si>
    <r>
      <t>§</t>
    </r>
    <r>
      <rPr>
        <sz val="7"/>
        <color theme="1"/>
        <rFont val="Times New Roman"/>
        <charset val="134"/>
      </rPr>
      <t xml:space="preserve">  </t>
    </r>
    <r>
      <rPr>
        <sz val="10"/>
        <color theme="1"/>
        <rFont val="Calibri"/>
        <charset val="134"/>
      </rPr>
      <t>Lease Agreement or Fannie Mae Form 1007 or Form 1025</t>
    </r>
  </si>
  <si>
    <r>
      <t>§</t>
    </r>
    <r>
      <rPr>
        <sz val="7"/>
        <color theme="1"/>
        <rFont val="Times New Roman"/>
        <charset val="134"/>
      </rPr>
      <t xml:space="preserve">  </t>
    </r>
    <r>
      <rPr>
        <sz val="10"/>
        <color theme="1"/>
        <rFont val="Calibri"/>
        <charset val="134"/>
      </rPr>
      <t xml:space="preserve">Schedule E (IRS Form 1040) OR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</si>
</sst>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_);_(@_)"/>
    <numFmt numFmtId="165" formatCode="d/m/yyyy"/>
    <numFmt numFmtId="166" formatCode="_(\$* #,##0_);_(\$* \(#,##0\);_(\$* \-_);_(@_)"/>
    <numFmt numFmtId="167" formatCode="_(* #,##0.00_);_(* \(#,##0.00\);_(* \-??_);_(@_)"/>
    <numFmt numFmtId="168" formatCode="0_);[Red]\(0\)"/>
    <numFmt numFmtId="169" formatCode="mm/dd/yyyy;@"/>
    <numFmt numFmtId="170" formatCode="#,##0.0_);\(#,##0.0\)"/>
    <numFmt numFmtId="171" formatCode="_(* #,##0_);_(* \(#,##0\);_(* \-_);_(@_)"/>
    <numFmt numFmtId="172" formatCode="_(* #,##0_);_(* \(#,##0\);_(* \-??_);_(@_)"/>
    <numFmt numFmtId="173" formatCode="0.0"/>
    <numFmt numFmtId="174" formatCode="0.0%"/>
    <numFmt numFmtId="175" formatCode="_(* #,##0.0_);_(* \(#,##0.0\);_(* \-??_);_(@_)"/>
    <numFmt numFmtId="176" formatCode="_(* #,##0.0_);_(* \(#,##0.0\);_(* \-_);_(@_)"/>
    <numFmt numFmtId="177" formatCode="_(\$* #,##0.00_);_(\$* \(#,##0.00\);_(\$* \-_);_(@_)"/>
    <numFmt numFmtId="178" formatCode="0.0000"/>
    <numFmt numFmtId="179" formatCode="_(* #,##0.0_);_(* \(#,##0.0\);_(* \-?_);_(@_)"/>
  </numFmts>
  <fonts count="45">
    <font>
      <sz val="10"/>
      <name val="Noto Sans CJK SC"/>
      <family val="2"/>
    </font>
    <font>
      <sz val="10"/>
      <name val="Arial"/>
      <charset val="134"/>
    </font>
    <font>
      <sz val="11"/>
      <color theme="1"/>
      <name val="Calibri"/>
      <charset val="134"/>
    </font>
    <font>
      <sz val="11"/>
      <color theme="0"/>
      <name val="Calibri"/>
      <charset val="134"/>
    </font>
    <font>
      <sz val="9"/>
      <name val="Noto Sans CJK SC"/>
      <family val="2"/>
    </font>
    <font>
      <sz val="11"/>
      <color theme="0"/>
      <name val="Calibri"/>
      <charset val="1"/>
    </font>
    <font>
      <sz val="8"/>
      <name val="Noto Sans CJK SC"/>
      <family val="2"/>
    </font>
    <font>
      <sz val="10"/>
      <color theme="1"/>
      <name val="Noto Sans CJK SC"/>
      <family val="2"/>
    </font>
    <font>
      <sz val="11"/>
      <color theme="1"/>
      <name val="Noto Sans CJK SC"/>
      <family val="2"/>
    </font>
    <font>
      <sz val="9"/>
      <color theme="1"/>
      <name val="Noto Sans CJK SC"/>
      <family val="2"/>
    </font>
    <font>
      <b/>
      <sz val="11"/>
      <color theme="1"/>
      <name val="Calibri"/>
      <charset val="134"/>
    </font>
    <font>
      <b/>
      <sz val="10"/>
      <color theme="1"/>
      <name val="Calibri"/>
      <charset val="134"/>
    </font>
    <font>
      <sz val="9"/>
      <color theme="1"/>
      <name val="Calibri"/>
      <charset val="134"/>
    </font>
    <font>
      <sz val="10"/>
      <color theme="1"/>
      <name val="Wingdings"/>
      <charset val="2"/>
    </font>
    <font>
      <sz val="7"/>
      <color theme="1"/>
      <name val="Times New Roman"/>
      <charset val="134"/>
    </font>
    <font>
      <sz val="10"/>
      <color theme="1"/>
      <name val="Calibri"/>
      <charset val="134"/>
    </font>
    <font>
      <i/>
      <sz val="9"/>
      <color theme="1"/>
      <name val="Calibri"/>
      <charset val="134"/>
    </font>
    <font>
      <b/>
      <sz val="10"/>
      <color rgb="FFC0504D"/>
      <name val="Calibri"/>
      <charset val="134"/>
    </font>
    <font>
      <b/>
      <sz val="10"/>
      <color rgb="FFFF0000"/>
      <name val="Calibri"/>
      <charset val="134"/>
    </font>
    <font>
      <sz val="9"/>
      <color rgb="FF1F497D"/>
      <name val="Calibri"/>
      <charset val="134"/>
    </font>
    <font>
      <b/>
      <sz val="10"/>
      <color rgb="FFC00000"/>
      <name val="Calibri"/>
      <charset val="134"/>
    </font>
    <font>
      <b/>
      <i/>
      <sz val="10"/>
      <color theme="1"/>
      <name val="Calibri"/>
      <charset val="134"/>
    </font>
    <font>
      <b/>
      <sz val="10"/>
      <name val="Noto Sans CJK SC"/>
      <family val="2"/>
    </font>
    <font>
      <b/>
      <sz val="14"/>
      <name val="Noto Sans CJK SC"/>
      <family val="2"/>
    </font>
    <font>
      <b/>
      <sz val="14"/>
      <name val="Arial"/>
      <charset val="134"/>
    </font>
    <font>
      <b/>
      <sz val="10"/>
      <name val="Arial"/>
      <charset val="134"/>
    </font>
    <font>
      <sz val="11"/>
      <name val="Arial Rounded MT Bold"/>
      <charset val="134"/>
    </font>
    <font>
      <sz val="8"/>
      <name val="Arial"/>
      <charset val="134"/>
    </font>
    <font>
      <b/>
      <sz val="11"/>
      <name val="Arial"/>
      <charset val="134"/>
    </font>
    <font>
      <b/>
      <sz val="8"/>
      <name val="Arial"/>
      <charset val="134"/>
    </font>
    <font>
      <b/>
      <u/>
      <sz val="10"/>
      <name val="Noto Sans CJK SC"/>
      <family val="2"/>
    </font>
    <font>
      <i/>
      <sz val="8"/>
      <name val="Arial"/>
      <charset val="134"/>
    </font>
    <font>
      <i/>
      <sz val="8"/>
      <name val="Noto Sans CJK SC"/>
      <family val="2"/>
    </font>
    <font>
      <b/>
      <sz val="12"/>
      <name val="Arial"/>
      <charset val="134"/>
    </font>
    <font>
      <b/>
      <u/>
      <sz val="8"/>
      <name val="Arial"/>
      <charset val="134"/>
    </font>
    <font>
      <i/>
      <u/>
      <sz val="8"/>
      <name val="Arial"/>
      <charset val="134"/>
    </font>
    <font>
      <sz val="10"/>
      <color rgb="FF0070C0"/>
      <name val="Noto Sans CJK SC"/>
      <family val="2"/>
    </font>
    <font>
      <sz val="10"/>
      <color rgb="FF0070C0"/>
      <name val="Arial"/>
      <charset val="134"/>
    </font>
    <font>
      <b/>
      <sz val="12"/>
      <color theme="0"/>
      <name val="Arial"/>
      <charset val="134"/>
    </font>
    <font>
      <sz val="10"/>
      <color rgb="FF000099"/>
      <name val="Noto Sans CJK SC"/>
      <family val="2"/>
    </font>
    <font>
      <sz val="10"/>
      <color rgb="FF000099"/>
      <name val="Arial"/>
      <charset val="134"/>
    </font>
    <font>
      <sz val="10"/>
      <name val="Calibri"/>
      <charset val="134"/>
    </font>
    <font>
      <b/>
      <sz val="12"/>
      <name val="Noto Sans CJK SC"/>
      <family val="2"/>
    </font>
    <font>
      <sz val="10"/>
      <name val="Arial Rounded MT Bold"/>
      <charset val="134"/>
    </font>
    <font>
      <b/>
      <i/>
      <sz val="10"/>
      <name val="Arial"/>
      <charset val="134"/>
    </font>
  </fonts>
  <fills count="23">
    <fill>
      <patternFill patternType="none"/>
    </fill>
    <fill>
      <patternFill patternType="gray125"/>
    </fill>
    <fill>
      <patternFill patternType="solid">
        <fgColor theme="5"/>
        <bgColor rgb="FF808080"/>
      </patternFill>
    </fill>
    <fill>
      <patternFill patternType="solid">
        <fgColor rgb="FFFFFFFF"/>
        <bgColor rgb="FFFFFFEB"/>
      </patternFill>
    </fill>
    <fill>
      <patternFill patternType="solid">
        <fgColor rgb="FFC0C0C0"/>
        <bgColor rgb="FFBFBFBF"/>
      </patternFill>
    </fill>
    <fill>
      <patternFill patternType="solid">
        <fgColor theme="0" tint="-0.14999847407452621"/>
        <bgColor rgb="FFDDD9C3"/>
      </patternFill>
    </fill>
    <fill>
      <patternFill patternType="solid">
        <fgColor theme="6" tint="0.59987182226020086"/>
        <bgColor rgb="FFDDD9C3"/>
      </patternFill>
    </fill>
    <fill>
      <patternFill patternType="solid">
        <fgColor theme="3" tint="0.79989013336588644"/>
        <bgColor rgb="FFB9CDE5"/>
      </patternFill>
    </fill>
    <fill>
      <patternFill patternType="solid">
        <fgColor rgb="FFDBE5F1"/>
        <bgColor rgb="FFDCE6F2"/>
      </patternFill>
    </fill>
    <fill>
      <patternFill patternType="solid">
        <fgColor rgb="FFF2F2F2"/>
        <bgColor rgb="FFEEECE1"/>
      </patternFill>
    </fill>
    <fill>
      <patternFill patternType="solid">
        <fgColor rgb="FF8DB3E2"/>
        <bgColor rgb="FF8EB4E3"/>
      </patternFill>
    </fill>
    <fill>
      <patternFill patternType="solid">
        <fgColor rgb="FFDAEEF3"/>
        <bgColor rgb="FFDBEEF4"/>
      </patternFill>
    </fill>
    <fill>
      <patternFill patternType="solid">
        <fgColor rgb="FFC2D69B"/>
        <bgColor rgb="FFC3D69B"/>
      </patternFill>
    </fill>
    <fill>
      <patternFill patternType="solid">
        <fgColor rgb="FFFDE9D9"/>
        <bgColor rgb="FFFDEADA"/>
      </patternFill>
    </fill>
    <fill>
      <patternFill patternType="solid">
        <fgColor theme="6" tint="0.39988402966399123"/>
        <bgColor rgb="FFC2D69B"/>
      </patternFill>
    </fill>
    <fill>
      <patternFill patternType="solid">
        <fgColor theme="9" tint="0.79989013336588644"/>
        <bgColor rgb="FFFDE9D9"/>
      </patternFill>
    </fill>
    <fill>
      <patternFill patternType="solid">
        <fgColor theme="4" tint="0.59987182226020086"/>
        <bgColor rgb="FFC6D9F1"/>
      </patternFill>
    </fill>
    <fill>
      <patternFill patternType="solid">
        <fgColor theme="2"/>
        <bgColor rgb="FFF2F2F2"/>
      </patternFill>
    </fill>
    <fill>
      <patternFill patternType="solid">
        <fgColor rgb="FFFFFFE6"/>
        <bgColor rgb="FFFFFFEB"/>
      </patternFill>
    </fill>
    <fill>
      <patternFill patternType="solid">
        <fgColor rgb="FFFFFFEB"/>
        <bgColor rgb="FFFFFFE6"/>
      </patternFill>
    </fill>
    <fill>
      <patternFill patternType="solid">
        <fgColor theme="2" tint="-9.9978637043366805E-2"/>
        <bgColor rgb="FFD9D9D9"/>
      </patternFill>
    </fill>
    <fill>
      <patternFill patternType="solid">
        <fgColor rgb="FF800000"/>
        <bgColor rgb="FFC00000"/>
      </patternFill>
    </fill>
    <fill>
      <patternFill patternType="solid">
        <fgColor rgb="FF99CCFF"/>
        <bgColor rgb="FFB9CDE5"/>
      </patternFill>
    </fill>
  </fills>
  <borders count="6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thin">
        <color auto="1"/>
      </top>
      <bottom style="thin">
        <color auto="1"/>
      </bottom>
      <diagonal/>
    </border>
    <border>
      <left style="medium">
        <color auto="1"/>
      </left>
      <right style="medium">
        <color auto="1"/>
      </right>
      <top/>
      <bottom/>
      <diagonal/>
    </border>
    <border>
      <left/>
      <right/>
      <top style="medium">
        <color auto="1"/>
      </top>
      <bottom style="medium">
        <color auto="1"/>
      </bottom>
      <diagonal/>
    </border>
    <border>
      <left style="medium">
        <color auto="1"/>
      </left>
      <right style="medium">
        <color rgb="FF808080"/>
      </right>
      <top style="medium">
        <color auto="1"/>
      </top>
      <bottom style="medium">
        <color rgb="FF808080"/>
      </bottom>
      <diagonal/>
    </border>
    <border>
      <left style="medium">
        <color rgb="FF808080"/>
      </left>
      <right style="medium">
        <color rgb="FF808080"/>
      </right>
      <top style="medium">
        <color auto="1"/>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auto="1"/>
      </right>
      <top/>
      <bottom style="medium">
        <color rgb="FF808080"/>
      </bottom>
      <diagonal/>
    </border>
    <border>
      <left style="medium">
        <color auto="1"/>
      </left>
      <right style="medium">
        <color rgb="FF808080"/>
      </right>
      <top/>
      <bottom style="medium">
        <color rgb="FF808080"/>
      </bottom>
      <diagonal/>
    </border>
    <border>
      <left style="medium">
        <color rgb="FF808080"/>
      </left>
      <right style="medium">
        <color rgb="FF808080"/>
      </right>
      <top style="medium">
        <color rgb="FF808080"/>
      </top>
      <bottom style="medium">
        <color rgb="FF808080"/>
      </bottom>
      <diagonal/>
    </border>
    <border>
      <left/>
      <right style="medium">
        <color rgb="FF808080"/>
      </right>
      <top/>
      <bottom style="medium">
        <color rgb="FF808080"/>
      </bottom>
      <diagonal/>
    </border>
    <border>
      <left/>
      <right style="medium">
        <color rgb="FF808080"/>
      </right>
      <top style="medium">
        <color rgb="FF808080"/>
      </top>
      <bottom style="medium">
        <color rgb="FF808080"/>
      </bottom>
      <diagonal/>
    </border>
    <border>
      <left/>
      <right/>
      <top style="medium">
        <color rgb="FF808080"/>
      </top>
      <bottom style="medium">
        <color rgb="FF808080"/>
      </bottom>
      <diagonal/>
    </border>
    <border>
      <left style="medium">
        <color rgb="FF808080"/>
      </left>
      <right style="medium">
        <color auto="1"/>
      </right>
      <top style="medium">
        <color rgb="FF808080"/>
      </top>
      <bottom style="medium">
        <color rgb="FF808080"/>
      </bottom>
      <diagonal/>
    </border>
    <border>
      <left style="medium">
        <color auto="1"/>
      </left>
      <right style="medium">
        <color rgb="FF808080"/>
      </right>
      <top style="medium">
        <color rgb="FF808080"/>
      </top>
      <bottom style="medium">
        <color auto="1"/>
      </bottom>
      <diagonal/>
    </border>
    <border>
      <left/>
      <right style="medium">
        <color rgb="FF808080"/>
      </right>
      <top/>
      <bottom style="medium">
        <color auto="1"/>
      </bottom>
      <diagonal/>
    </border>
    <border>
      <left style="medium">
        <color rgb="FF808080"/>
      </left>
      <right style="medium">
        <color auto="1"/>
      </right>
      <top style="medium">
        <color rgb="FF808080"/>
      </top>
      <bottom style="medium">
        <color auto="1"/>
      </bottom>
      <diagonal/>
    </border>
    <border>
      <left style="medium">
        <color auto="1"/>
      </left>
      <right style="medium">
        <color rgb="FF0F243E"/>
      </right>
      <top style="medium">
        <color auto="1"/>
      </top>
      <bottom style="medium">
        <color rgb="FF0F243E"/>
      </bottom>
      <diagonal/>
    </border>
    <border>
      <left style="medium">
        <color rgb="FF0F243E"/>
      </left>
      <right style="medium">
        <color rgb="FF0F243E"/>
      </right>
      <top style="medium">
        <color rgb="FF0F243E"/>
      </top>
      <bottom style="medium">
        <color rgb="FF0F243E"/>
      </bottom>
      <diagonal/>
    </border>
    <border>
      <left style="medium">
        <color rgb="FF0F243E"/>
      </left>
      <right style="medium">
        <color auto="1"/>
      </right>
      <top style="medium">
        <color rgb="FF0F243E"/>
      </top>
      <bottom style="medium">
        <color rgb="FF0F243E"/>
      </bottom>
      <diagonal/>
    </border>
    <border>
      <left style="medium">
        <color auto="1"/>
      </left>
      <right style="medium">
        <color rgb="FF0F243E"/>
      </right>
      <top style="medium">
        <color rgb="FF0F243E"/>
      </top>
      <bottom style="medium">
        <color rgb="FF0F243E"/>
      </bottom>
      <diagonal/>
    </border>
    <border>
      <left style="medium">
        <color auto="1"/>
      </left>
      <right style="medium">
        <color rgb="FF0F243E"/>
      </right>
      <top style="medium">
        <color rgb="FF0F243E"/>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rgb="FF000080"/>
      </left>
      <right style="medium">
        <color rgb="FF000080"/>
      </right>
      <top style="medium">
        <color rgb="FF000080"/>
      </top>
      <bottom/>
      <diagonal/>
    </border>
    <border>
      <left style="medium">
        <color rgb="FF000080"/>
      </left>
      <right style="medium">
        <color rgb="FF000080"/>
      </right>
      <top/>
      <bottom/>
      <diagonal/>
    </border>
    <border>
      <left style="medium">
        <color rgb="FF000080"/>
      </left>
      <right style="medium">
        <color rgb="FF000080"/>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top/>
      <bottom/>
      <diagonal/>
    </border>
    <border>
      <left/>
      <right style="medium">
        <color rgb="FF000080"/>
      </right>
      <top/>
      <bottom/>
      <diagonal/>
    </border>
    <border>
      <left/>
      <right/>
      <top style="medium">
        <color rgb="FF000080"/>
      </top>
      <bottom style="thin">
        <color auto="1"/>
      </bottom>
      <diagonal/>
    </border>
    <border>
      <left style="medium">
        <color rgb="FF000080"/>
      </left>
      <right/>
      <top/>
      <bottom style="medium">
        <color rgb="FF000080"/>
      </bottom>
      <diagonal/>
    </border>
    <border>
      <left/>
      <right/>
      <top/>
      <bottom style="medium">
        <color rgb="FF000080"/>
      </bottom>
      <diagonal/>
    </border>
    <border>
      <left/>
      <right style="medium">
        <color rgb="FF000080"/>
      </right>
      <top/>
      <bottom style="medium">
        <color rgb="FF000080"/>
      </bottom>
      <diagonal/>
    </border>
    <border>
      <left style="thin">
        <color auto="1"/>
      </left>
      <right style="thin">
        <color auto="1"/>
      </right>
      <top/>
      <bottom/>
      <diagonal/>
    </border>
    <border>
      <left/>
      <right style="thick">
        <color auto="1"/>
      </right>
      <top style="thin">
        <color auto="1"/>
      </top>
      <bottom/>
      <diagonal/>
    </border>
    <border>
      <left style="thick">
        <color auto="1"/>
      </left>
      <right/>
      <top/>
      <bottom/>
      <diagonal/>
    </border>
    <border>
      <left/>
      <right style="thick">
        <color auto="1"/>
      </right>
      <top/>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top style="thin">
        <color auto="1"/>
      </top>
      <bottom style="thick">
        <color auto="1"/>
      </bottom>
      <diagonal/>
    </border>
    <border>
      <left/>
      <right style="medium">
        <color auto="1"/>
      </right>
      <top style="medium">
        <color auto="1"/>
      </top>
      <bottom/>
      <diagonal/>
    </border>
  </borders>
  <cellStyleXfs count="12">
    <xf numFmtId="0" fontId="0" fillId="0" borderId="0"/>
    <xf numFmtId="167" fontId="1" fillId="0" borderId="0" applyBorder="0" applyProtection="0"/>
    <xf numFmtId="164" fontId="1" fillId="0" borderId="0" applyBorder="0" applyProtection="0"/>
    <xf numFmtId="9" fontId="1" fillId="0" borderId="0" applyBorder="0" applyProtection="0"/>
    <xf numFmtId="164" fontId="1" fillId="0" borderId="0" applyBorder="0" applyProtection="0"/>
    <xf numFmtId="0" fontId="1" fillId="0" borderId="0"/>
    <xf numFmtId="0" fontId="2" fillId="0" borderId="0"/>
    <xf numFmtId="0" fontId="2" fillId="0" borderId="0"/>
    <xf numFmtId="0" fontId="1" fillId="0" borderId="0"/>
    <xf numFmtId="0" fontId="3" fillId="2" borderId="0" applyBorder="0" applyProtection="0"/>
    <xf numFmtId="164" fontId="1" fillId="0" borderId="0" applyBorder="0" applyProtection="0"/>
    <xf numFmtId="0" fontId="5" fillId="2" borderId="0" applyBorder="0" applyProtection="0"/>
  </cellStyleXfs>
  <cellXfs count="373">
    <xf numFmtId="0" fontId="0" fillId="0" borderId="0" xfId="0"/>
    <xf numFmtId="0" fontId="8" fillId="0" borderId="0" xfId="0" applyFont="1"/>
    <xf numFmtId="0" fontId="9" fillId="3" borderId="8" xfId="0" applyFont="1" applyFill="1" applyBorder="1" applyAlignment="1" applyProtection="1">
      <alignment horizontal="left" vertical="top" wrapText="1"/>
      <protection locked="0"/>
    </xf>
    <xf numFmtId="0" fontId="12" fillId="3" borderId="23" xfId="0" applyFont="1" applyFill="1" applyBorder="1" applyAlignment="1">
      <alignment horizontal="center" vertical="top" wrapText="1"/>
    </xf>
    <xf numFmtId="0" fontId="7" fillId="3" borderId="18" xfId="0" applyFont="1" applyFill="1" applyBorder="1" applyAlignment="1">
      <alignment horizontal="left" vertical="top"/>
    </xf>
    <xf numFmtId="0" fontId="7" fillId="3" borderId="19" xfId="0" applyFont="1" applyFill="1" applyBorder="1" applyAlignment="1">
      <alignment vertical="top"/>
    </xf>
    <xf numFmtId="0" fontId="9" fillId="3" borderId="18" xfId="0" applyFont="1" applyFill="1" applyBorder="1" applyAlignment="1" applyProtection="1">
      <alignment horizontal="left" vertical="top" wrapText="1"/>
      <protection locked="0"/>
    </xf>
    <xf numFmtId="0" fontId="17" fillId="3" borderId="20" xfId="0" applyFont="1" applyFill="1" applyBorder="1" applyAlignment="1">
      <alignment horizontal="center" vertical="center" wrapText="1"/>
    </xf>
    <xf numFmtId="0" fontId="8" fillId="0" borderId="0" xfId="0" applyFont="1" applyProtection="1">
      <protection locked="0"/>
    </xf>
    <xf numFmtId="0" fontId="8" fillId="3" borderId="5" xfId="0" applyFont="1" applyFill="1" applyBorder="1" applyProtection="1">
      <protection locked="0"/>
    </xf>
    <xf numFmtId="0" fontId="8" fillId="3" borderId="7" xfId="0" applyFont="1" applyFill="1" applyBorder="1" applyProtection="1">
      <protection locked="0"/>
    </xf>
    <xf numFmtId="0" fontId="15" fillId="3" borderId="5" xfId="0" applyFont="1" applyFill="1" applyBorder="1" applyAlignment="1">
      <alignment horizontal="center" vertical="center" wrapText="1"/>
    </xf>
    <xf numFmtId="0" fontId="15" fillId="3" borderId="5" xfId="0" applyFont="1" applyFill="1" applyBorder="1" applyAlignment="1">
      <alignment vertical="top" wrapText="1"/>
    </xf>
    <xf numFmtId="0" fontId="12" fillId="3" borderId="7" xfId="0" applyFont="1" applyFill="1" applyBorder="1" applyAlignment="1">
      <alignment horizontal="center" vertical="center" wrapText="1"/>
    </xf>
    <xf numFmtId="0" fontId="8" fillId="3" borderId="24" xfId="0" applyFont="1" applyFill="1" applyBorder="1" applyAlignment="1" applyProtection="1">
      <alignment vertical="center" wrapText="1"/>
      <protection locked="0"/>
    </xf>
    <xf numFmtId="0" fontId="8" fillId="3" borderId="5" xfId="0" applyFont="1" applyFill="1" applyBorder="1" applyAlignment="1" applyProtection="1">
      <alignment vertical="center" wrapText="1"/>
      <protection locked="0"/>
    </xf>
    <xf numFmtId="0" fontId="15" fillId="3" borderId="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8" fillId="3" borderId="19" xfId="0" applyFont="1" applyFill="1" applyBorder="1" applyAlignment="1" applyProtection="1">
      <alignment vertical="center" wrapText="1"/>
      <protection locked="0"/>
    </xf>
    <xf numFmtId="0" fontId="12" fillId="3" borderId="5" xfId="0" applyFont="1" applyFill="1" applyBorder="1" applyAlignment="1">
      <alignment horizontal="center" vertical="center"/>
    </xf>
    <xf numFmtId="0" fontId="8" fillId="3" borderId="5" xfId="0" applyFont="1" applyFill="1" applyBorder="1" applyAlignment="1" applyProtection="1">
      <alignment vertical="center"/>
      <protection locked="0"/>
    </xf>
    <xf numFmtId="0" fontId="8" fillId="3" borderId="21" xfId="0" applyFont="1" applyFill="1" applyBorder="1" applyAlignment="1" applyProtection="1">
      <alignment vertical="center"/>
      <protection locked="0"/>
    </xf>
    <xf numFmtId="0" fontId="7" fillId="9" borderId="8" xfId="0" applyFont="1" applyFill="1" applyBorder="1" applyAlignment="1">
      <alignment horizontal="center" vertical="center" wrapText="1"/>
    </xf>
    <xf numFmtId="0" fontId="2" fillId="3" borderId="19" xfId="0" applyFont="1" applyFill="1" applyBorder="1" applyAlignment="1">
      <alignment vertical="center" wrapText="1"/>
    </xf>
    <xf numFmtId="0" fontId="2" fillId="3" borderId="5" xfId="0" applyFont="1" applyFill="1" applyBorder="1" applyAlignment="1">
      <alignment vertical="center" wrapText="1"/>
    </xf>
    <xf numFmtId="0" fontId="17" fillId="3" borderId="4" xfId="0" applyFont="1" applyFill="1" applyBorder="1" applyAlignment="1">
      <alignment horizontal="center" vertical="center" wrapText="1"/>
    </xf>
    <xf numFmtId="168" fontId="2" fillId="3" borderId="5" xfId="0" applyNumberFormat="1" applyFont="1" applyFill="1" applyBorder="1" applyAlignment="1">
      <alignment vertical="center" wrapText="1"/>
    </xf>
    <xf numFmtId="0" fontId="15" fillId="3" borderId="29"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5" fillId="3" borderId="32"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7" fillId="9" borderId="29" xfId="0" applyFont="1" applyFill="1" applyBorder="1" applyAlignment="1">
      <alignment horizontal="center" vertical="center" wrapText="1"/>
    </xf>
    <xf numFmtId="0" fontId="2" fillId="3" borderId="30" xfId="0" applyFont="1" applyFill="1" applyBorder="1" applyAlignment="1">
      <alignment vertical="center" wrapText="1"/>
    </xf>
    <xf numFmtId="0" fontId="2" fillId="3" borderId="33" xfId="0" applyFont="1" applyFill="1" applyBorder="1" applyAlignment="1">
      <alignment vertical="center" wrapText="1"/>
    </xf>
    <xf numFmtId="0" fontId="2" fillId="3" borderId="34" xfId="0" applyFont="1" applyFill="1" applyBorder="1" applyAlignment="1">
      <alignment vertical="center" wrapText="1"/>
    </xf>
    <xf numFmtId="0" fontId="20" fillId="3" borderId="36" xfId="0" applyFont="1" applyFill="1" applyBorder="1" applyAlignment="1">
      <alignment horizontal="center" vertical="center" wrapText="1"/>
    </xf>
    <xf numFmtId="0" fontId="21" fillId="0" borderId="0" xfId="0" applyFont="1" applyAlignment="1">
      <alignment vertical="center"/>
    </xf>
    <xf numFmtId="0" fontId="0" fillId="0" borderId="17" xfId="0" applyBorder="1"/>
    <xf numFmtId="0" fontId="1" fillId="0" borderId="17" xfId="0" applyFont="1" applyBorder="1"/>
    <xf numFmtId="164" fontId="0" fillId="0" borderId="0" xfId="0" applyNumberFormat="1"/>
    <xf numFmtId="164" fontId="0" fillId="0" borderId="17" xfId="0" applyNumberFormat="1" applyBorder="1"/>
    <xf numFmtId="0" fontId="0" fillId="0" borderId="0" xfId="0" applyAlignment="1">
      <alignment horizontal="center"/>
    </xf>
    <xf numFmtId="0" fontId="0" fillId="0" borderId="50" xfId="0" applyBorder="1"/>
    <xf numFmtId="0" fontId="0" fillId="0" borderId="52" xfId="0" applyBorder="1"/>
    <xf numFmtId="0" fontId="0" fillId="0" borderId="53" xfId="0" applyBorder="1"/>
    <xf numFmtId="0" fontId="0" fillId="0" borderId="54" xfId="0" applyBorder="1"/>
    <xf numFmtId="170" fontId="1" fillId="0" borderId="17" xfId="0" applyNumberFormat="1" applyFont="1" applyBorder="1" applyAlignment="1">
      <alignment horizontal="center"/>
    </xf>
    <xf numFmtId="167" fontId="1" fillId="0" borderId="17" xfId="0" applyNumberFormat="1" applyFont="1" applyBorder="1" applyAlignment="1">
      <alignment horizontal="center"/>
    </xf>
    <xf numFmtId="0" fontId="32" fillId="0" borderId="0" xfId="0" applyFont="1" applyAlignment="1">
      <alignment horizontal="left" vertical="center"/>
    </xf>
    <xf numFmtId="0" fontId="1" fillId="0" borderId="17" xfId="0" applyFont="1" applyBorder="1" applyAlignment="1">
      <alignment horizontal="left"/>
    </xf>
    <xf numFmtId="171" fontId="0" fillId="0" borderId="0" xfId="0" applyNumberFormat="1" applyAlignment="1">
      <alignment horizontal="center"/>
    </xf>
    <xf numFmtId="0" fontId="0" fillId="0" borderId="9" xfId="0" applyBorder="1"/>
    <xf numFmtId="0" fontId="0" fillId="0" borderId="16" xfId="0" applyBorder="1" applyAlignment="1">
      <alignment horizontal="center"/>
    </xf>
    <xf numFmtId="165" fontId="0" fillId="0" borderId="16" xfId="0" applyNumberFormat="1" applyBorder="1" applyAlignment="1">
      <alignment horizontal="center"/>
    </xf>
    <xf numFmtId="173" fontId="0" fillId="0" borderId="16" xfId="0" applyNumberFormat="1" applyBorder="1" applyAlignment="1">
      <alignment horizontal="center"/>
    </xf>
    <xf numFmtId="172" fontId="0" fillId="0" borderId="16" xfId="0" applyNumberFormat="1" applyBorder="1" applyAlignment="1">
      <alignment horizontal="center"/>
    </xf>
    <xf numFmtId="0" fontId="6" fillId="0" borderId="0" xfId="0" applyFont="1" applyAlignment="1">
      <alignment horizontal="center"/>
    </xf>
    <xf numFmtId="0" fontId="6" fillId="0" borderId="0" xfId="0" applyFont="1" applyAlignment="1">
      <alignment horizontal="center" vertical="top"/>
    </xf>
    <xf numFmtId="0" fontId="0" fillId="0" borderId="56" xfId="0" applyBorder="1"/>
    <xf numFmtId="0" fontId="6" fillId="0" borderId="57" xfId="0" applyFont="1" applyBorder="1" applyAlignment="1">
      <alignment horizontal="center"/>
    </xf>
    <xf numFmtId="0" fontId="6" fillId="0" borderId="57" xfId="0" applyFont="1" applyBorder="1" applyAlignment="1">
      <alignment horizontal="left" vertical="top" wrapText="1"/>
    </xf>
    <xf numFmtId="0" fontId="0" fillId="0" borderId="58" xfId="0" applyBorder="1"/>
    <xf numFmtId="0" fontId="0" fillId="0" borderId="0" xfId="5" applyFont="1"/>
    <xf numFmtId="165" fontId="1" fillId="0" borderId="0" xfId="0" applyNumberFormat="1" applyFont="1"/>
    <xf numFmtId="0" fontId="1" fillId="0" borderId="0" xfId="5"/>
    <xf numFmtId="169" fontId="1" fillId="0" borderId="0" xfId="0" applyNumberFormat="1" applyFont="1"/>
    <xf numFmtId="0" fontId="1" fillId="0" borderId="0" xfId="0" applyFont="1" applyAlignment="1">
      <alignment horizontal="right"/>
    </xf>
    <xf numFmtId="0" fontId="25" fillId="0" borderId="45" xfId="0" applyFont="1" applyBorder="1" applyAlignment="1">
      <alignment horizontal="center"/>
    </xf>
    <xf numFmtId="10" fontId="1" fillId="0" borderId="44" xfId="0" applyNumberFormat="1" applyFont="1" applyBorder="1" applyAlignment="1">
      <alignment vertical="center"/>
    </xf>
    <xf numFmtId="167" fontId="1" fillId="0" borderId="44" xfId="0" applyNumberFormat="1" applyFont="1" applyBorder="1" applyAlignment="1">
      <alignment vertical="center"/>
    </xf>
    <xf numFmtId="10" fontId="1" fillId="0" borderId="17" xfId="0" applyNumberFormat="1" applyFont="1" applyBorder="1" applyAlignment="1">
      <alignment vertical="center"/>
    </xf>
    <xf numFmtId="167" fontId="1" fillId="0" borderId="17" xfId="0" applyNumberFormat="1" applyFont="1" applyBorder="1" applyAlignment="1">
      <alignment vertical="center"/>
    </xf>
    <xf numFmtId="0" fontId="22" fillId="0" borderId="9" xfId="5" applyFont="1" applyBorder="1" applyAlignment="1">
      <alignment horizontal="center" vertical="center"/>
    </xf>
    <xf numFmtId="0" fontId="1" fillId="0" borderId="0" xfId="5" applyAlignment="1">
      <alignment horizontal="center" vertical="center"/>
    </xf>
    <xf numFmtId="0" fontId="0" fillId="0" borderId="14" xfId="5" applyFont="1" applyBorder="1" applyAlignment="1">
      <alignment horizontal="center" vertical="center"/>
    </xf>
    <xf numFmtId="0" fontId="0" fillId="0" borderId="0" xfId="0" applyAlignment="1">
      <alignment horizontal="left"/>
    </xf>
    <xf numFmtId="0" fontId="1" fillId="0" borderId="0" xfId="5" applyAlignment="1">
      <alignment horizontal="center"/>
    </xf>
    <xf numFmtId="0" fontId="25" fillId="0" borderId="17" xfId="0" applyFont="1" applyBorder="1" applyAlignment="1">
      <alignment horizontal="center"/>
    </xf>
    <xf numFmtId="0" fontId="22" fillId="0" borderId="45" xfId="0" applyFont="1" applyBorder="1"/>
    <xf numFmtId="0" fontId="25" fillId="0" borderId="43" xfId="0" applyFont="1" applyBorder="1" applyAlignment="1">
      <alignment horizontal="center"/>
    </xf>
    <xf numFmtId="0" fontId="1" fillId="0" borderId="44" xfId="0" applyFont="1" applyBorder="1" applyAlignment="1">
      <alignment horizontal="center"/>
    </xf>
    <xf numFmtId="0" fontId="4" fillId="0" borderId="17" xfId="0" applyFont="1" applyBorder="1" applyAlignment="1">
      <alignment horizontal="center"/>
    </xf>
    <xf numFmtId="0" fontId="0" fillId="0" borderId="17" xfId="0" applyBorder="1" applyAlignment="1">
      <alignment horizontal="center"/>
    </xf>
    <xf numFmtId="0" fontId="22" fillId="0" borderId="17" xfId="0" applyFont="1" applyBorder="1" applyAlignment="1">
      <alignment horizontal="center"/>
    </xf>
    <xf numFmtId="2" fontId="1" fillId="0" borderId="17" xfId="0" applyNumberFormat="1" applyFont="1" applyBorder="1" applyAlignment="1">
      <alignment horizontal="center"/>
    </xf>
    <xf numFmtId="174" fontId="0" fillId="0" borderId="0" xfId="3" applyNumberFormat="1" applyFont="1" applyBorder="1" applyProtection="1"/>
    <xf numFmtId="174" fontId="0" fillId="0" borderId="0" xfId="3" applyNumberFormat="1" applyFont="1" applyBorder="1" applyAlignment="1" applyProtection="1">
      <alignment vertical="center"/>
    </xf>
    <xf numFmtId="0" fontId="22" fillId="0" borderId="0" xfId="0" applyFont="1" applyAlignment="1">
      <alignment horizontal="center"/>
    </xf>
    <xf numFmtId="1" fontId="22" fillId="0" borderId="45" xfId="0" applyNumberFormat="1" applyFont="1" applyBorder="1" applyAlignment="1">
      <alignment horizontal="center" vertical="center"/>
    </xf>
    <xf numFmtId="1" fontId="22" fillId="0" borderId="0" xfId="0" applyNumberFormat="1" applyFont="1" applyAlignment="1">
      <alignment horizontal="center" vertical="center"/>
    </xf>
    <xf numFmtId="1" fontId="25" fillId="0" borderId="43" xfId="0" applyNumberFormat="1" applyFont="1" applyBorder="1" applyAlignment="1">
      <alignment horizontal="center" vertical="center"/>
    </xf>
    <xf numFmtId="1" fontId="1" fillId="0" borderId="17" xfId="0" applyNumberFormat="1" applyFont="1" applyBorder="1" applyAlignment="1">
      <alignment horizontal="center" vertical="center"/>
    </xf>
    <xf numFmtId="169" fontId="1" fillId="0" borderId="17" xfId="0" applyNumberFormat="1" applyFont="1" applyBorder="1" applyAlignment="1">
      <alignment horizontal="left" vertical="center" indent="1"/>
    </xf>
    <xf numFmtId="169" fontId="0" fillId="0" borderId="0" xfId="0" applyNumberFormat="1" applyAlignment="1">
      <alignment horizontal="left" vertical="center" indent="1"/>
    </xf>
    <xf numFmtId="0" fontId="36" fillId="0" borderId="0" xfId="0" applyFont="1" applyAlignment="1">
      <alignment vertical="center"/>
    </xf>
    <xf numFmtId="0" fontId="37" fillId="0" borderId="0" xfId="0" applyFont="1" applyAlignment="1">
      <alignment vertical="center"/>
    </xf>
    <xf numFmtId="0" fontId="36" fillId="0" borderId="0" xfId="0" applyFont="1"/>
    <xf numFmtId="0" fontId="25" fillId="6" borderId="17" xfId="0" applyFont="1" applyFill="1" applyBorder="1" applyAlignment="1">
      <alignment horizontal="center"/>
    </xf>
    <xf numFmtId="0" fontId="25" fillId="6" borderId="43" xfId="0" applyFont="1" applyFill="1" applyBorder="1" applyAlignment="1">
      <alignment horizontal="center"/>
    </xf>
    <xf numFmtId="0" fontId="25" fillId="6" borderId="22" xfId="0" applyFont="1" applyFill="1" applyBorder="1" applyAlignment="1">
      <alignment horizontal="center"/>
    </xf>
    <xf numFmtId="0" fontId="0" fillId="6" borderId="16" xfId="0" applyFill="1" applyBorder="1"/>
    <xf numFmtId="0" fontId="0" fillId="6" borderId="12" xfId="0" applyFill="1" applyBorder="1"/>
    <xf numFmtId="0" fontId="25" fillId="0" borderId="15" xfId="0" applyFont="1" applyBorder="1" applyAlignment="1">
      <alignment horizontal="center"/>
    </xf>
    <xf numFmtId="0" fontId="0" fillId="0" borderId="16" xfId="0" applyBorder="1"/>
    <xf numFmtId="0" fontId="0" fillId="0" borderId="12" xfId="0" applyBorder="1" applyAlignment="1">
      <alignment horizontal="left"/>
    </xf>
    <xf numFmtId="0" fontId="1" fillId="0" borderId="22" xfId="0" applyFont="1" applyBorder="1" applyAlignment="1">
      <alignment horizontal="left"/>
    </xf>
    <xf numFmtId="0" fontId="0" fillId="0" borderId="12" xfId="0" applyBorder="1"/>
    <xf numFmtId="1" fontId="1" fillId="0" borderId="17" xfId="0" applyNumberFormat="1" applyFont="1" applyBorder="1" applyAlignment="1">
      <alignment horizontal="left"/>
    </xf>
    <xf numFmtId="169" fontId="1" fillId="0" borderId="0" xfId="0" applyNumberFormat="1" applyFont="1" applyAlignment="1">
      <alignment horizontal="center"/>
    </xf>
    <xf numFmtId="0" fontId="39" fillId="0" borderId="0" xfId="0" applyFont="1"/>
    <xf numFmtId="0" fontId="40" fillId="0" borderId="0" xfId="0" applyFont="1"/>
    <xf numFmtId="167" fontId="1" fillId="0" borderId="0" xfId="0" applyNumberFormat="1" applyFont="1"/>
    <xf numFmtId="167" fontId="1" fillId="0" borderId="0" xfId="0" applyNumberFormat="1" applyFont="1" applyAlignment="1">
      <alignment horizontal="center"/>
    </xf>
    <xf numFmtId="175" fontId="1" fillId="0" borderId="0" xfId="0" applyNumberFormat="1" applyFont="1"/>
    <xf numFmtId="171" fontId="1" fillId="0" borderId="0" xfId="0" applyNumberFormat="1" applyFont="1"/>
    <xf numFmtId="0" fontId="25" fillId="20" borderId="45" xfId="0" applyFont="1" applyFill="1" applyBorder="1" applyAlignment="1">
      <alignment horizontal="center"/>
    </xf>
    <xf numFmtId="0" fontId="1" fillId="0" borderId="44" xfId="0" applyFont="1" applyBorder="1"/>
    <xf numFmtId="0" fontId="1" fillId="19" borderId="44" xfId="0" applyFont="1" applyFill="1" applyBorder="1" applyAlignment="1">
      <alignment horizontal="center"/>
    </xf>
    <xf numFmtId="169" fontId="1" fillId="19" borderId="44" xfId="0" applyNumberFormat="1" applyFont="1" applyFill="1" applyBorder="1" applyAlignment="1">
      <alignment horizontal="center"/>
    </xf>
    <xf numFmtId="167" fontId="1" fillId="19" borderId="44" xfId="0" applyNumberFormat="1" applyFont="1" applyFill="1" applyBorder="1"/>
    <xf numFmtId="173" fontId="1" fillId="0" borderId="44" xfId="0" applyNumberFormat="1" applyFont="1" applyBorder="1" applyAlignment="1">
      <alignment horizontal="center"/>
    </xf>
    <xf numFmtId="171" fontId="1" fillId="0" borderId="44" xfId="0" applyNumberFormat="1" applyFont="1" applyBorder="1"/>
    <xf numFmtId="170" fontId="1" fillId="0" borderId="44" xfId="0" applyNumberFormat="1" applyFont="1" applyBorder="1" applyAlignment="1">
      <alignment horizontal="center"/>
    </xf>
    <xf numFmtId="0" fontId="1" fillId="19" borderId="17" xfId="0" applyFont="1" applyFill="1" applyBorder="1" applyAlignment="1">
      <alignment horizontal="center"/>
    </xf>
    <xf numFmtId="169" fontId="1" fillId="19" borderId="17" xfId="0" applyNumberFormat="1" applyFont="1" applyFill="1" applyBorder="1" applyAlignment="1">
      <alignment horizontal="center"/>
    </xf>
    <xf numFmtId="165" fontId="1" fillId="19" borderId="17" xfId="0" applyNumberFormat="1" applyFont="1" applyFill="1" applyBorder="1" applyAlignment="1">
      <alignment horizontal="center"/>
    </xf>
    <xf numFmtId="171" fontId="1" fillId="0" borderId="17" xfId="0" applyNumberFormat="1" applyFont="1" applyBorder="1"/>
    <xf numFmtId="0" fontId="0" fillId="5" borderId="17" xfId="0" applyFill="1" applyBorder="1" applyAlignment="1">
      <alignment horizontal="center"/>
    </xf>
    <xf numFmtId="0" fontId="0" fillId="5" borderId="17" xfId="0" applyFill="1" applyBorder="1"/>
    <xf numFmtId="167" fontId="1" fillId="0" borderId="17" xfId="0" applyNumberFormat="1" applyFont="1" applyBorder="1"/>
    <xf numFmtId="173" fontId="1" fillId="0" borderId="17" xfId="0" applyNumberFormat="1" applyFont="1" applyBorder="1" applyAlignment="1">
      <alignment horizontal="center"/>
    </xf>
    <xf numFmtId="171" fontId="1" fillId="0" borderId="17" xfId="1" applyNumberFormat="1" applyBorder="1" applyProtection="1"/>
    <xf numFmtId="0" fontId="1" fillId="0" borderId="43" xfId="0" applyFont="1" applyBorder="1"/>
    <xf numFmtId="171" fontId="1" fillId="0" borderId="43" xfId="1" applyNumberFormat="1" applyBorder="1" applyProtection="1"/>
    <xf numFmtId="171" fontId="1" fillId="0" borderId="46" xfId="0" applyNumberFormat="1" applyFont="1" applyBorder="1"/>
    <xf numFmtId="0" fontId="25" fillId="14" borderId="17" xfId="0" applyFont="1" applyFill="1" applyBorder="1" applyAlignment="1">
      <alignment horizontal="center"/>
    </xf>
    <xf numFmtId="0" fontId="1" fillId="0" borderId="46" xfId="0" applyFont="1" applyBorder="1"/>
    <xf numFmtId="167" fontId="1" fillId="0" borderId="44" xfId="0" applyNumberFormat="1" applyFont="1" applyBorder="1" applyAlignment="1">
      <alignment horizontal="center"/>
    </xf>
    <xf numFmtId="37" fontId="1" fillId="0" borderId="17" xfId="0" applyNumberFormat="1" applyFont="1" applyBorder="1" applyAlignment="1">
      <alignment horizontal="center"/>
    </xf>
    <xf numFmtId="173" fontId="0" fillId="0" borderId="0" xfId="0" applyNumberFormat="1" applyAlignment="1">
      <alignment horizontal="center"/>
    </xf>
    <xf numFmtId="164" fontId="1" fillId="20" borderId="17" xfId="0" applyNumberFormat="1" applyFont="1" applyFill="1" applyBorder="1" applyAlignment="1">
      <alignment horizontal="center"/>
    </xf>
    <xf numFmtId="0" fontId="1" fillId="20" borderId="17" xfId="0" applyFont="1" applyFill="1" applyBorder="1" applyAlignment="1">
      <alignment horizontal="center"/>
    </xf>
    <xf numFmtId="0" fontId="1" fillId="20" borderId="17" xfId="5" applyFill="1" applyBorder="1" applyAlignment="1">
      <alignment horizontal="center"/>
    </xf>
    <xf numFmtId="174" fontId="1" fillId="0" borderId="17" xfId="3" applyNumberFormat="1" applyBorder="1" applyAlignment="1" applyProtection="1">
      <alignment horizontal="center"/>
    </xf>
    <xf numFmtId="0" fontId="1" fillId="0" borderId="17" xfId="5" applyBorder="1"/>
    <xf numFmtId="164" fontId="1" fillId="0" borderId="17" xfId="0" applyNumberFormat="1" applyFont="1" applyBorder="1" applyAlignment="1">
      <alignment horizontal="center"/>
    </xf>
    <xf numFmtId="173" fontId="1" fillId="0" borderId="0" xfId="0" applyNumberFormat="1" applyFont="1" applyAlignment="1">
      <alignment horizontal="right" indent="1"/>
    </xf>
    <xf numFmtId="167" fontId="1" fillId="0" borderId="0" xfId="0" applyNumberFormat="1" applyFont="1" applyAlignment="1">
      <alignment horizontal="right"/>
    </xf>
    <xf numFmtId="167" fontId="0" fillId="0" borderId="0" xfId="1" applyFont="1" applyBorder="1" applyProtection="1"/>
    <xf numFmtId="0" fontId="1" fillId="0" borderId="0" xfId="0" applyFont="1" applyAlignment="1">
      <alignment horizontal="left" indent="1"/>
    </xf>
    <xf numFmtId="0" fontId="25" fillId="14" borderId="43" xfId="0" applyFont="1" applyFill="1" applyBorder="1" applyAlignment="1">
      <alignment horizontal="center"/>
    </xf>
    <xf numFmtId="0" fontId="25" fillId="14" borderId="22" xfId="0" applyFont="1" applyFill="1" applyBorder="1" applyAlignment="1">
      <alignment horizontal="center"/>
    </xf>
    <xf numFmtId="0" fontId="0" fillId="14" borderId="16" xfId="0" applyFill="1" applyBorder="1"/>
    <xf numFmtId="0" fontId="0" fillId="14" borderId="12" xfId="0" applyFill="1" applyBorder="1"/>
    <xf numFmtId="0" fontId="1" fillId="0" borderId="0" xfId="0" applyFont="1" applyAlignment="1">
      <alignment horizontal="center"/>
    </xf>
    <xf numFmtId="0" fontId="1" fillId="5" borderId="17" xfId="0" applyFont="1" applyFill="1" applyBorder="1" applyAlignment="1">
      <alignment horizontal="center"/>
    </xf>
    <xf numFmtId="0" fontId="25" fillId="15" borderId="45" xfId="0" applyFont="1" applyFill="1" applyBorder="1" applyAlignment="1">
      <alignment horizontal="center"/>
    </xf>
    <xf numFmtId="0" fontId="25" fillId="0" borderId="45" xfId="5" applyFont="1" applyBorder="1" applyAlignment="1">
      <alignment horizontal="center"/>
    </xf>
    <xf numFmtId="169" fontId="1" fillId="0" borderId="44" xfId="5" applyNumberFormat="1" applyBorder="1" applyAlignment="1">
      <alignment horizontal="center"/>
    </xf>
    <xf numFmtId="0" fontId="1" fillId="0" borderId="44" xfId="5" applyBorder="1"/>
    <xf numFmtId="167" fontId="1" fillId="0" borderId="44" xfId="5" applyNumberFormat="1" applyBorder="1"/>
    <xf numFmtId="173" fontId="1" fillId="0" borderId="44" xfId="5" applyNumberFormat="1" applyBorder="1" applyAlignment="1">
      <alignment horizontal="center"/>
    </xf>
    <xf numFmtId="167" fontId="1" fillId="0" borderId="17" xfId="5" applyNumberFormat="1" applyBorder="1"/>
    <xf numFmtId="173" fontId="1" fillId="0" borderId="17" xfId="5" applyNumberFormat="1" applyBorder="1" applyAlignment="1">
      <alignment horizontal="center"/>
    </xf>
    <xf numFmtId="0" fontId="37" fillId="0" borderId="0" xfId="5" applyFont="1"/>
    <xf numFmtId="1" fontId="1" fillId="0" borderId="0" xfId="5" applyNumberFormat="1" applyAlignment="1">
      <alignment horizontal="center"/>
    </xf>
    <xf numFmtId="49" fontId="1" fillId="0" borderId="0" xfId="5" applyNumberFormat="1" applyAlignment="1">
      <alignment horizontal="center"/>
    </xf>
    <xf numFmtId="0" fontId="1" fillId="0" borderId="0" xfId="5" applyAlignment="1">
      <alignment horizontal="left" indent="1"/>
    </xf>
    <xf numFmtId="171" fontId="1" fillId="0" borderId="0" xfId="5" applyNumberFormat="1"/>
    <xf numFmtId="10" fontId="1" fillId="0" borderId="0" xfId="5" applyNumberFormat="1"/>
    <xf numFmtId="3" fontId="1" fillId="0" borderId="0" xfId="5" applyNumberFormat="1"/>
    <xf numFmtId="169" fontId="1" fillId="0" borderId="0" xfId="5" applyNumberFormat="1"/>
    <xf numFmtId="49" fontId="1" fillId="0" borderId="0" xfId="0" applyNumberFormat="1" applyFont="1" applyAlignment="1">
      <alignment horizontal="left" indent="1"/>
    </xf>
    <xf numFmtId="171" fontId="1" fillId="0" borderId="0" xfId="0" applyNumberFormat="1" applyFont="1" applyAlignment="1">
      <alignment horizontal="left" indent="1"/>
    </xf>
    <xf numFmtId="49" fontId="1" fillId="0" borderId="0" xfId="0" applyNumberFormat="1" applyFont="1" applyAlignment="1">
      <alignment horizontal="left"/>
    </xf>
    <xf numFmtId="176" fontId="1" fillId="0" borderId="0" xfId="0" applyNumberFormat="1" applyFont="1" applyAlignment="1">
      <alignment horizontal="left" indent="1"/>
    </xf>
    <xf numFmtId="3" fontId="1" fillId="0" borderId="0" xfId="5" applyNumberFormat="1" applyAlignment="1">
      <alignment horizontal="center"/>
    </xf>
    <xf numFmtId="49" fontId="22" fillId="0" borderId="0" xfId="0" applyNumberFormat="1" applyFont="1" applyAlignment="1">
      <alignment horizontal="left"/>
    </xf>
    <xf numFmtId="171" fontId="22" fillId="0" borderId="0" xfId="0" applyNumberFormat="1" applyFont="1" applyAlignment="1">
      <alignment horizontal="left"/>
    </xf>
    <xf numFmtId="171" fontId="1" fillId="0" borderId="0" xfId="0" applyNumberFormat="1" applyFont="1" applyAlignment="1">
      <alignment horizontal="left"/>
    </xf>
    <xf numFmtId="9" fontId="1" fillId="0" borderId="0" xfId="3" applyBorder="1" applyAlignment="1" applyProtection="1">
      <alignment horizontal="center"/>
    </xf>
    <xf numFmtId="9" fontId="25" fillId="0" borderId="0" xfId="3" applyFont="1" applyBorder="1" applyAlignment="1" applyProtection="1">
      <alignment horizontal="center"/>
    </xf>
    <xf numFmtId="0" fontId="1" fillId="0" borderId="0" xfId="5" applyAlignment="1">
      <alignment horizontal="left" indent="2"/>
    </xf>
    <xf numFmtId="167" fontId="1" fillId="0" borderId="0" xfId="5" applyNumberFormat="1"/>
    <xf numFmtId="38" fontId="1" fillId="0" borderId="0" xfId="5" applyNumberFormat="1"/>
    <xf numFmtId="37" fontId="1" fillId="0" borderId="0" xfId="5" applyNumberFormat="1"/>
    <xf numFmtId="164" fontId="1" fillId="0" borderId="0" xfId="5" applyNumberFormat="1"/>
    <xf numFmtId="0" fontId="1" fillId="0" borderId="0" xfId="5" applyAlignment="1">
      <alignment horizontal="left"/>
    </xf>
    <xf numFmtId="166" fontId="0" fillId="0" borderId="0" xfId="5" applyNumberFormat="1" applyFont="1" applyAlignment="1">
      <alignment horizontal="center"/>
    </xf>
    <xf numFmtId="173" fontId="1" fillId="0" borderId="0" xfId="3" applyNumberFormat="1" applyBorder="1" applyAlignment="1" applyProtection="1">
      <alignment horizontal="center"/>
    </xf>
    <xf numFmtId="166" fontId="1" fillId="0" borderId="0" xfId="5" applyNumberFormat="1"/>
    <xf numFmtId="167" fontId="1" fillId="0" borderId="0" xfId="2" applyNumberFormat="1" applyBorder="1" applyProtection="1"/>
    <xf numFmtId="173" fontId="1" fillId="0" borderId="0" xfId="2" applyNumberFormat="1" applyBorder="1" applyAlignment="1" applyProtection="1">
      <alignment horizontal="center"/>
    </xf>
    <xf numFmtId="0" fontId="0" fillId="0" borderId="14" xfId="5" applyFont="1" applyBorder="1" applyAlignment="1">
      <alignment horizontal="center"/>
    </xf>
    <xf numFmtId="167" fontId="1" fillId="0" borderId="0" xfId="5" applyNumberFormat="1" applyAlignment="1">
      <alignment horizontal="center"/>
    </xf>
    <xf numFmtId="9" fontId="1" fillId="0" borderId="0" xfId="5" applyNumberFormat="1" applyAlignment="1">
      <alignment horizontal="center"/>
    </xf>
    <xf numFmtId="173" fontId="1" fillId="0" borderId="0" xfId="5" applyNumberFormat="1" applyAlignment="1">
      <alignment horizontal="center"/>
    </xf>
    <xf numFmtId="167" fontId="1" fillId="0" borderId="0" xfId="5" applyNumberFormat="1" applyAlignment="1">
      <alignment horizontal="left"/>
    </xf>
    <xf numFmtId="1" fontId="1" fillId="0" borderId="0" xfId="5" applyNumberFormat="1" applyAlignment="1">
      <alignment horizontal="right"/>
    </xf>
    <xf numFmtId="177" fontId="1" fillId="0" borderId="0" xfId="5" applyNumberFormat="1" applyAlignment="1">
      <alignment horizontal="center"/>
    </xf>
    <xf numFmtId="164" fontId="1" fillId="0" borderId="0" xfId="4" applyBorder="1" applyProtection="1"/>
    <xf numFmtId="178" fontId="1" fillId="0" borderId="0" xfId="3" applyNumberFormat="1" applyBorder="1" applyProtection="1"/>
    <xf numFmtId="0" fontId="25" fillId="0" borderId="45" xfId="5" applyFont="1" applyBorder="1" applyAlignment="1">
      <alignment horizontal="center" vertical="center"/>
    </xf>
    <xf numFmtId="49" fontId="25" fillId="0" borderId="45" xfId="5" applyNumberFormat="1" applyFont="1" applyBorder="1" applyAlignment="1">
      <alignment horizontal="center" vertical="center" wrapText="1"/>
    </xf>
    <xf numFmtId="0" fontId="0" fillId="0" borderId="44" xfId="5" applyFont="1" applyBorder="1" applyAlignment="1">
      <alignment horizontal="center"/>
    </xf>
    <xf numFmtId="3" fontId="1" fillId="0" borderId="46" xfId="5" applyNumberFormat="1" applyBorder="1" applyAlignment="1">
      <alignment horizontal="center" vertical="center"/>
    </xf>
    <xf numFmtId="0" fontId="0" fillId="0" borderId="17" xfId="5" applyFont="1" applyBorder="1" applyAlignment="1">
      <alignment horizontal="center"/>
    </xf>
    <xf numFmtId="3" fontId="1" fillId="0" borderId="17" xfId="5" applyNumberFormat="1" applyBorder="1" applyAlignment="1">
      <alignment horizontal="center" vertical="center"/>
    </xf>
    <xf numFmtId="0" fontId="1" fillId="0" borderId="44" xfId="5" applyBorder="1" applyAlignment="1">
      <alignment horizontal="center"/>
    </xf>
    <xf numFmtId="0" fontId="1" fillId="0" borderId="17" xfId="5" applyBorder="1" applyAlignment="1">
      <alignment horizontal="center"/>
    </xf>
    <xf numFmtId="49" fontId="25" fillId="0" borderId="43" xfId="5" applyNumberFormat="1" applyFont="1" applyBorder="1" applyAlignment="1">
      <alignment horizontal="center" vertical="center" wrapText="1"/>
    </xf>
    <xf numFmtId="0" fontId="0" fillId="17" borderId="0" xfId="5" applyFont="1" applyFill="1"/>
    <xf numFmtId="0" fontId="0" fillId="17" borderId="0" xfId="5" applyFont="1" applyFill="1" applyAlignment="1">
      <alignment horizontal="center"/>
    </xf>
    <xf numFmtId="0" fontId="42" fillId="0" borderId="0" xfId="5" applyFont="1"/>
    <xf numFmtId="0" fontId="32" fillId="0" borderId="0" xfId="5" applyFont="1"/>
    <xf numFmtId="0" fontId="0" fillId="0" borderId="15" xfId="5" applyFont="1" applyBorder="1"/>
    <xf numFmtId="0" fontId="0" fillId="0" borderId="60" xfId="5" applyFont="1" applyBorder="1"/>
    <xf numFmtId="0" fontId="0" fillId="0" borderId="13" xfId="5" applyFont="1" applyBorder="1"/>
    <xf numFmtId="0" fontId="0" fillId="0" borderId="62" xfId="5" applyFont="1" applyBorder="1"/>
    <xf numFmtId="165" fontId="0" fillId="17" borderId="0" xfId="5" applyNumberFormat="1" applyFont="1" applyFill="1"/>
    <xf numFmtId="167" fontId="0" fillId="17" borderId="0" xfId="5" applyNumberFormat="1" applyFont="1" applyFill="1"/>
    <xf numFmtId="0" fontId="0" fillId="0" borderId="63" xfId="5" applyFont="1" applyBorder="1"/>
    <xf numFmtId="0" fontId="0" fillId="0" borderId="65" xfId="5" applyFont="1" applyBorder="1"/>
    <xf numFmtId="0" fontId="0" fillId="17" borderId="0" xfId="5" applyFont="1" applyFill="1" applyAlignment="1">
      <alignment horizontal="left"/>
    </xf>
    <xf numFmtId="0" fontId="0" fillId="0" borderId="13" xfId="5" applyFont="1" applyBorder="1" applyAlignment="1">
      <alignment horizontal="left"/>
    </xf>
    <xf numFmtId="0" fontId="0" fillId="0" borderId="62" xfId="5" applyFont="1" applyBorder="1" applyAlignment="1">
      <alignment horizontal="left"/>
    </xf>
    <xf numFmtId="0" fontId="0" fillId="0" borderId="15" xfId="5" applyFont="1" applyBorder="1" applyAlignment="1">
      <alignment horizontal="left"/>
    </xf>
    <xf numFmtId="0" fontId="0" fillId="0" borderId="60" xfId="5" applyFont="1" applyBorder="1" applyAlignment="1">
      <alignment horizontal="left"/>
    </xf>
    <xf numFmtId="0" fontId="0" fillId="17" borderId="0" xfId="0" applyFill="1"/>
    <xf numFmtId="0" fontId="32" fillId="17" borderId="0" xfId="0" applyFont="1" applyFill="1" applyAlignment="1">
      <alignment horizontal="left" vertical="center"/>
    </xf>
    <xf numFmtId="0" fontId="15" fillId="3" borderId="42" xfId="0" applyFont="1" applyFill="1" applyBorder="1" applyAlignment="1">
      <alignment vertical="center" wrapText="1"/>
    </xf>
    <xf numFmtId="0" fontId="15" fillId="3" borderId="39" xfId="0" applyFont="1" applyFill="1" applyBorder="1" applyAlignment="1">
      <alignment vertical="top" wrapText="1"/>
    </xf>
    <xf numFmtId="0" fontId="15" fillId="3" borderId="40" xfId="0" applyFont="1" applyFill="1" applyBorder="1" applyAlignment="1">
      <alignment horizontal="left" vertical="top" wrapText="1"/>
    </xf>
    <xf numFmtId="0" fontId="11" fillId="13" borderId="38" xfId="0" applyFont="1" applyFill="1" applyBorder="1" applyAlignment="1">
      <alignment horizontal="center" vertical="center" wrapText="1"/>
    </xf>
    <xf numFmtId="0" fontId="11" fillId="13" borderId="39" xfId="0" applyFont="1" applyFill="1" applyBorder="1" applyAlignment="1">
      <alignment horizontal="center" vertical="center" wrapText="1"/>
    </xf>
    <xf numFmtId="0" fontId="11" fillId="13" borderId="40" xfId="0" applyFont="1" applyFill="1" applyBorder="1" applyAlignment="1">
      <alignment horizontal="center" vertical="center" wrapText="1"/>
    </xf>
    <xf numFmtId="0" fontId="15" fillId="3" borderId="41" xfId="0" applyFont="1" applyFill="1" applyBorder="1" applyAlignment="1">
      <alignment vertical="top" wrapText="1"/>
    </xf>
    <xf numFmtId="0" fontId="11" fillId="12" borderId="5" xfId="0" applyFont="1" applyFill="1" applyBorder="1" applyAlignment="1">
      <alignment horizontal="left" vertical="top" wrapText="1"/>
    </xf>
    <xf numFmtId="0" fontId="15" fillId="3" borderId="7" xfId="0" applyFont="1" applyFill="1" applyBorder="1" applyAlignment="1">
      <alignment horizontal="left" vertical="top" wrapText="1"/>
    </xf>
    <xf numFmtId="168" fontId="15" fillId="3" borderId="8" xfId="0" applyNumberFormat="1" applyFont="1" applyFill="1" applyBorder="1" applyAlignment="1">
      <alignment horizontal="center" vertical="center" wrapText="1"/>
    </xf>
    <xf numFmtId="0" fontId="15" fillId="3" borderId="21" xfId="0" applyFont="1" applyFill="1" applyBorder="1" applyAlignment="1">
      <alignment horizontal="left" vertical="top" wrapText="1"/>
    </xf>
    <xf numFmtId="168" fontId="7" fillId="3" borderId="21" xfId="0" applyNumberFormat="1" applyFont="1" applyFill="1" applyBorder="1" applyAlignment="1" applyProtection="1">
      <alignment horizontal="center" vertical="center" wrapText="1"/>
      <protection locked="0"/>
    </xf>
    <xf numFmtId="0" fontId="15" fillId="3" borderId="30" xfId="0" applyFont="1" applyFill="1" applyBorder="1" applyAlignment="1">
      <alignment vertical="center" wrapText="1"/>
    </xf>
    <xf numFmtId="0" fontId="15" fillId="3" borderId="30" xfId="0" applyFont="1" applyFill="1" applyBorder="1" applyAlignment="1">
      <alignment vertical="top" wrapText="1"/>
    </xf>
    <xf numFmtId="1" fontId="2" fillId="3" borderId="34" xfId="0" applyNumberFormat="1" applyFont="1" applyFill="1" applyBorder="1" applyAlignment="1">
      <alignment horizontal="center" vertical="center" wrapText="1"/>
    </xf>
    <xf numFmtId="0" fontId="17" fillId="3" borderId="35" xfId="0" applyFont="1" applyFill="1" applyBorder="1" applyAlignment="1">
      <alignment horizontal="left" vertical="center" wrapText="1" indent="6"/>
    </xf>
    <xf numFmtId="168" fontId="2" fillId="3" borderId="37" xfId="0" applyNumberFormat="1" applyFont="1" applyFill="1" applyBorder="1" applyAlignment="1">
      <alignment horizontal="center" vertical="center" wrapText="1"/>
    </xf>
    <xf numFmtId="0" fontId="15" fillId="3" borderId="5" xfId="0" applyFont="1" applyFill="1" applyBorder="1" applyAlignment="1">
      <alignment vertical="center" wrapText="1"/>
    </xf>
    <xf numFmtId="0" fontId="17" fillId="3" borderId="21" xfId="0" applyFont="1" applyFill="1" applyBorder="1" applyAlignment="1">
      <alignment horizontal="left" vertical="top" wrapText="1" indent="6"/>
    </xf>
    <xf numFmtId="0" fontId="11" fillId="11" borderId="21" xfId="0" applyFont="1" applyFill="1" applyBorder="1" applyAlignment="1">
      <alignment horizontal="center"/>
    </xf>
    <xf numFmtId="0" fontId="12" fillId="11" borderId="8" xfId="0" applyFont="1" applyFill="1" applyBorder="1" applyAlignment="1">
      <alignment horizontal="center" vertical="center" wrapText="1"/>
    </xf>
    <xf numFmtId="0" fontId="15" fillId="3" borderId="25" xfId="0" applyFont="1" applyFill="1" applyBorder="1" applyAlignment="1">
      <alignment horizontal="center" vertical="center" wrapText="1"/>
    </xf>
    <xf numFmtId="0" fontId="15" fillId="3" borderId="26" xfId="0" applyFont="1" applyFill="1" applyBorder="1" applyAlignment="1">
      <alignment horizontal="left" vertical="center" wrapText="1"/>
    </xf>
    <xf numFmtId="0" fontId="12" fillId="3" borderId="27" xfId="0" applyFont="1" applyFill="1" applyBorder="1" applyAlignment="1">
      <alignment horizontal="center" vertical="center" wrapText="1"/>
    </xf>
    <xf numFmtId="0" fontId="8" fillId="3" borderId="27" xfId="0" applyFont="1" applyFill="1" applyBorder="1" applyAlignment="1" applyProtection="1">
      <alignment horizontal="center" vertical="center" wrapText="1"/>
      <protection locked="0"/>
    </xf>
    <xf numFmtId="0" fontId="8" fillId="3" borderId="28" xfId="0" applyFont="1" applyFill="1" applyBorder="1" applyAlignment="1" applyProtection="1">
      <alignment horizontal="center" vertical="center" wrapText="1"/>
      <protection locked="0"/>
    </xf>
    <xf numFmtId="0" fontId="15" fillId="3" borderId="5" xfId="0" applyFont="1" applyFill="1" applyBorder="1" applyAlignment="1">
      <alignment vertical="top" wrapText="1"/>
    </xf>
    <xf numFmtId="0" fontId="11" fillId="10"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1" fillId="9" borderId="21" xfId="0" applyFont="1" applyFill="1" applyBorder="1" applyAlignment="1">
      <alignment horizontal="left" vertical="center"/>
    </xf>
    <xf numFmtId="0" fontId="16" fillId="9" borderId="8" xfId="0" applyFont="1" applyFill="1" applyBorder="1" applyAlignment="1">
      <alignment horizontal="left" vertical="top"/>
    </xf>
    <xf numFmtId="0" fontId="17" fillId="3" borderId="5" xfId="0" applyFont="1" applyFill="1" applyBorder="1" applyAlignment="1">
      <alignment horizontal="left" vertical="center" wrapText="1" indent="6"/>
    </xf>
    <xf numFmtId="0" fontId="11" fillId="9" borderId="5" xfId="0" applyFont="1" applyFill="1" applyBorder="1" applyAlignment="1">
      <alignment horizontal="center" vertical="center" wrapText="1"/>
    </xf>
    <xf numFmtId="0" fontId="10" fillId="8" borderId="21"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2" fillId="3" borderId="21" xfId="0" applyFont="1" applyFill="1" applyBorder="1" applyAlignment="1">
      <alignment horizontal="left" vertical="top"/>
    </xf>
    <xf numFmtId="0" fontId="13" fillId="3" borderId="3" xfId="0" applyFont="1" applyFill="1" applyBorder="1" applyAlignment="1">
      <alignment horizontal="left" vertical="center" wrapText="1"/>
    </xf>
    <xf numFmtId="0" fontId="9" fillId="3" borderId="8" xfId="0" applyFont="1" applyFill="1" applyBorder="1" applyAlignment="1" applyProtection="1">
      <alignment horizontal="left" vertical="top" wrapText="1"/>
      <protection locked="0"/>
    </xf>
    <xf numFmtId="0" fontId="31" fillId="0" borderId="0" xfId="0" applyFont="1" applyAlignment="1">
      <alignment horizontal="left" vertical="center"/>
    </xf>
    <xf numFmtId="0" fontId="27" fillId="0" borderId="0" xfId="0" applyFont="1" applyAlignment="1">
      <alignment horizontal="left" vertical="top" wrapText="1"/>
    </xf>
    <xf numFmtId="0" fontId="27" fillId="0" borderId="0" xfId="0" applyFont="1" applyAlignment="1">
      <alignment horizontal="left" vertical="center" wrapText="1"/>
    </xf>
    <xf numFmtId="0" fontId="34" fillId="0" borderId="0" xfId="0" applyFont="1" applyAlignment="1">
      <alignment horizontal="left"/>
    </xf>
    <xf numFmtId="0" fontId="29" fillId="0" borderId="0" xfId="0" applyFont="1" applyAlignment="1">
      <alignment horizontal="left" vertical="center" wrapText="1"/>
    </xf>
    <xf numFmtId="0" fontId="29" fillId="0" borderId="0" xfId="0" applyFont="1" applyAlignment="1">
      <alignment horizontal="center" wrapText="1"/>
    </xf>
    <xf numFmtId="0" fontId="34" fillId="0" borderId="0" xfId="0" applyFont="1" applyAlignment="1">
      <alignment horizontal="left" vertical="center"/>
    </xf>
    <xf numFmtId="0" fontId="0" fillId="0" borderId="0" xfId="0" applyAlignment="1">
      <alignment horizontal="center"/>
    </xf>
    <xf numFmtId="0" fontId="0" fillId="0" borderId="51" xfId="0" applyBorder="1"/>
    <xf numFmtId="0" fontId="25" fillId="0" borderId="0" xfId="0" applyFont="1" applyAlignment="1">
      <alignment horizontal="center" vertical="center" wrapText="1"/>
    </xf>
    <xf numFmtId="172" fontId="0" fillId="0" borderId="16" xfId="0" applyNumberFormat="1" applyBorder="1" applyAlignment="1">
      <alignment horizontal="center"/>
    </xf>
    <xf numFmtId="0" fontId="1" fillId="0" borderId="17" xfId="0" applyFont="1" applyBorder="1" applyAlignment="1">
      <alignment horizontal="left" vertical="center"/>
    </xf>
    <xf numFmtId="164" fontId="1" fillId="0" borderId="17" xfId="0" applyNumberFormat="1" applyFont="1" applyBorder="1" applyAlignment="1">
      <alignment horizontal="center" vertical="center"/>
    </xf>
    <xf numFmtId="174" fontId="25" fillId="0" borderId="17" xfId="0" applyNumberFormat="1" applyFont="1" applyBorder="1" applyAlignment="1">
      <alignment horizontal="center" vertical="center"/>
    </xf>
    <xf numFmtId="0" fontId="0" fillId="0" borderId="16" xfId="0" applyBorder="1" applyAlignment="1">
      <alignment horizontal="center"/>
    </xf>
    <xf numFmtId="165" fontId="0" fillId="0" borderId="16" xfId="0" applyNumberFormat="1" applyBorder="1" applyAlignment="1">
      <alignment horizontal="center"/>
    </xf>
    <xf numFmtId="173" fontId="0" fillId="0" borderId="16" xfId="0" applyNumberFormat="1" applyBorder="1" applyAlignment="1">
      <alignment horizontal="center"/>
    </xf>
    <xf numFmtId="164" fontId="1" fillId="19" borderId="17" xfId="0" applyNumberFormat="1" applyFont="1" applyFill="1" applyBorder="1" applyAlignment="1" applyProtection="1">
      <alignment horizontal="center" vertical="center"/>
      <protection locked="0"/>
    </xf>
    <xf numFmtId="0" fontId="0" fillId="0" borderId="55" xfId="0" applyBorder="1"/>
    <xf numFmtId="0" fontId="26" fillId="7" borderId="17" xfId="0" applyFont="1" applyFill="1" applyBorder="1" applyAlignment="1">
      <alignment horizontal="center" vertical="center"/>
    </xf>
    <xf numFmtId="0" fontId="25" fillId="0" borderId="17" xfId="0" applyFont="1" applyBorder="1" applyAlignment="1">
      <alignment horizontal="left" vertical="center"/>
    </xf>
    <xf numFmtId="169" fontId="25" fillId="0" borderId="59" xfId="0" applyNumberFormat="1" applyFont="1" applyBorder="1" applyAlignment="1" applyProtection="1">
      <alignment horizontal="center" vertical="center"/>
      <protection locked="0"/>
    </xf>
    <xf numFmtId="0" fontId="0" fillId="0" borderId="57" xfId="0" applyBorder="1" applyAlignment="1">
      <alignment horizontal="center"/>
    </xf>
    <xf numFmtId="0" fontId="0" fillId="0" borderId="9" xfId="0" applyBorder="1" applyAlignment="1">
      <alignment horizontal="center" vertical="center"/>
    </xf>
    <xf numFmtId="0" fontId="26" fillId="7" borderId="43" xfId="0" applyFont="1" applyFill="1" applyBorder="1" applyAlignment="1">
      <alignment horizontal="center" vertical="center"/>
    </xf>
    <xf numFmtId="169" fontId="0" fillId="19" borderId="10" xfId="0" applyNumberFormat="1" applyFill="1" applyBorder="1" applyAlignment="1" applyProtection="1">
      <alignment horizontal="center" vertical="center"/>
      <protection locked="0"/>
    </xf>
    <xf numFmtId="0" fontId="6" fillId="0" borderId="51" xfId="0" applyFont="1" applyBorder="1" applyAlignment="1">
      <alignment horizontal="right"/>
    </xf>
    <xf numFmtId="0" fontId="25" fillId="0" borderId="0" xfId="0" applyFont="1" applyAlignment="1">
      <alignment horizontal="left"/>
    </xf>
    <xf numFmtId="0" fontId="22" fillId="19" borderId="14" xfId="0" applyFont="1" applyFill="1" applyBorder="1" applyAlignment="1" applyProtection="1">
      <alignment horizontal="left" indent="1"/>
      <protection locked="0"/>
    </xf>
    <xf numFmtId="0" fontId="25" fillId="0" borderId="0" xfId="0" applyFont="1" applyAlignment="1">
      <alignment horizontal="center"/>
    </xf>
    <xf numFmtId="0" fontId="25" fillId="19" borderId="14" xfId="0" applyFont="1" applyFill="1" applyBorder="1" applyAlignment="1" applyProtection="1">
      <alignment horizontal="center"/>
      <protection locked="0"/>
    </xf>
    <xf numFmtId="0" fontId="23" fillId="17" borderId="47" xfId="0" applyFont="1" applyFill="1" applyBorder="1" applyAlignment="1">
      <alignment horizontal="center" vertical="center"/>
    </xf>
    <xf numFmtId="0" fontId="24" fillId="17" borderId="48" xfId="0" applyFont="1" applyFill="1" applyBorder="1" applyAlignment="1">
      <alignment horizontal="center" vertical="center"/>
    </xf>
    <xf numFmtId="0" fontId="25" fillId="17" borderId="48" xfId="0" applyFont="1" applyFill="1" applyBorder="1" applyAlignment="1">
      <alignment horizontal="center" vertical="center"/>
    </xf>
    <xf numFmtId="0" fontId="23" fillId="17" borderId="49" xfId="0" applyFont="1" applyFill="1" applyBorder="1" applyAlignment="1">
      <alignment horizontal="center" vertical="center"/>
    </xf>
    <xf numFmtId="0" fontId="25" fillId="0" borderId="14" xfId="5" applyFont="1" applyBorder="1"/>
    <xf numFmtId="0" fontId="28" fillId="7" borderId="17" xfId="5" applyFont="1" applyFill="1" applyBorder="1" applyAlignment="1">
      <alignment horizontal="center" vertical="center"/>
    </xf>
    <xf numFmtId="164" fontId="1" fillId="0" borderId="0" xfId="5" applyNumberFormat="1" applyAlignment="1">
      <alignment horizontal="center"/>
    </xf>
    <xf numFmtId="4" fontId="1" fillId="0" borderId="0" xfId="5" applyNumberFormat="1" applyAlignment="1">
      <alignment horizontal="center"/>
    </xf>
    <xf numFmtId="39" fontId="1" fillId="0" borderId="0" xfId="2" applyNumberFormat="1" applyBorder="1" applyAlignment="1" applyProtection="1">
      <alignment horizontal="center"/>
    </xf>
    <xf numFmtId="166" fontId="1" fillId="0" borderId="0" xfId="5" applyNumberFormat="1" applyAlignment="1">
      <alignment horizontal="center"/>
    </xf>
    <xf numFmtId="0" fontId="25" fillId="6" borderId="17" xfId="0" applyFont="1" applyFill="1" applyBorder="1" applyAlignment="1">
      <alignment horizontal="center"/>
    </xf>
    <xf numFmtId="0" fontId="25" fillId="0" borderId="45" xfId="5" applyFont="1" applyBorder="1" applyAlignment="1">
      <alignment horizontal="center"/>
    </xf>
    <xf numFmtId="0" fontId="1" fillId="0" borderId="46" xfId="5" applyBorder="1"/>
    <xf numFmtId="0" fontId="1" fillId="0" borderId="17" xfId="5" applyBorder="1"/>
    <xf numFmtId="0" fontId="25" fillId="14" borderId="17" xfId="0" applyFont="1" applyFill="1" applyBorder="1" applyAlignment="1">
      <alignment horizontal="center"/>
    </xf>
    <xf numFmtId="0" fontId="25" fillId="15" borderId="17" xfId="0" applyFont="1" applyFill="1" applyBorder="1" applyAlignment="1">
      <alignment horizontal="center" vertical="center"/>
    </xf>
    <xf numFmtId="0" fontId="30" fillId="20" borderId="17" xfId="0" applyFont="1" applyFill="1" applyBorder="1" applyAlignment="1">
      <alignment horizontal="center"/>
    </xf>
    <xf numFmtId="0" fontId="1" fillId="20" borderId="17" xfId="0" applyFont="1" applyFill="1" applyBorder="1" applyAlignment="1">
      <alignment horizontal="center"/>
    </xf>
    <xf numFmtId="0" fontId="1" fillId="0" borderId="17" xfId="0" applyFont="1" applyBorder="1"/>
    <xf numFmtId="0" fontId="25" fillId="16" borderId="17" xfId="0" applyFont="1" applyFill="1" applyBorder="1" applyAlignment="1">
      <alignment horizontal="center"/>
    </xf>
    <xf numFmtId="0" fontId="25" fillId="20" borderId="17" xfId="0" applyFont="1" applyFill="1" applyBorder="1" applyAlignment="1">
      <alignment horizontal="center" vertical="center"/>
    </xf>
    <xf numFmtId="0" fontId="25" fillId="0" borderId="46" xfId="0" applyFont="1" applyBorder="1"/>
    <xf numFmtId="0" fontId="38" fillId="21" borderId="5" xfId="0" applyFont="1" applyFill="1" applyBorder="1" applyAlignment="1">
      <alignment horizontal="center" vertical="center"/>
    </xf>
    <xf numFmtId="0" fontId="25" fillId="20" borderId="17" xfId="0" applyFont="1" applyFill="1" applyBorder="1"/>
    <xf numFmtId="0" fontId="25" fillId="0" borderId="17" xfId="0" applyFont="1" applyBorder="1" applyAlignment="1">
      <alignment horizontal="center"/>
    </xf>
    <xf numFmtId="0" fontId="28" fillId="20" borderId="5" xfId="0" applyFont="1" applyFill="1" applyBorder="1" applyAlignment="1">
      <alignment horizontal="left" vertical="center" indent="1"/>
    </xf>
    <xf numFmtId="0" fontId="28" fillId="7" borderId="5" xfId="0" applyFont="1" applyFill="1" applyBorder="1" applyAlignment="1">
      <alignment horizontal="center" vertical="center"/>
    </xf>
    <xf numFmtId="0" fontId="1" fillId="0" borderId="44" xfId="0" applyFont="1" applyBorder="1" applyAlignment="1">
      <alignment horizontal="center" vertical="center"/>
    </xf>
    <xf numFmtId="0" fontId="44" fillId="22" borderId="5" xfId="5" applyFont="1" applyFill="1" applyBorder="1" applyAlignment="1">
      <alignment horizontal="center" vertical="center"/>
    </xf>
    <xf numFmtId="0" fontId="0" fillId="17" borderId="66" xfId="5" applyFont="1" applyFill="1" applyBorder="1" applyAlignment="1">
      <alignment horizontal="center"/>
    </xf>
    <xf numFmtId="0" fontId="31" fillId="17" borderId="0" xfId="0" applyFont="1" applyFill="1" applyAlignment="1">
      <alignment horizontal="left" vertical="center"/>
    </xf>
    <xf numFmtId="0" fontId="0" fillId="4" borderId="66" xfId="5" applyFont="1" applyFill="1" applyBorder="1" applyAlignment="1">
      <alignment horizontal="center"/>
    </xf>
    <xf numFmtId="0" fontId="0" fillId="17" borderId="11" xfId="5" applyFont="1" applyFill="1" applyBorder="1" applyAlignment="1">
      <alignment horizontal="center"/>
    </xf>
    <xf numFmtId="0" fontId="0" fillId="0" borderId="16" xfId="5" applyFont="1" applyBorder="1" applyAlignment="1">
      <alignment horizontal="center" vertical="center"/>
    </xf>
    <xf numFmtId="0" fontId="0" fillId="17" borderId="61" xfId="5" applyFont="1" applyFill="1" applyBorder="1" applyAlignment="1">
      <alignment horizontal="center"/>
    </xf>
    <xf numFmtId="0" fontId="43" fillId="7" borderId="17" xfId="5" applyFont="1" applyFill="1" applyBorder="1" applyAlignment="1">
      <alignment horizontal="center" vertical="center"/>
    </xf>
    <xf numFmtId="0" fontId="0" fillId="18" borderId="17" xfId="5" applyFont="1" applyFill="1" applyBorder="1" applyAlignment="1" applyProtection="1">
      <alignment horizontal="left" vertical="top" wrapText="1"/>
      <protection locked="0"/>
    </xf>
    <xf numFmtId="0" fontId="0" fillId="0" borderId="67" xfId="5" applyFont="1" applyBorder="1" applyAlignment="1">
      <alignment horizontal="center" vertical="center"/>
    </xf>
    <xf numFmtId="0" fontId="0" fillId="0" borderId="0" xfId="5" applyFont="1" applyAlignment="1">
      <alignment horizontal="center" vertical="center"/>
    </xf>
    <xf numFmtId="0" fontId="26" fillId="22" borderId="17" xfId="5" applyFont="1" applyFill="1" applyBorder="1" applyAlignment="1">
      <alignment horizontal="center" vertical="center"/>
    </xf>
    <xf numFmtId="0" fontId="1" fillId="0" borderId="17" xfId="5" applyBorder="1" applyAlignment="1">
      <alignment horizontal="left" indent="1"/>
    </xf>
    <xf numFmtId="171" fontId="1" fillId="0" borderId="17" xfId="5" applyNumberFormat="1" applyBorder="1" applyAlignment="1" applyProtection="1">
      <alignment horizontal="center"/>
      <protection locked="0"/>
    </xf>
    <xf numFmtId="179" fontId="1" fillId="0" borderId="17" xfId="5" applyNumberFormat="1" applyBorder="1" applyAlignment="1" applyProtection="1">
      <alignment horizontal="right"/>
      <protection locked="0"/>
    </xf>
    <xf numFmtId="0" fontId="25" fillId="0" borderId="17" xfId="5" applyFont="1" applyBorder="1" applyAlignment="1">
      <alignment horizontal="left" vertical="center" indent="1"/>
    </xf>
    <xf numFmtId="172" fontId="33" fillId="0" borderId="17" xfId="5" applyNumberFormat="1" applyFont="1" applyBorder="1" applyAlignment="1">
      <alignment horizontal="center"/>
    </xf>
    <xf numFmtId="0" fontId="0" fillId="0" borderId="64" xfId="5" applyFont="1" applyBorder="1" applyAlignment="1">
      <alignment horizontal="center" vertical="center"/>
    </xf>
    <xf numFmtId="1" fontId="1" fillId="0" borderId="17" xfId="5" applyNumberFormat="1" applyBorder="1" applyAlignment="1">
      <alignment horizontal="right" indent="1"/>
    </xf>
    <xf numFmtId="0" fontId="1" fillId="0" borderId="17" xfId="5" applyBorder="1" applyAlignment="1">
      <alignment horizontal="left"/>
    </xf>
    <xf numFmtId="164" fontId="1" fillId="0" borderId="17" xfId="5" applyNumberFormat="1" applyBorder="1" applyAlignment="1">
      <alignment horizontal="center"/>
    </xf>
    <xf numFmtId="0" fontId="0" fillId="0" borderId="0" xfId="5" applyFont="1" applyAlignment="1">
      <alignment horizontal="center"/>
    </xf>
    <xf numFmtId="0" fontId="0" fillId="17" borderId="14" xfId="5" applyFont="1" applyFill="1" applyBorder="1" applyAlignment="1">
      <alignment horizontal="center"/>
    </xf>
    <xf numFmtId="0" fontId="0" fillId="0" borderId="9" xfId="5" applyFont="1" applyBorder="1" applyAlignment="1">
      <alignment horizontal="center" vertical="center"/>
    </xf>
    <xf numFmtId="164" fontId="1" fillId="18" borderId="17" xfId="5" applyNumberFormat="1" applyFill="1" applyBorder="1" applyAlignment="1" applyProtection="1">
      <alignment horizontal="center"/>
      <protection locked="0"/>
    </xf>
    <xf numFmtId="10" fontId="1" fillId="18" borderId="17" xfId="5" applyNumberFormat="1" applyFill="1" applyBorder="1" applyAlignment="1" applyProtection="1">
      <alignment horizontal="right" indent="1"/>
      <protection locked="0"/>
    </xf>
    <xf numFmtId="9" fontId="1" fillId="18" borderId="17" xfId="5" applyNumberFormat="1" applyFill="1" applyBorder="1" applyAlignment="1" applyProtection="1">
      <alignment horizontal="right" indent="1"/>
      <protection locked="0"/>
    </xf>
    <xf numFmtId="0" fontId="0" fillId="17" borderId="0" xfId="5" applyFont="1" applyFill="1" applyAlignment="1">
      <alignment horizontal="center"/>
    </xf>
    <xf numFmtId="0" fontId="22" fillId="0" borderId="0" xfId="5" applyFont="1" applyAlignment="1">
      <alignment horizontal="center"/>
    </xf>
    <xf numFmtId="0" fontId="24" fillId="0" borderId="0" xfId="0" applyFont="1" applyAlignment="1">
      <alignment horizontal="left" vertical="top" wrapText="1"/>
    </xf>
    <xf numFmtId="0" fontId="42" fillId="0" borderId="0" xfId="0" applyFont="1" applyAlignment="1">
      <alignment horizontal="center"/>
    </xf>
    <xf numFmtId="0" fontId="31" fillId="0" borderId="0" xfId="0" applyFont="1" applyAlignment="1">
      <alignment horizontal="right" vertical="center"/>
    </xf>
    <xf numFmtId="0" fontId="6" fillId="0" borderId="0" xfId="5" applyFont="1" applyAlignment="1">
      <alignment horizontal="right"/>
    </xf>
    <xf numFmtId="0" fontId="25" fillId="0" borderId="14" xfId="5" applyFont="1" applyBorder="1" applyAlignment="1">
      <alignment horizontal="left"/>
    </xf>
    <xf numFmtId="0" fontId="25" fillId="18" borderId="14" xfId="5" applyFont="1" applyFill="1" applyBorder="1" applyAlignment="1" applyProtection="1">
      <alignment horizontal="left" indent="1"/>
      <protection locked="0"/>
    </xf>
    <xf numFmtId="0" fontId="25" fillId="0" borderId="14" xfId="5" applyFont="1" applyBorder="1" applyAlignment="1">
      <alignment horizontal="center"/>
    </xf>
    <xf numFmtId="0" fontId="25" fillId="18" borderId="14" xfId="5" applyFont="1" applyFill="1" applyBorder="1" applyAlignment="1" applyProtection="1">
      <alignment horizontal="center"/>
      <protection locked="0"/>
    </xf>
    <xf numFmtId="0" fontId="13" fillId="3" borderId="3" xfId="0" applyFont="1" applyFill="1" applyBorder="1" applyAlignment="1">
      <alignment horizontal="left" vertical="top"/>
    </xf>
    <xf numFmtId="0" fontId="13" fillId="3" borderId="0" xfId="0" applyFont="1" applyFill="1" applyBorder="1" applyAlignment="1">
      <alignment horizontal="left" vertical="top"/>
    </xf>
    <xf numFmtId="0" fontId="13" fillId="3" borderId="4" xfId="0" applyFont="1" applyFill="1" applyBorder="1" applyAlignment="1">
      <alignment horizontal="left" vertical="top"/>
    </xf>
    <xf numFmtId="0" fontId="11" fillId="3" borderId="1" xfId="0" applyFont="1" applyFill="1" applyBorder="1" applyAlignment="1">
      <alignment horizontal="left"/>
    </xf>
    <xf numFmtId="0" fontId="11" fillId="3" borderId="2" xfId="0" applyFont="1" applyFill="1" applyBorder="1" applyAlignment="1">
      <alignment horizontal="left"/>
    </xf>
    <xf numFmtId="0" fontId="11" fillId="3" borderId="68" xfId="0" applyFont="1" applyFill="1" applyBorder="1" applyAlignment="1">
      <alignment horizontal="left"/>
    </xf>
    <xf numFmtId="0" fontId="13" fillId="3" borderId="0" xfId="0" applyFont="1" applyFill="1" applyBorder="1" applyAlignment="1">
      <alignment horizontal="left" vertical="center" wrapText="1"/>
    </xf>
    <xf numFmtId="0" fontId="13" fillId="3" borderId="4" xfId="0" applyFont="1" applyFill="1" applyBorder="1" applyAlignment="1">
      <alignment horizontal="left" vertical="center" wrapText="1"/>
    </xf>
  </cellXfs>
  <cellStyles count="12">
    <cellStyle name="Currency 2" xfId="4" xr:uid="{00000000-0005-0000-0000-000006000000}"/>
    <cellStyle name="Excel Built-in Accent2" xfId="11" xr:uid="{00000000-0005-0000-0000-00000D000000}"/>
    <cellStyle name="Normal 2" xfId="5" xr:uid="{00000000-0005-0000-0000-000007000000}"/>
    <cellStyle name="Normal 3 2" xfId="6" xr:uid="{00000000-0005-0000-0000-000008000000}"/>
    <cellStyle name="Normal 3 2 4" xfId="7" xr:uid="{00000000-0005-0000-0000-000009000000}"/>
    <cellStyle name="千位分隔" xfId="1" builtinId="3"/>
    <cellStyle name="常规" xfId="0" builtinId="0"/>
    <cellStyle name="常规 2" xfId="8" xr:uid="{00000000-0005-0000-0000-00000A000000}"/>
    <cellStyle name="百分比" xfId="3" builtinId="5"/>
    <cellStyle name="着色 2 2" xfId="9" xr:uid="{00000000-0005-0000-0000-00000B000000}"/>
    <cellStyle name="货币" xfId="2" builtinId="4"/>
    <cellStyle name="货币 2" xfId="10" xr:uid="{00000000-0005-0000-0000-00000C000000}"/>
  </cellStyles>
  <dxfs count="5">
    <dxf>
      <font>
        <b val="0"/>
        <i val="0"/>
        <strike val="0"/>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FF000000"/>
      <rgbColor rgb="FFFFFFFF"/>
      <rgbColor rgb="FFFF0000"/>
      <rgbColor rgb="FFEEECE1"/>
      <rgbColor rgb="FF0000FF"/>
      <rgbColor rgb="FFFFFF00"/>
      <rgbColor rgb="FFFFFFEB"/>
      <rgbColor rgb="FFDCE6F2"/>
      <rgbColor rgb="FF800000"/>
      <rgbColor rgb="FFFFFFE6"/>
      <rgbColor rgb="FF000080"/>
      <rgbColor rgb="FFB9CDE5"/>
      <rgbColor rgb="FF800080"/>
      <rgbColor rgb="FFFDE9D9"/>
      <rgbColor rgb="FFC0C0C0"/>
      <rgbColor rgb="FF808080"/>
      <rgbColor rgb="FF8DB3E2"/>
      <rgbColor rgb="FFC0504D"/>
      <rgbColor rgb="FFFFFFCC"/>
      <rgbColor rgb="FFDAEEF3"/>
      <rgbColor rgb="FF660066"/>
      <rgbColor rgb="FFDDD9C3"/>
      <rgbColor rgb="FF0070C0"/>
      <rgbColor rgb="FFC6D9F1"/>
      <rgbColor rgb="FF000099"/>
      <rgbColor rgb="FFFF00FF"/>
      <rgbColor rgb="FFC3D69B"/>
      <rgbColor rgb="FFE6E0EC"/>
      <rgbColor rgb="FF800080"/>
      <rgbColor rgb="FFC00000"/>
      <rgbColor rgb="FFF2F2F2"/>
      <rgbColor rgb="FF0000FF"/>
      <rgbColor rgb="FFDBE5F1"/>
      <rgbColor rgb="FFDBEEF4"/>
      <rgbColor rgb="FFD7E4BD"/>
      <rgbColor rgb="FFFFFF99"/>
      <rgbColor rgb="FF99CCFF"/>
      <rgbColor rgb="FFFCD5B5"/>
      <rgbColor rgb="FFBFBFBF"/>
      <rgbColor rgb="FFFAC090"/>
      <rgbColor rgb="FF4F81BD"/>
      <rgbColor rgb="FF8EB4E3"/>
      <rgbColor rgb="FF92D050"/>
      <rgbColor rgb="FFFFC000"/>
      <rgbColor rgb="FFC2D69B"/>
      <rgbColor rgb="FFD9D9D9"/>
      <rgbColor rgb="FF376092"/>
      <rgbColor rgb="FFA6A6A6"/>
      <rgbColor rgb="FF0F243E"/>
      <rgbColor rgb="FF95B3D7"/>
      <rgbColor rgb="FF003300"/>
      <rgbColor rgb="FF333300"/>
      <rgbColor rgb="FFFDEADA"/>
      <rgbColor rgb="FFF2DCDB"/>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38"/>
  <sheetViews>
    <sheetView showGridLines="0" tabSelected="1" zoomScale="115" zoomScaleNormal="115" workbookViewId="0">
      <selection activeCell="M17" sqref="M17"/>
    </sheetView>
  </sheetViews>
  <sheetFormatPr defaultColWidth="9" defaultRowHeight="14.25"/>
  <cols>
    <col min="1" max="1" width="2.5703125" style="1" customWidth="1"/>
    <col min="2" max="2" width="4.5703125" style="1" customWidth="1"/>
    <col min="3" max="3" width="10.85546875" style="1" customWidth="1"/>
    <col min="4" max="4" width="54.5703125" style="1" customWidth="1"/>
    <col min="5" max="5" width="17.5703125" style="1" customWidth="1"/>
    <col min="6" max="6" width="13" style="1" customWidth="1"/>
    <col min="7" max="7" width="13.140625" style="1" customWidth="1"/>
    <col min="8" max="8" width="11.28515625" style="1" customWidth="1"/>
    <col min="9" max="16384" width="9" style="1"/>
  </cols>
  <sheetData>
    <row r="1" spans="2:8" ht="15" customHeight="1">
      <c r="B1" s="264" t="s">
        <v>4</v>
      </c>
      <c r="C1" s="264"/>
      <c r="D1" s="264"/>
      <c r="E1" s="264"/>
      <c r="F1" s="264"/>
      <c r="G1" s="264"/>
      <c r="H1" s="264"/>
    </row>
    <row r="2" spans="2:8" ht="16.5" customHeight="1" thickBot="1">
      <c r="B2" s="265" t="s">
        <v>5</v>
      </c>
      <c r="C2" s="265"/>
      <c r="D2" s="265"/>
      <c r="E2" s="265"/>
      <c r="F2" s="265"/>
      <c r="G2" s="265"/>
      <c r="H2" s="265"/>
    </row>
    <row r="3" spans="2:8" ht="17.25" customHeight="1">
      <c r="B3" s="368" t="s">
        <v>6</v>
      </c>
      <c r="C3" s="369"/>
      <c r="D3" s="369"/>
      <c r="E3" s="370"/>
      <c r="F3" s="266" t="s">
        <v>7</v>
      </c>
      <c r="G3" s="266"/>
      <c r="H3" s="266"/>
    </row>
    <row r="4" spans="2:8" ht="27.75" customHeight="1" thickBot="1">
      <c r="B4" s="267" t="s">
        <v>731</v>
      </c>
      <c r="C4" s="371"/>
      <c r="D4" s="371"/>
      <c r="E4" s="372"/>
      <c r="F4" s="268"/>
      <c r="G4" s="268"/>
      <c r="H4" s="268"/>
    </row>
    <row r="5" spans="2:8" ht="16.5" customHeight="1" thickBot="1">
      <c r="B5" s="365" t="s">
        <v>730</v>
      </c>
      <c r="C5" s="366"/>
      <c r="D5" s="367"/>
      <c r="E5" s="259" t="s">
        <v>8</v>
      </c>
      <c r="F5" s="3" t="s">
        <v>9</v>
      </c>
      <c r="G5" s="3" t="s">
        <v>10</v>
      </c>
      <c r="H5" s="3" t="s">
        <v>10</v>
      </c>
    </row>
    <row r="6" spans="2:8" ht="26.25" customHeight="1">
      <c r="B6" s="4"/>
      <c r="C6" s="5"/>
      <c r="D6" s="5"/>
      <c r="E6" s="259"/>
      <c r="F6" s="2"/>
      <c r="G6" s="6"/>
      <c r="H6" s="2"/>
    </row>
    <row r="7" spans="2:8" ht="15" customHeight="1">
      <c r="B7" s="260" t="s">
        <v>11</v>
      </c>
      <c r="C7" s="260"/>
      <c r="D7" s="260"/>
      <c r="E7" s="260"/>
      <c r="F7" s="260"/>
      <c r="G7" s="260"/>
      <c r="H7" s="260"/>
    </row>
    <row r="8" spans="2:8" ht="15.75" customHeight="1">
      <c r="B8" s="261" t="s">
        <v>12</v>
      </c>
      <c r="C8" s="261"/>
      <c r="D8" s="261"/>
      <c r="E8" s="261"/>
      <c r="F8" s="261"/>
      <c r="G8" s="261"/>
      <c r="H8" s="261"/>
    </row>
    <row r="9" spans="2:8" ht="24" customHeight="1">
      <c r="B9" s="262" t="s">
        <v>13</v>
      </c>
      <c r="C9" s="262"/>
      <c r="D9" s="262"/>
      <c r="E9" s="7" t="s">
        <v>14</v>
      </c>
      <c r="F9" s="8"/>
      <c r="G9" s="9"/>
      <c r="H9" s="10"/>
    </row>
    <row r="10" spans="2:8" ht="25.5" customHeight="1">
      <c r="B10" s="263" t="s">
        <v>15</v>
      </c>
      <c r="C10" s="263"/>
      <c r="D10" s="263"/>
      <c r="E10" s="263"/>
      <c r="F10" s="263"/>
      <c r="G10" s="263"/>
      <c r="H10" s="263"/>
    </row>
    <row r="11" spans="2:8" ht="16.5" customHeight="1">
      <c r="B11" s="258" t="s">
        <v>16</v>
      </c>
      <c r="C11" s="258"/>
      <c r="D11" s="258"/>
      <c r="E11" s="258"/>
      <c r="F11" s="258"/>
      <c r="G11" s="258"/>
      <c r="H11" s="258"/>
    </row>
    <row r="12" spans="2:8" ht="27" customHeight="1">
      <c r="B12" s="11" t="s">
        <v>17</v>
      </c>
      <c r="C12" s="257" t="s">
        <v>18</v>
      </c>
      <c r="D12" s="257"/>
      <c r="E12" s="13" t="s">
        <v>8</v>
      </c>
      <c r="F12" s="14"/>
      <c r="G12" s="15"/>
      <c r="H12" s="15"/>
    </row>
    <row r="13" spans="2:8" ht="16.5" customHeight="1">
      <c r="B13" s="16" t="s">
        <v>19</v>
      </c>
      <c r="C13" s="257" t="s">
        <v>20</v>
      </c>
      <c r="D13" s="257"/>
      <c r="E13" s="17" t="s">
        <v>21</v>
      </c>
      <c r="F13" s="18"/>
      <c r="G13" s="15"/>
      <c r="H13" s="15"/>
    </row>
    <row r="14" spans="2:8" ht="16.5" customHeight="1">
      <c r="B14" s="16" t="s">
        <v>22</v>
      </c>
      <c r="C14" s="257" t="s">
        <v>23</v>
      </c>
      <c r="D14" s="257"/>
      <c r="E14" s="17" t="s">
        <v>24</v>
      </c>
      <c r="F14" s="18"/>
      <c r="G14" s="15"/>
      <c r="H14" s="15"/>
    </row>
    <row r="15" spans="2:8" ht="16.5" customHeight="1">
      <c r="B15" s="16" t="s">
        <v>25</v>
      </c>
      <c r="C15" s="257" t="s">
        <v>26</v>
      </c>
      <c r="D15" s="257"/>
      <c r="E15" s="17" t="s">
        <v>24</v>
      </c>
      <c r="F15" s="18"/>
      <c r="G15" s="15"/>
      <c r="H15" s="15"/>
    </row>
    <row r="16" spans="2:8" ht="16.5" customHeight="1">
      <c r="B16" s="16" t="s">
        <v>27</v>
      </c>
      <c r="C16" s="257" t="s">
        <v>28</v>
      </c>
      <c r="D16" s="257"/>
      <c r="E16" s="17" t="s">
        <v>24</v>
      </c>
      <c r="F16" s="18"/>
      <c r="G16" s="15"/>
      <c r="H16" s="15"/>
    </row>
    <row r="17" spans="2:8" ht="24.75" customHeight="1">
      <c r="B17" s="11" t="s">
        <v>29</v>
      </c>
      <c r="C17" s="241" t="s">
        <v>30</v>
      </c>
      <c r="D17" s="241"/>
      <c r="E17" s="19" t="s">
        <v>24</v>
      </c>
      <c r="F17" s="20"/>
      <c r="G17" s="21"/>
      <c r="H17" s="21"/>
    </row>
    <row r="18" spans="2:8" ht="16.5" customHeight="1">
      <c r="B18" s="16" t="s">
        <v>31</v>
      </c>
      <c r="C18" s="257" t="s">
        <v>32</v>
      </c>
      <c r="D18" s="257"/>
      <c r="E18" s="17" t="s">
        <v>24</v>
      </c>
      <c r="F18" s="18"/>
      <c r="G18" s="15"/>
      <c r="H18" s="15"/>
    </row>
    <row r="19" spans="2:8" ht="26.25" customHeight="1">
      <c r="B19" s="16" t="s">
        <v>33</v>
      </c>
      <c r="C19" s="257" t="s">
        <v>34</v>
      </c>
      <c r="D19" s="257"/>
      <c r="E19" s="17" t="s">
        <v>24</v>
      </c>
      <c r="F19" s="18"/>
      <c r="G19" s="15"/>
      <c r="H19" s="15"/>
    </row>
    <row r="20" spans="2:8" ht="16.5" customHeight="1">
      <c r="B20" s="22"/>
      <c r="C20" s="257" t="s">
        <v>35</v>
      </c>
      <c r="D20" s="257"/>
      <c r="E20" s="17" t="s">
        <v>36</v>
      </c>
      <c r="F20" s="23">
        <f>SUM(F12,F14:F19)-F13</f>
        <v>0</v>
      </c>
      <c r="G20" s="24">
        <f>SUM(G12,G14:G19)-G13</f>
        <v>0</v>
      </c>
      <c r="H20" s="24">
        <f>SUM(H12,H14:H19)-H13</f>
        <v>0</v>
      </c>
    </row>
    <row r="21" spans="2:8" ht="30" customHeight="1">
      <c r="B21" s="16" t="s">
        <v>37</v>
      </c>
      <c r="C21" s="248" t="s">
        <v>38</v>
      </c>
      <c r="D21" s="248"/>
      <c r="E21" s="17" t="s">
        <v>39</v>
      </c>
      <c r="F21" s="23">
        <f>F9</f>
        <v>0</v>
      </c>
      <c r="G21" s="24">
        <f>G9</f>
        <v>0</v>
      </c>
      <c r="H21" s="24">
        <f>H9</f>
        <v>0</v>
      </c>
    </row>
    <row r="22" spans="2:8" ht="19.5" customHeight="1">
      <c r="B22" s="249" t="s">
        <v>40</v>
      </c>
      <c r="C22" s="249"/>
      <c r="D22" s="249"/>
      <c r="E22" s="25" t="s">
        <v>14</v>
      </c>
      <c r="F22" s="26">
        <f>IF(F21=0,0,F20/F21)</f>
        <v>0</v>
      </c>
      <c r="G22" s="26">
        <f>IF(G21=0,0,G20/G21)</f>
        <v>0</v>
      </c>
      <c r="H22" s="26">
        <f>IF(H21=0,0,H20/H21)</f>
        <v>0</v>
      </c>
    </row>
    <row r="23" spans="2:8" ht="18" customHeight="1">
      <c r="B23" s="250" t="s">
        <v>41</v>
      </c>
      <c r="C23" s="250"/>
      <c r="D23" s="250"/>
      <c r="E23" s="250"/>
      <c r="F23" s="250"/>
      <c r="G23" s="250"/>
      <c r="H23" s="250"/>
    </row>
    <row r="24" spans="2:8" ht="15.75" customHeight="1">
      <c r="B24" s="251" t="s">
        <v>42</v>
      </c>
      <c r="C24" s="251"/>
      <c r="D24" s="251"/>
      <c r="E24" s="251"/>
      <c r="F24" s="251"/>
      <c r="G24" s="251"/>
      <c r="H24" s="251"/>
    </row>
    <row r="25" spans="2:8" ht="14.25" customHeight="1">
      <c r="B25" s="252" t="s">
        <v>43</v>
      </c>
      <c r="C25" s="253" t="s">
        <v>44</v>
      </c>
      <c r="D25" s="253"/>
      <c r="E25" s="254" t="s">
        <v>8</v>
      </c>
      <c r="F25" s="255"/>
      <c r="G25" s="255"/>
      <c r="H25" s="256"/>
    </row>
    <row r="26" spans="2:8" ht="18" customHeight="1">
      <c r="B26" s="252"/>
      <c r="C26" s="253"/>
      <c r="D26" s="253"/>
      <c r="E26" s="254"/>
      <c r="F26" s="255"/>
      <c r="G26" s="255"/>
      <c r="H26" s="256"/>
    </row>
    <row r="27" spans="2:8" ht="12.75" customHeight="1">
      <c r="B27" s="252"/>
      <c r="C27" s="253"/>
      <c r="D27" s="253"/>
      <c r="E27" s="254"/>
      <c r="F27" s="255"/>
      <c r="G27" s="255"/>
      <c r="H27" s="256"/>
    </row>
    <row r="28" spans="2:8" ht="28.5" customHeight="1">
      <c r="B28" s="27" t="s">
        <v>45</v>
      </c>
      <c r="C28" s="243" t="s">
        <v>46</v>
      </c>
      <c r="D28" s="243"/>
      <c r="E28" s="28" t="s">
        <v>47</v>
      </c>
      <c r="F28" s="29" t="s">
        <v>48</v>
      </c>
      <c r="G28" s="30" t="s">
        <v>48</v>
      </c>
      <c r="H28" s="31" t="s">
        <v>48</v>
      </c>
    </row>
    <row r="29" spans="2:8" ht="16.5" customHeight="1">
      <c r="B29" s="32"/>
      <c r="C29" s="243" t="s">
        <v>49</v>
      </c>
      <c r="D29" s="243"/>
      <c r="E29" s="28" t="s">
        <v>36</v>
      </c>
      <c r="F29" s="33">
        <f>F25*0.75</f>
        <v>0</v>
      </c>
      <c r="G29" s="34">
        <f>G25*0.75</f>
        <v>0</v>
      </c>
      <c r="H29" s="35">
        <f>H25*0.75</f>
        <v>0</v>
      </c>
    </row>
    <row r="30" spans="2:8" ht="42.75" customHeight="1">
      <c r="B30" s="27" t="s">
        <v>50</v>
      </c>
      <c r="C30" s="244" t="s">
        <v>51</v>
      </c>
      <c r="D30" s="244"/>
      <c r="E30" s="28" t="s">
        <v>24</v>
      </c>
      <c r="F30" s="245">
        <f>F22+G22+H22</f>
        <v>0</v>
      </c>
      <c r="G30" s="245"/>
      <c r="H30" s="245"/>
    </row>
    <row r="31" spans="2:8" ht="31.5" customHeight="1">
      <c r="B31" s="246" t="s">
        <v>52</v>
      </c>
      <c r="C31" s="246"/>
      <c r="D31" s="246"/>
      <c r="E31" s="36" t="s">
        <v>14</v>
      </c>
      <c r="F31" s="247">
        <f>F29+G29+H29</f>
        <v>0</v>
      </c>
      <c r="G31" s="247"/>
      <c r="H31" s="247"/>
    </row>
    <row r="32" spans="2:8" ht="16.5" customHeight="1">
      <c r="B32" s="238" t="s">
        <v>53</v>
      </c>
      <c r="C32" s="238"/>
      <c r="D32" s="238"/>
      <c r="E32" s="238"/>
      <c r="F32" s="238"/>
      <c r="G32" s="238"/>
      <c r="H32" s="238"/>
    </row>
    <row r="33" spans="2:8" ht="37.5" customHeight="1">
      <c r="B33" s="12" t="s">
        <v>54</v>
      </c>
      <c r="C33" s="239" t="s">
        <v>55</v>
      </c>
      <c r="D33" s="239"/>
      <c r="E33" s="239"/>
      <c r="F33" s="240">
        <f>F22+G22+H22+F31</f>
        <v>0</v>
      </c>
      <c r="G33" s="240"/>
      <c r="H33" s="240"/>
    </row>
    <row r="34" spans="2:8" ht="42.75" customHeight="1">
      <c r="B34" s="12" t="s">
        <v>56</v>
      </c>
      <c r="C34" s="241" t="s">
        <v>57</v>
      </c>
      <c r="D34" s="241"/>
      <c r="E34" s="241"/>
      <c r="F34" s="242"/>
      <c r="G34" s="242"/>
      <c r="H34" s="242"/>
    </row>
    <row r="35" spans="2:8" ht="16.5" customHeight="1">
      <c r="B35" s="234" t="s">
        <v>58</v>
      </c>
      <c r="C35" s="234"/>
      <c r="D35" s="235" t="s">
        <v>59</v>
      </c>
      <c r="E35" s="235"/>
      <c r="F35" s="236" t="s">
        <v>60</v>
      </c>
      <c r="G35" s="236"/>
      <c r="H35" s="236"/>
    </row>
    <row r="36" spans="2:8" ht="39.75" customHeight="1">
      <c r="B36" s="237" t="s">
        <v>61</v>
      </c>
      <c r="C36" s="237"/>
      <c r="D36" s="232" t="s">
        <v>62</v>
      </c>
      <c r="E36" s="232"/>
      <c r="F36" s="233" t="s">
        <v>63</v>
      </c>
      <c r="G36" s="233"/>
      <c r="H36" s="233"/>
    </row>
    <row r="37" spans="2:8" ht="32.25" customHeight="1">
      <c r="B37" s="231" t="s">
        <v>64</v>
      </c>
      <c r="C37" s="231"/>
      <c r="D37" s="232" t="s">
        <v>65</v>
      </c>
      <c r="E37" s="232"/>
      <c r="F37" s="233" t="s">
        <v>66</v>
      </c>
      <c r="G37" s="233"/>
      <c r="H37" s="233"/>
    </row>
    <row r="38" spans="2:8">
      <c r="B38" s="37" t="s">
        <v>67</v>
      </c>
    </row>
  </sheetData>
  <mergeCells count="52">
    <mergeCell ref="B1:H1"/>
    <mergeCell ref="B2:H2"/>
    <mergeCell ref="F3:H3"/>
    <mergeCell ref="F4:H4"/>
    <mergeCell ref="B3:E3"/>
    <mergeCell ref="B4:E4"/>
    <mergeCell ref="E5:E6"/>
    <mergeCell ref="B7:H7"/>
    <mergeCell ref="B8:H8"/>
    <mergeCell ref="B9:D9"/>
    <mergeCell ref="B10:H10"/>
    <mergeCell ref="B5:D5"/>
    <mergeCell ref="B11:H11"/>
    <mergeCell ref="C12:D12"/>
    <mergeCell ref="C13:D13"/>
    <mergeCell ref="C14:D14"/>
    <mergeCell ref="C15:D15"/>
    <mergeCell ref="C16:D16"/>
    <mergeCell ref="C17:D17"/>
    <mergeCell ref="C18:D18"/>
    <mergeCell ref="C19:D19"/>
    <mergeCell ref="C20:D20"/>
    <mergeCell ref="C21:D21"/>
    <mergeCell ref="B22:D22"/>
    <mergeCell ref="B23:H23"/>
    <mergeCell ref="B24:H24"/>
    <mergeCell ref="B25:B27"/>
    <mergeCell ref="C25:D27"/>
    <mergeCell ref="E25:E27"/>
    <mergeCell ref="F25:F27"/>
    <mergeCell ref="G25:G27"/>
    <mergeCell ref="H25:H27"/>
    <mergeCell ref="C28:D28"/>
    <mergeCell ref="C29:D29"/>
    <mergeCell ref="C30:D30"/>
    <mergeCell ref="F30:H30"/>
    <mergeCell ref="B31:D31"/>
    <mergeCell ref="F31:H31"/>
    <mergeCell ref="B32:H32"/>
    <mergeCell ref="C33:E33"/>
    <mergeCell ref="F33:H33"/>
    <mergeCell ref="C34:E34"/>
    <mergeCell ref="F34:H34"/>
    <mergeCell ref="B37:C37"/>
    <mergeCell ref="D37:E37"/>
    <mergeCell ref="F37:H37"/>
    <mergeCell ref="B35:C35"/>
    <mergeCell ref="D35:E35"/>
    <mergeCell ref="F35:H35"/>
    <mergeCell ref="B36:C36"/>
    <mergeCell ref="D36:E36"/>
    <mergeCell ref="F36:H36"/>
  </mergeCells>
  <dataValidations count="3">
    <dataValidation type="whole" allowBlank="1" showInputMessage="1" showErrorMessage="1" error="Must enter a number between 1-12" sqref="F9:H9" xr:uid="{00000000-0002-0000-0200-000000000000}">
      <formula1>1</formula1>
      <formula2>12</formula2>
    </dataValidation>
    <dataValidation type="whole" operator="greaterThanOrEqual" allowBlank="1" showInputMessage="1" showErrorMessage="1" error="Please enter a positive number" sqref="F12:H19" xr:uid="{00000000-0002-0000-0200-000001000000}">
      <formula1>0</formula1>
      <formula2>0</formula2>
    </dataValidation>
    <dataValidation type="whole" operator="greaterThanOrEqual" allowBlank="1" showInputMessage="1" showErrorMessage="1" error="Number must be positive" sqref="F30" xr:uid="{00000000-0002-0000-0200-000002000000}">
      <formula1>0</formula1>
      <formula2>0</formula2>
    </dataValidation>
  </dataValidations>
  <pageMargins left="1" right="1" top="1" bottom="1" header="0.511811023622047" footer="0.3"/>
  <pageSetup orientation="portrait" horizontalDpi="300" verticalDpi="300"/>
  <headerFooter>
    <oddFooter>&amp;L&amp;"Arial,Regular"Fannie Mae Form 1037&amp;R&amp;"Arial,Regular"02/23/16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B80"/>
  <sheetViews>
    <sheetView showGridLines="0" topLeftCell="A13" zoomScale="170" zoomScaleNormal="170" workbookViewId="0">
      <selection activeCell="O7" sqref="O7"/>
    </sheetView>
  </sheetViews>
  <sheetFormatPr defaultColWidth="9.7109375" defaultRowHeight="12.75"/>
  <cols>
    <col min="1" max="1" width="2.7109375" customWidth="1"/>
    <col min="2" max="2" width="1.7109375" customWidth="1"/>
    <col min="3" max="105" width="0.7109375" customWidth="1"/>
    <col min="106" max="106" width="1.7109375" customWidth="1"/>
  </cols>
  <sheetData>
    <row r="1" spans="1:106" ht="12" customHeight="1">
      <c r="C1" s="276"/>
      <c r="D1" s="276"/>
      <c r="E1" s="276"/>
      <c r="F1" s="276"/>
      <c r="G1" s="276"/>
      <c r="H1" s="276"/>
      <c r="I1" s="276"/>
      <c r="J1" s="276"/>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276"/>
      <c r="AM1" s="276"/>
      <c r="AN1" s="276"/>
      <c r="AO1" s="276"/>
      <c r="AP1" s="276"/>
      <c r="AQ1" s="276"/>
      <c r="AR1" s="276"/>
      <c r="AS1" s="276"/>
      <c r="AT1" s="276"/>
      <c r="AU1" s="276"/>
      <c r="AV1" s="276"/>
      <c r="AW1" s="276"/>
      <c r="AX1" s="276"/>
      <c r="AY1" s="276"/>
      <c r="AZ1" s="276"/>
      <c r="BA1" s="276"/>
      <c r="BB1" s="276"/>
      <c r="BC1" s="276"/>
      <c r="BD1" s="276"/>
      <c r="BE1" s="276"/>
      <c r="BF1" s="276"/>
      <c r="BG1" s="276"/>
      <c r="BH1" s="276"/>
      <c r="BI1" s="276"/>
      <c r="BJ1" s="276"/>
      <c r="BK1" s="276"/>
      <c r="BL1" s="276"/>
      <c r="BM1" s="276"/>
      <c r="BN1" s="276"/>
      <c r="BO1" s="276"/>
      <c r="BP1" s="276"/>
      <c r="BQ1" s="276"/>
      <c r="BR1" s="276"/>
      <c r="BS1" s="276"/>
      <c r="BT1" s="276"/>
      <c r="BU1" s="276"/>
      <c r="BV1" s="276"/>
      <c r="BW1" s="276"/>
      <c r="BX1" s="276"/>
      <c r="BY1" s="276"/>
      <c r="BZ1" s="276"/>
      <c r="CA1" s="276"/>
      <c r="CB1" s="276"/>
      <c r="CC1" s="276"/>
      <c r="CD1" s="276"/>
      <c r="CE1" s="276"/>
      <c r="CF1" s="276"/>
      <c r="CG1" s="276"/>
      <c r="CH1" s="276"/>
      <c r="CI1" s="276"/>
      <c r="CJ1" s="276"/>
      <c r="CK1" s="276"/>
      <c r="CL1" s="276"/>
      <c r="CM1" s="276"/>
      <c r="CN1" s="276"/>
      <c r="CO1" s="276"/>
      <c r="CP1" s="276"/>
      <c r="CQ1" s="276"/>
      <c r="CR1" s="276"/>
      <c r="CS1" s="276"/>
      <c r="CT1" s="276"/>
      <c r="CU1" s="276"/>
      <c r="CV1" s="276"/>
      <c r="CW1" s="276"/>
      <c r="CX1" s="276"/>
      <c r="CY1" s="276"/>
      <c r="CZ1" s="276"/>
      <c r="DA1" s="276"/>
      <c r="DB1" s="42"/>
    </row>
    <row r="2" spans="1:106" ht="6" customHeight="1">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0"/>
      <c r="AV2" s="300"/>
      <c r="AW2" s="300"/>
      <c r="AX2" s="300"/>
      <c r="AY2" s="300"/>
      <c r="AZ2" s="300"/>
      <c r="BA2" s="300"/>
      <c r="BB2" s="300"/>
      <c r="BC2" s="300"/>
      <c r="BD2" s="300"/>
      <c r="BE2" s="300"/>
      <c r="BF2" s="300"/>
      <c r="BG2" s="300"/>
      <c r="BH2" s="300"/>
      <c r="BI2" s="300"/>
      <c r="BJ2" s="300"/>
      <c r="BK2" s="300"/>
      <c r="BL2" s="300"/>
      <c r="BM2" s="300"/>
      <c r="BN2" s="300"/>
      <c r="BO2" s="300"/>
      <c r="BP2" s="300"/>
      <c r="BQ2" s="300"/>
      <c r="BR2" s="300"/>
      <c r="BS2" s="300"/>
      <c r="BT2" s="300"/>
      <c r="BU2" s="300"/>
      <c r="BV2" s="300"/>
      <c r="BW2" s="300"/>
      <c r="BX2" s="300"/>
      <c r="BY2" s="300"/>
      <c r="BZ2" s="300"/>
      <c r="CA2" s="300"/>
      <c r="CB2" s="300"/>
      <c r="CC2" s="300"/>
      <c r="CD2" s="300"/>
      <c r="CE2" s="300"/>
      <c r="CF2" s="300"/>
      <c r="CG2" s="300"/>
      <c r="CH2" s="300"/>
      <c r="CI2" s="300"/>
      <c r="CJ2" s="300"/>
      <c r="CK2" s="300"/>
      <c r="CL2" s="300"/>
      <c r="CM2" s="300"/>
      <c r="CN2" s="300"/>
      <c r="CO2" s="300"/>
      <c r="CP2" s="300"/>
      <c r="CQ2" s="300"/>
      <c r="CR2" s="300"/>
      <c r="CS2" s="300"/>
      <c r="CT2" s="300"/>
      <c r="CU2" s="300"/>
      <c r="CV2" s="300"/>
      <c r="CW2" s="300"/>
      <c r="CX2" s="300"/>
      <c r="CY2" s="300"/>
      <c r="CZ2" s="300"/>
      <c r="DA2" s="300"/>
      <c r="DB2" s="300"/>
    </row>
    <row r="3" spans="1:106" ht="18" customHeight="1">
      <c r="A3" s="42"/>
      <c r="B3" s="301" t="s">
        <v>69</v>
      </c>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c r="AP3" s="301"/>
      <c r="AQ3" s="301"/>
      <c r="AR3" s="301"/>
      <c r="AS3" s="301"/>
      <c r="AT3" s="301"/>
      <c r="AU3" s="301"/>
      <c r="AV3" s="301"/>
      <c r="AW3" s="301"/>
      <c r="AX3" s="301"/>
      <c r="AY3" s="301"/>
      <c r="AZ3" s="301"/>
      <c r="BA3" s="301"/>
      <c r="BB3" s="301"/>
      <c r="BC3" s="301"/>
      <c r="BD3" s="301"/>
      <c r="BE3" s="301"/>
      <c r="BF3" s="301"/>
      <c r="BG3" s="301"/>
      <c r="BH3" s="301"/>
      <c r="BI3" s="301"/>
      <c r="BJ3" s="301"/>
      <c r="BK3" s="301"/>
      <c r="BL3" s="301"/>
      <c r="BM3" s="301"/>
      <c r="BN3" s="301"/>
      <c r="BO3" s="301"/>
      <c r="BP3" s="301"/>
      <c r="BQ3" s="301"/>
      <c r="BR3" s="301"/>
      <c r="BS3" s="301"/>
      <c r="BT3" s="301"/>
      <c r="BU3" s="301"/>
      <c r="BV3" s="301"/>
      <c r="BW3" s="301"/>
      <c r="BX3" s="301"/>
      <c r="BY3" s="301"/>
      <c r="BZ3" s="301"/>
      <c r="CA3" s="301"/>
      <c r="CB3" s="301"/>
      <c r="CC3" s="301"/>
      <c r="CD3" s="301"/>
      <c r="CE3" s="301"/>
      <c r="CF3" s="301"/>
      <c r="CG3" s="301"/>
      <c r="CH3" s="301"/>
      <c r="CI3" s="301"/>
      <c r="CJ3" s="301"/>
      <c r="CK3" s="301"/>
      <c r="CL3" s="301"/>
      <c r="CM3" s="301"/>
      <c r="CN3" s="301"/>
      <c r="CO3" s="301"/>
      <c r="CP3" s="301"/>
      <c r="CQ3" s="301"/>
      <c r="CR3" s="301"/>
      <c r="CS3" s="301"/>
      <c r="CT3" s="301"/>
      <c r="CU3" s="301"/>
      <c r="CV3" s="301"/>
      <c r="CW3" s="301"/>
      <c r="CX3" s="301"/>
      <c r="CY3" s="301"/>
      <c r="CZ3" s="301"/>
      <c r="DA3" s="301"/>
      <c r="DB3" s="301"/>
    </row>
    <row r="4" spans="1:106" ht="12" customHeight="1">
      <c r="A4" s="42"/>
      <c r="B4" s="302" t="s">
        <v>95</v>
      </c>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2"/>
      <c r="AQ4" s="302"/>
      <c r="AR4" s="302"/>
      <c r="AS4" s="302"/>
      <c r="AT4" s="302"/>
      <c r="AU4" s="302"/>
      <c r="AV4" s="302"/>
      <c r="AW4" s="302"/>
      <c r="AX4" s="302"/>
      <c r="AY4" s="302"/>
      <c r="AZ4" s="302"/>
      <c r="BA4" s="302"/>
      <c r="BB4" s="302"/>
      <c r="BC4" s="302"/>
      <c r="BD4" s="302"/>
      <c r="BE4" s="302"/>
      <c r="BF4" s="302"/>
      <c r="BG4" s="302"/>
      <c r="BH4" s="302"/>
      <c r="BI4" s="302"/>
      <c r="BJ4" s="302"/>
      <c r="BK4" s="302"/>
      <c r="BL4" s="302"/>
      <c r="BM4" s="302"/>
      <c r="BN4" s="302"/>
      <c r="BO4" s="302"/>
      <c r="BP4" s="302"/>
      <c r="BQ4" s="302"/>
      <c r="BR4" s="302"/>
      <c r="BS4" s="302"/>
      <c r="BT4" s="302"/>
      <c r="BU4" s="302"/>
      <c r="BV4" s="302"/>
      <c r="BW4" s="302"/>
      <c r="BX4" s="302"/>
      <c r="BY4" s="302"/>
      <c r="BZ4" s="302"/>
      <c r="CA4" s="302"/>
      <c r="CB4" s="302"/>
      <c r="CC4" s="302"/>
      <c r="CD4" s="302"/>
      <c r="CE4" s="302"/>
      <c r="CF4" s="302"/>
      <c r="CG4" s="302"/>
      <c r="CH4" s="302"/>
      <c r="CI4" s="302"/>
      <c r="CJ4" s="302"/>
      <c r="CK4" s="302"/>
      <c r="CL4" s="302"/>
      <c r="CM4" s="302"/>
      <c r="CN4" s="302"/>
      <c r="CO4" s="302"/>
      <c r="CP4" s="302"/>
      <c r="CQ4" s="302"/>
      <c r="CR4" s="302"/>
      <c r="CS4" s="302"/>
      <c r="CT4" s="302"/>
      <c r="CU4" s="302"/>
      <c r="CV4" s="302"/>
      <c r="CW4" s="302"/>
      <c r="CX4" s="302"/>
      <c r="CY4" s="302"/>
      <c r="CZ4" s="302"/>
      <c r="DA4" s="302"/>
      <c r="DB4" s="302"/>
    </row>
    <row r="5" spans="1:106" ht="6" customHeight="1">
      <c r="A5" s="42"/>
      <c r="B5" s="303"/>
      <c r="C5" s="303"/>
      <c r="D5" s="303"/>
      <c r="E5" s="303"/>
      <c r="F5" s="303"/>
      <c r="G5" s="303"/>
      <c r="H5" s="303"/>
      <c r="I5" s="303"/>
      <c r="J5" s="303"/>
      <c r="K5" s="303"/>
      <c r="L5" s="303"/>
      <c r="M5" s="303"/>
      <c r="N5" s="303"/>
      <c r="O5" s="303"/>
      <c r="P5" s="303"/>
      <c r="Q5" s="303"/>
      <c r="R5" s="303"/>
      <c r="S5" s="303"/>
      <c r="T5" s="303"/>
      <c r="U5" s="303"/>
      <c r="V5" s="303"/>
      <c r="W5" s="303"/>
      <c r="X5" s="303"/>
      <c r="Y5" s="303"/>
      <c r="Z5" s="303"/>
      <c r="AA5" s="303"/>
      <c r="AB5" s="303"/>
      <c r="AC5" s="303"/>
      <c r="AD5" s="303"/>
      <c r="AE5" s="303"/>
      <c r="AF5" s="303"/>
      <c r="AG5" s="303"/>
      <c r="AH5" s="303"/>
      <c r="AI5" s="303"/>
      <c r="AJ5" s="303"/>
      <c r="AK5" s="303"/>
      <c r="AL5" s="303"/>
      <c r="AM5" s="303"/>
      <c r="AN5" s="303"/>
      <c r="AO5" s="303"/>
      <c r="AP5" s="303"/>
      <c r="AQ5" s="303"/>
      <c r="AR5" s="303"/>
      <c r="AS5" s="303"/>
      <c r="AT5" s="303"/>
      <c r="AU5" s="303"/>
      <c r="AV5" s="303"/>
      <c r="AW5" s="303"/>
      <c r="AX5" s="303"/>
      <c r="AY5" s="303"/>
      <c r="AZ5" s="303"/>
      <c r="BA5" s="303"/>
      <c r="BB5" s="303"/>
      <c r="BC5" s="303"/>
      <c r="BD5" s="303"/>
      <c r="BE5" s="303"/>
      <c r="BF5" s="303"/>
      <c r="BG5" s="303"/>
      <c r="BH5" s="303"/>
      <c r="BI5" s="303"/>
      <c r="BJ5" s="303"/>
      <c r="BK5" s="303"/>
      <c r="BL5" s="303"/>
      <c r="BM5" s="303"/>
      <c r="BN5" s="303"/>
      <c r="BO5" s="303"/>
      <c r="BP5" s="303"/>
      <c r="BQ5" s="303"/>
      <c r="BR5" s="303"/>
      <c r="BS5" s="303"/>
      <c r="BT5" s="303"/>
      <c r="BU5" s="303"/>
      <c r="BV5" s="303"/>
      <c r="BW5" s="303"/>
      <c r="BX5" s="303"/>
      <c r="BY5" s="303"/>
      <c r="BZ5" s="303"/>
      <c r="CA5" s="303"/>
      <c r="CB5" s="303"/>
      <c r="CC5" s="303"/>
      <c r="CD5" s="303"/>
      <c r="CE5" s="303"/>
      <c r="CF5" s="303"/>
      <c r="CG5" s="303"/>
      <c r="CH5" s="303"/>
      <c r="CI5" s="303"/>
      <c r="CJ5" s="303"/>
      <c r="CK5" s="303"/>
      <c r="CL5" s="303"/>
      <c r="CM5" s="303"/>
      <c r="CN5" s="303"/>
      <c r="CO5" s="303"/>
      <c r="CP5" s="303"/>
      <c r="CQ5" s="303"/>
      <c r="CR5" s="303"/>
      <c r="CS5" s="303"/>
      <c r="CT5" s="303"/>
      <c r="CU5" s="303"/>
      <c r="CV5" s="303"/>
      <c r="CW5" s="303"/>
      <c r="CX5" s="303"/>
      <c r="CY5" s="303"/>
      <c r="CZ5" s="303"/>
      <c r="DA5" s="303"/>
      <c r="DB5" s="303"/>
    </row>
    <row r="6" spans="1:106" ht="12" customHeight="1">
      <c r="A6" s="42"/>
      <c r="B6" s="43"/>
      <c r="C6" s="295"/>
      <c r="D6" s="295"/>
      <c r="E6" s="295"/>
      <c r="F6" s="295"/>
      <c r="G6" s="295"/>
      <c r="H6" s="295"/>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5"/>
      <c r="BY6" s="295"/>
      <c r="BZ6" s="295"/>
      <c r="CA6" s="295"/>
      <c r="CB6" s="295"/>
      <c r="CC6" s="295"/>
      <c r="CD6" s="295"/>
      <c r="CE6" s="295"/>
      <c r="CF6" s="295"/>
      <c r="CG6" s="295"/>
      <c r="CH6" s="295"/>
      <c r="CI6" s="295"/>
      <c r="CJ6" s="295"/>
      <c r="CK6" s="295"/>
      <c r="CL6" s="295"/>
      <c r="CM6" s="295"/>
      <c r="CN6" s="295"/>
      <c r="CO6" s="295"/>
      <c r="CP6" s="295"/>
      <c r="CQ6" s="295"/>
      <c r="CR6" s="295"/>
      <c r="CS6" s="295"/>
      <c r="CT6" s="295"/>
      <c r="CU6" s="295"/>
      <c r="CV6" s="295"/>
      <c r="CW6" s="295"/>
      <c r="CX6" s="295"/>
      <c r="CY6" s="295"/>
      <c r="CZ6" s="295"/>
      <c r="DA6" s="295"/>
      <c r="DB6" s="44"/>
    </row>
    <row r="7" spans="1:106" ht="15.75" customHeight="1">
      <c r="A7" s="42"/>
      <c r="B7" s="45"/>
      <c r="C7" s="296" t="s">
        <v>70</v>
      </c>
      <c r="D7" s="296"/>
      <c r="E7" s="296"/>
      <c r="F7" s="296"/>
      <c r="G7" s="296"/>
      <c r="H7" s="296"/>
      <c r="I7" s="296"/>
      <c r="J7" s="296"/>
      <c r="K7" s="296"/>
      <c r="L7" s="296"/>
      <c r="M7" s="296"/>
      <c r="N7" s="296"/>
      <c r="O7" s="297" t="e">
        <f>IF(#REF!="","",#REF!)</f>
        <v>#REF!</v>
      </c>
      <c r="P7" s="297"/>
      <c r="Q7" s="297"/>
      <c r="R7" s="297"/>
      <c r="S7" s="297"/>
      <c r="T7" s="297"/>
      <c r="U7" s="297"/>
      <c r="V7" s="297"/>
      <c r="W7" s="297"/>
      <c r="X7" s="297"/>
      <c r="Y7" s="297"/>
      <c r="Z7" s="297"/>
      <c r="AA7" s="297"/>
      <c r="AB7" s="297"/>
      <c r="AC7" s="297"/>
      <c r="AD7" s="297"/>
      <c r="AE7" s="297"/>
      <c r="AF7" s="297"/>
      <c r="AG7" s="297"/>
      <c r="AH7" s="297"/>
      <c r="AI7" s="297"/>
      <c r="AJ7" s="297"/>
      <c r="AK7" s="297"/>
      <c r="AL7" s="297"/>
      <c r="AM7" s="297"/>
      <c r="AN7" s="297"/>
      <c r="AO7" s="297"/>
      <c r="AP7" s="297"/>
      <c r="AQ7" s="297"/>
      <c r="AR7" s="297"/>
      <c r="AS7" s="297"/>
      <c r="AT7" s="297"/>
      <c r="AU7" s="297"/>
      <c r="AV7" s="297"/>
      <c r="AW7" s="297"/>
      <c r="AX7" s="297"/>
      <c r="AY7" s="297"/>
      <c r="AZ7" s="297"/>
      <c r="BA7" s="297"/>
      <c r="BB7" s="297"/>
      <c r="BC7" s="297"/>
      <c r="BD7" s="297"/>
      <c r="BE7" s="297"/>
      <c r="BF7" s="297"/>
      <c r="BG7" s="297"/>
      <c r="BH7" s="297"/>
      <c r="BI7" s="297"/>
      <c r="BJ7" s="297"/>
      <c r="BK7" s="297"/>
      <c r="BL7" s="297"/>
      <c r="BM7" s="297"/>
      <c r="BN7" s="297"/>
      <c r="BO7" s="297"/>
      <c r="BP7" s="297"/>
      <c r="BQ7" s="297"/>
      <c r="BR7" s="298" t="s">
        <v>71</v>
      </c>
      <c r="BS7" s="298"/>
      <c r="BT7" s="298"/>
      <c r="BU7" s="298"/>
      <c r="BV7" s="298"/>
      <c r="BW7" s="298"/>
      <c r="BX7" s="298"/>
      <c r="BY7" s="298"/>
      <c r="BZ7" s="298"/>
      <c r="CA7" s="298"/>
      <c r="CB7" s="298"/>
      <c r="CC7" s="298"/>
      <c r="CD7" s="298"/>
      <c r="CE7" s="299" t="e">
        <f>IF(#REF!="","",#REF!)</f>
        <v>#REF!</v>
      </c>
      <c r="CF7" s="299"/>
      <c r="CG7" s="299"/>
      <c r="CH7" s="299"/>
      <c r="CI7" s="299"/>
      <c r="CJ7" s="299"/>
      <c r="CK7" s="299"/>
      <c r="CL7" s="299"/>
      <c r="CM7" s="299"/>
      <c r="CN7" s="299"/>
      <c r="CO7" s="299"/>
      <c r="CP7" s="299"/>
      <c r="CQ7" s="299"/>
      <c r="CR7" s="299"/>
      <c r="CS7" s="299"/>
      <c r="CT7" s="299"/>
      <c r="CU7" s="299"/>
      <c r="CV7" s="299"/>
      <c r="CW7" s="299"/>
      <c r="CX7" s="299"/>
      <c r="CY7" s="299"/>
      <c r="CZ7" s="299"/>
      <c r="DA7" s="299"/>
      <c r="DB7" s="46"/>
    </row>
    <row r="8" spans="1:106" ht="12" customHeight="1">
      <c r="A8" s="42"/>
      <c r="B8" s="45"/>
      <c r="C8" s="291"/>
      <c r="D8" s="291"/>
      <c r="E8" s="291"/>
      <c r="F8" s="291"/>
      <c r="G8" s="291"/>
      <c r="H8" s="291"/>
      <c r="I8" s="291"/>
      <c r="J8" s="291"/>
      <c r="K8" s="291"/>
      <c r="L8" s="291"/>
      <c r="M8" s="291"/>
      <c r="N8" s="291"/>
      <c r="O8" s="291"/>
      <c r="P8" s="291"/>
      <c r="Q8" s="291"/>
      <c r="R8" s="291"/>
      <c r="S8" s="291"/>
      <c r="T8" s="291"/>
      <c r="U8" s="291"/>
      <c r="V8" s="291"/>
      <c r="W8" s="291"/>
      <c r="X8" s="291"/>
      <c r="Y8" s="291"/>
      <c r="Z8" s="291"/>
      <c r="AA8" s="291"/>
      <c r="AB8" s="291"/>
      <c r="AC8" s="291"/>
      <c r="AD8" s="291"/>
      <c r="AE8" s="291"/>
      <c r="AF8" s="291"/>
      <c r="AG8" s="291"/>
      <c r="AH8" s="291"/>
      <c r="AI8" s="291"/>
      <c r="AJ8" s="291"/>
      <c r="AK8" s="291"/>
      <c r="AL8" s="291"/>
      <c r="AM8" s="291"/>
      <c r="AN8" s="291"/>
      <c r="AO8" s="291"/>
      <c r="AP8" s="291"/>
      <c r="AQ8" s="291"/>
      <c r="AR8" s="291"/>
      <c r="AS8" s="291"/>
      <c r="AT8" s="291"/>
      <c r="AU8" s="291"/>
      <c r="AV8" s="291"/>
      <c r="AW8" s="291"/>
      <c r="AX8" s="291"/>
      <c r="AY8" s="291"/>
      <c r="AZ8" s="291"/>
      <c r="BA8" s="291"/>
      <c r="BB8" s="291"/>
      <c r="BC8" s="291"/>
      <c r="BD8" s="291"/>
      <c r="BE8" s="291"/>
      <c r="BF8" s="291"/>
      <c r="BG8" s="291"/>
      <c r="BH8" s="291"/>
      <c r="BI8" s="291"/>
      <c r="BJ8" s="291"/>
      <c r="BK8" s="291"/>
      <c r="BL8" s="291"/>
      <c r="BM8" s="291"/>
      <c r="BN8" s="291"/>
      <c r="BO8" s="291"/>
      <c r="BP8" s="291"/>
      <c r="BQ8" s="291"/>
      <c r="BR8" s="291"/>
      <c r="BS8" s="291"/>
      <c r="BT8" s="291"/>
      <c r="BU8" s="291"/>
      <c r="BV8" s="291"/>
      <c r="BW8" s="291"/>
      <c r="BX8" s="291"/>
      <c r="BY8" s="291"/>
      <c r="BZ8" s="291"/>
      <c r="CA8" s="291"/>
      <c r="CB8" s="291"/>
      <c r="CC8" s="291"/>
      <c r="CD8" s="291"/>
      <c r="CE8" s="291"/>
      <c r="CF8" s="291"/>
      <c r="CG8" s="291"/>
      <c r="CH8" s="291"/>
      <c r="CI8" s="291"/>
      <c r="CJ8" s="291"/>
      <c r="CK8" s="291"/>
      <c r="CL8" s="291"/>
      <c r="CM8" s="291"/>
      <c r="CN8" s="291"/>
      <c r="CO8" s="291"/>
      <c r="CP8" s="291"/>
      <c r="CQ8" s="291"/>
      <c r="CR8" s="291"/>
      <c r="CS8" s="291"/>
      <c r="CT8" s="291"/>
      <c r="CU8" s="291"/>
      <c r="CV8" s="291"/>
      <c r="CW8" s="291"/>
      <c r="CX8" s="291"/>
      <c r="CY8" s="291"/>
      <c r="CZ8" s="291"/>
      <c r="DA8" s="291"/>
      <c r="DB8" s="46"/>
    </row>
    <row r="9" spans="1:106" ht="12" customHeight="1">
      <c r="B9" s="45"/>
      <c r="C9" s="5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292"/>
      <c r="BI9" s="292"/>
      <c r="BJ9" s="292"/>
      <c r="BK9" s="292"/>
      <c r="BL9" s="292"/>
      <c r="BM9" s="292"/>
      <c r="BN9" s="292"/>
      <c r="BO9" s="292"/>
      <c r="BP9" s="292"/>
      <c r="BQ9" s="292"/>
      <c r="BR9" s="292"/>
      <c r="BS9" s="292"/>
      <c r="BT9" s="292"/>
      <c r="BU9" s="292"/>
      <c r="BV9" s="292"/>
      <c r="BW9" s="292"/>
      <c r="BX9" s="292"/>
      <c r="BY9" s="292"/>
      <c r="BZ9" s="292"/>
      <c r="CA9" s="292"/>
      <c r="CB9" s="292"/>
      <c r="CC9" s="292"/>
      <c r="CD9" s="292"/>
      <c r="CE9" s="292"/>
      <c r="CF9" s="292"/>
      <c r="CG9" s="292"/>
      <c r="CH9" s="292"/>
      <c r="CI9" s="292"/>
      <c r="CJ9" s="292"/>
      <c r="CK9" s="292"/>
      <c r="CL9" s="292"/>
      <c r="CM9" s="292"/>
      <c r="CN9" s="292"/>
      <c r="CO9" s="292"/>
      <c r="CP9" s="292"/>
      <c r="CQ9" s="292"/>
      <c r="CR9" s="292"/>
      <c r="CS9" s="292"/>
      <c r="CT9" s="292"/>
      <c r="CU9" s="292"/>
      <c r="CV9" s="292"/>
      <c r="CW9" s="292"/>
      <c r="CX9" s="292"/>
      <c r="CY9" s="292"/>
      <c r="CZ9" s="292"/>
      <c r="DA9" s="52"/>
      <c r="DB9" s="46"/>
    </row>
    <row r="10" spans="1:106" ht="15.75" customHeight="1">
      <c r="B10" s="45"/>
      <c r="C10" s="293" t="s">
        <v>96</v>
      </c>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3"/>
      <c r="BJ10" s="293"/>
      <c r="BK10" s="293"/>
      <c r="BL10" s="293"/>
      <c r="BM10" s="293"/>
      <c r="BN10" s="293"/>
      <c r="BO10" s="293"/>
      <c r="BP10" s="293"/>
      <c r="BQ10" s="293"/>
      <c r="BR10" s="293"/>
      <c r="BS10" s="293"/>
      <c r="BT10" s="293"/>
      <c r="BU10" s="293"/>
      <c r="BV10" s="293"/>
      <c r="BW10" s="293"/>
      <c r="BX10" s="293"/>
      <c r="BY10" s="293"/>
      <c r="BZ10" s="293"/>
      <c r="CA10" s="293"/>
      <c r="CB10" s="293"/>
      <c r="CC10" s="293"/>
      <c r="CD10" s="293"/>
      <c r="CE10" s="293"/>
      <c r="CF10" s="293"/>
      <c r="CG10" s="293"/>
      <c r="CH10" s="293"/>
      <c r="CI10" s="293"/>
      <c r="CJ10" s="293"/>
      <c r="CK10" s="293"/>
      <c r="CL10" s="293"/>
      <c r="CM10" s="293"/>
      <c r="CN10" s="293"/>
      <c r="CO10" s="293"/>
      <c r="CP10" s="293"/>
      <c r="CQ10" s="293"/>
      <c r="CR10" s="293"/>
      <c r="CS10" s="293"/>
      <c r="CT10" s="293"/>
      <c r="CU10" s="293"/>
      <c r="CV10" s="293"/>
      <c r="CW10" s="293"/>
      <c r="CX10" s="293"/>
      <c r="CY10" s="293"/>
      <c r="CZ10" s="293"/>
      <c r="DA10" s="293"/>
      <c r="DB10" s="46"/>
    </row>
    <row r="11" spans="1:106" ht="15.75" customHeight="1">
      <c r="B11" s="45"/>
      <c r="C11" s="280" t="s">
        <v>97</v>
      </c>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0"/>
      <c r="BD11" s="280"/>
      <c r="BE11" s="280"/>
      <c r="BF11" s="280"/>
      <c r="BG11" s="280"/>
      <c r="BH11" s="280"/>
      <c r="BI11" s="280"/>
      <c r="BJ11" s="280"/>
      <c r="BK11" s="280"/>
      <c r="BL11" s="280"/>
      <c r="BM11" s="280"/>
      <c r="BN11" s="280"/>
      <c r="BO11" s="280"/>
      <c r="BP11" s="280"/>
      <c r="BQ11" s="280"/>
      <c r="BR11" s="280"/>
      <c r="BS11" s="280"/>
      <c r="BT11" s="280"/>
      <c r="BU11" s="280"/>
      <c r="BV11" s="280"/>
      <c r="BW11" s="280"/>
      <c r="BX11" s="280"/>
      <c r="BY11" s="280"/>
      <c r="BZ11" s="280"/>
      <c r="CA11" s="280"/>
      <c r="CB11" s="280"/>
      <c r="CC11" s="280"/>
      <c r="CD11" s="280"/>
      <c r="CE11" s="280"/>
      <c r="CF11" s="280"/>
      <c r="CG11" s="280"/>
      <c r="CH11" s="280"/>
      <c r="CI11" s="280"/>
      <c r="CJ11" s="280"/>
      <c r="CK11" s="294"/>
      <c r="CL11" s="294"/>
      <c r="CM11" s="294"/>
      <c r="CN11" s="294"/>
      <c r="CO11" s="294"/>
      <c r="CP11" s="294"/>
      <c r="CQ11" s="294"/>
      <c r="CR11" s="294"/>
      <c r="CS11" s="294"/>
      <c r="CT11" s="294"/>
      <c r="CU11" s="294"/>
      <c r="CV11" s="294"/>
      <c r="CW11" s="294"/>
      <c r="CX11" s="294"/>
      <c r="CY11" s="294"/>
      <c r="CZ11" s="294"/>
      <c r="DA11" s="294"/>
      <c r="DB11" s="46"/>
    </row>
    <row r="12" spans="1:106" ht="15.75" customHeight="1">
      <c r="B12" s="45"/>
      <c r="C12" s="280" t="s">
        <v>98</v>
      </c>
      <c r="D12" s="280"/>
      <c r="E12" s="280"/>
      <c r="F12" s="280"/>
      <c r="G12" s="280"/>
      <c r="H12" s="280"/>
      <c r="I12" s="280"/>
      <c r="J12" s="280"/>
      <c r="K12" s="280"/>
      <c r="L12" s="280"/>
      <c r="M12" s="280"/>
      <c r="N12" s="280"/>
      <c r="O12" s="280"/>
      <c r="P12" s="280"/>
      <c r="Q12" s="280"/>
      <c r="R12" s="280"/>
      <c r="S12" s="280"/>
      <c r="T12" s="280"/>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c r="AY12" s="280"/>
      <c r="AZ12" s="280"/>
      <c r="BA12" s="280"/>
      <c r="BB12" s="280"/>
      <c r="BC12" s="280"/>
      <c r="BD12" s="280"/>
      <c r="BE12" s="280"/>
      <c r="BF12" s="280"/>
      <c r="BG12" s="280"/>
      <c r="BH12" s="280"/>
      <c r="BI12" s="280"/>
      <c r="BJ12" s="280"/>
      <c r="BK12" s="280"/>
      <c r="BL12" s="280"/>
      <c r="BM12" s="280"/>
      <c r="BN12" s="280"/>
      <c r="BO12" s="280"/>
      <c r="BP12" s="280"/>
      <c r="BQ12" s="280"/>
      <c r="BR12" s="280"/>
      <c r="BS12" s="280"/>
      <c r="BT12" s="280"/>
      <c r="BU12" s="280"/>
      <c r="BV12" s="280"/>
      <c r="BW12" s="280"/>
      <c r="BX12" s="280"/>
      <c r="BY12" s="280"/>
      <c r="BZ12" s="280"/>
      <c r="CA12" s="280"/>
      <c r="CB12" s="280"/>
      <c r="CC12" s="280"/>
      <c r="CD12" s="280"/>
      <c r="CE12" s="280"/>
      <c r="CF12" s="280"/>
      <c r="CG12" s="280"/>
      <c r="CH12" s="280"/>
      <c r="CI12" s="280"/>
      <c r="CJ12" s="280"/>
      <c r="CK12" s="286">
        <v>0</v>
      </c>
      <c r="CL12" s="286"/>
      <c r="CM12" s="286"/>
      <c r="CN12" s="286"/>
      <c r="CO12" s="286"/>
      <c r="CP12" s="286"/>
      <c r="CQ12" s="286"/>
      <c r="CR12" s="286"/>
      <c r="CS12" s="286"/>
      <c r="CT12" s="286"/>
      <c r="CU12" s="286"/>
      <c r="CV12" s="286"/>
      <c r="CW12" s="286"/>
      <c r="CX12" s="286"/>
      <c r="CY12" s="286"/>
      <c r="CZ12" s="286"/>
      <c r="DA12" s="286"/>
      <c r="DB12" s="46"/>
    </row>
    <row r="13" spans="1:106" ht="15.75" customHeight="1">
      <c r="B13" s="45"/>
      <c r="C13" s="280" t="s">
        <v>99</v>
      </c>
      <c r="D13" s="280"/>
      <c r="E13" s="280"/>
      <c r="F13" s="280"/>
      <c r="G13" s="280"/>
      <c r="H13" s="280"/>
      <c r="I13" s="280"/>
      <c r="J13" s="280"/>
      <c r="K13" s="280"/>
      <c r="L13" s="280"/>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0"/>
      <c r="BK13" s="280"/>
      <c r="BL13" s="280"/>
      <c r="BM13" s="280"/>
      <c r="BN13" s="280"/>
      <c r="BO13" s="280"/>
      <c r="BP13" s="280"/>
      <c r="BQ13" s="280"/>
      <c r="BR13" s="280"/>
      <c r="BS13" s="280"/>
      <c r="BT13" s="280"/>
      <c r="BU13" s="280"/>
      <c r="BV13" s="280"/>
      <c r="BW13" s="280"/>
      <c r="BX13" s="280"/>
      <c r="BY13" s="280"/>
      <c r="BZ13" s="280"/>
      <c r="CA13" s="280"/>
      <c r="CB13" s="280"/>
      <c r="CC13" s="280"/>
      <c r="CD13" s="280"/>
      <c r="CE13" s="280"/>
      <c r="CF13" s="280"/>
      <c r="CG13" s="280"/>
      <c r="CH13" s="280"/>
      <c r="CI13" s="280"/>
      <c r="CJ13" s="280"/>
      <c r="CK13" s="286">
        <v>0</v>
      </c>
      <c r="CL13" s="286"/>
      <c r="CM13" s="286"/>
      <c r="CN13" s="286"/>
      <c r="CO13" s="286"/>
      <c r="CP13" s="286"/>
      <c r="CQ13" s="286"/>
      <c r="CR13" s="286"/>
      <c r="CS13" s="286"/>
      <c r="CT13" s="286"/>
      <c r="CU13" s="286"/>
      <c r="CV13" s="286"/>
      <c r="CW13" s="286"/>
      <c r="CX13" s="286"/>
      <c r="CY13" s="286"/>
      <c r="CZ13" s="286"/>
      <c r="DA13" s="286"/>
      <c r="DB13" s="46"/>
    </row>
    <row r="14" spans="1:106" ht="15.75" customHeight="1">
      <c r="B14" s="45"/>
      <c r="C14" s="280" t="s">
        <v>100</v>
      </c>
      <c r="D14" s="280"/>
      <c r="E14" s="280"/>
      <c r="F14" s="280"/>
      <c r="G14" s="280"/>
      <c r="H14" s="280"/>
      <c r="I14" s="280"/>
      <c r="J14" s="280"/>
      <c r="K14" s="280"/>
      <c r="L14" s="280"/>
      <c r="M14" s="280"/>
      <c r="N14" s="280"/>
      <c r="O14" s="280"/>
      <c r="P14" s="280"/>
      <c r="Q14" s="280"/>
      <c r="R14" s="280"/>
      <c r="S14" s="280"/>
      <c r="T14" s="280"/>
      <c r="U14" s="280"/>
      <c r="V14" s="280"/>
      <c r="W14" s="280"/>
      <c r="X14" s="280"/>
      <c r="Y14" s="280"/>
      <c r="Z14" s="280"/>
      <c r="AA14" s="280"/>
      <c r="AB14" s="280"/>
      <c r="AC14" s="280"/>
      <c r="AD14" s="280"/>
      <c r="AE14" s="280"/>
      <c r="AF14" s="280"/>
      <c r="AG14" s="280"/>
      <c r="AH14" s="280"/>
      <c r="AI14" s="280"/>
      <c r="AJ14" s="280"/>
      <c r="AK14" s="280"/>
      <c r="AL14" s="280"/>
      <c r="AM14" s="280"/>
      <c r="AN14" s="280"/>
      <c r="AO14" s="280"/>
      <c r="AP14" s="280"/>
      <c r="AQ14" s="280"/>
      <c r="AR14" s="280"/>
      <c r="AS14" s="280"/>
      <c r="AT14" s="280"/>
      <c r="AU14" s="280"/>
      <c r="AV14" s="280"/>
      <c r="AW14" s="280"/>
      <c r="AX14" s="280"/>
      <c r="AY14" s="280"/>
      <c r="AZ14" s="280"/>
      <c r="BA14" s="280"/>
      <c r="BB14" s="280"/>
      <c r="BC14" s="280"/>
      <c r="BD14" s="280"/>
      <c r="BE14" s="280"/>
      <c r="BF14" s="280"/>
      <c r="BG14" s="280"/>
      <c r="BH14" s="280"/>
      <c r="BI14" s="280"/>
      <c r="BJ14" s="280"/>
      <c r="BK14" s="280"/>
      <c r="BL14" s="280"/>
      <c r="BM14" s="280"/>
      <c r="BN14" s="280"/>
      <c r="BO14" s="280"/>
      <c r="BP14" s="280"/>
      <c r="BQ14" s="280"/>
      <c r="BR14" s="280"/>
      <c r="BS14" s="280"/>
      <c r="BT14" s="280"/>
      <c r="BU14" s="280"/>
      <c r="BV14" s="280"/>
      <c r="BW14" s="280"/>
      <c r="BX14" s="280"/>
      <c r="BY14" s="280"/>
      <c r="BZ14" s="280"/>
      <c r="CA14" s="280"/>
      <c r="CB14" s="280"/>
      <c r="CC14" s="280"/>
      <c r="CD14" s="280"/>
      <c r="CE14" s="280"/>
      <c r="CF14" s="280"/>
      <c r="CG14" s="280"/>
      <c r="CH14" s="280"/>
      <c r="CI14" s="280"/>
      <c r="CJ14" s="280"/>
      <c r="CK14" s="281">
        <f>SUM(CK12:DA13)</f>
        <v>0</v>
      </c>
      <c r="CL14" s="281"/>
      <c r="CM14" s="281"/>
      <c r="CN14" s="281"/>
      <c r="CO14" s="281"/>
      <c r="CP14" s="281"/>
      <c r="CQ14" s="281"/>
      <c r="CR14" s="281"/>
      <c r="CS14" s="281"/>
      <c r="CT14" s="281"/>
      <c r="CU14" s="281"/>
      <c r="CV14" s="281"/>
      <c r="CW14" s="281"/>
      <c r="CX14" s="281"/>
      <c r="CY14" s="281"/>
      <c r="CZ14" s="281"/>
      <c r="DA14" s="281"/>
      <c r="DB14" s="46"/>
    </row>
    <row r="15" spans="1:106" ht="12" customHeight="1">
      <c r="B15" s="45"/>
      <c r="D15" s="276"/>
      <c r="E15" s="276"/>
      <c r="F15" s="276"/>
      <c r="G15" s="276"/>
      <c r="H15" s="27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276"/>
      <c r="AH15" s="276"/>
      <c r="AI15" s="276"/>
      <c r="AJ15" s="276"/>
      <c r="AK15" s="276"/>
      <c r="AL15" s="276"/>
      <c r="AM15" s="276"/>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6"/>
      <c r="BK15" s="276"/>
      <c r="BL15" s="276"/>
      <c r="BM15" s="276"/>
      <c r="BN15" s="276"/>
      <c r="BO15" s="276"/>
      <c r="BP15" s="276"/>
      <c r="BQ15" s="276"/>
      <c r="BR15" s="276"/>
      <c r="BS15" s="276"/>
      <c r="BT15" s="276"/>
      <c r="BU15" s="276"/>
      <c r="BV15" s="276"/>
      <c r="BW15" s="276"/>
      <c r="BX15" s="276"/>
      <c r="BY15" s="276"/>
      <c r="BZ15" s="276"/>
      <c r="CA15" s="276"/>
      <c r="CB15" s="276"/>
      <c r="CC15" s="276"/>
      <c r="CD15" s="276"/>
      <c r="CE15" s="276"/>
      <c r="CF15" s="276"/>
      <c r="CG15" s="276"/>
      <c r="CH15" s="276"/>
      <c r="CI15" s="276"/>
      <c r="CJ15" s="276"/>
      <c r="CK15" s="276"/>
      <c r="CL15" s="276"/>
      <c r="CM15" s="276"/>
      <c r="CN15" s="276"/>
      <c r="CO15" s="276"/>
      <c r="CP15" s="276"/>
      <c r="CQ15" s="276"/>
      <c r="CR15" s="276"/>
      <c r="CS15" s="276"/>
      <c r="CT15" s="276"/>
      <c r="CU15" s="276"/>
      <c r="CV15" s="276"/>
      <c r="CW15" s="276"/>
      <c r="CX15" s="276"/>
      <c r="CY15" s="276"/>
      <c r="CZ15" s="276"/>
      <c r="DB15" s="46"/>
    </row>
    <row r="16" spans="1:106" ht="12" customHeight="1">
      <c r="B16" s="45"/>
      <c r="C16" s="287"/>
      <c r="D16" s="287"/>
      <c r="E16" s="287"/>
      <c r="F16" s="287"/>
      <c r="G16" s="287"/>
      <c r="H16" s="287"/>
      <c r="I16" s="287"/>
      <c r="J16" s="287"/>
      <c r="K16" s="287"/>
      <c r="L16" s="287"/>
      <c r="M16" s="287"/>
      <c r="N16" s="287"/>
      <c r="O16" s="287"/>
      <c r="P16" s="287"/>
      <c r="Q16" s="287"/>
      <c r="R16" s="287"/>
      <c r="S16" s="287"/>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7"/>
      <c r="AQ16" s="287"/>
      <c r="AR16" s="287"/>
      <c r="AS16" s="287"/>
      <c r="AT16" s="287"/>
      <c r="AU16" s="287"/>
      <c r="AV16" s="287"/>
      <c r="AW16" s="287"/>
      <c r="AX16" s="287"/>
      <c r="AY16" s="287"/>
      <c r="AZ16" s="287"/>
      <c r="BA16" s="287"/>
      <c r="BB16" s="287"/>
      <c r="BC16" s="287"/>
      <c r="BD16" s="287"/>
      <c r="BE16" s="287"/>
      <c r="BF16" s="287"/>
      <c r="BG16" s="287"/>
      <c r="BH16" s="287"/>
      <c r="BI16" s="287"/>
      <c r="BJ16" s="287"/>
      <c r="BK16" s="287"/>
      <c r="BL16" s="287"/>
      <c r="BM16" s="287"/>
      <c r="BN16" s="287"/>
      <c r="BO16" s="287"/>
      <c r="BP16" s="287"/>
      <c r="BQ16" s="287"/>
      <c r="BR16" s="287"/>
      <c r="BS16" s="287"/>
      <c r="BT16" s="287"/>
      <c r="BU16" s="287"/>
      <c r="BV16" s="287"/>
      <c r="BW16" s="287"/>
      <c r="BX16" s="287"/>
      <c r="BY16" s="287"/>
      <c r="BZ16" s="287"/>
      <c r="CA16" s="287"/>
      <c r="CB16" s="287"/>
      <c r="CC16" s="287"/>
      <c r="CD16" s="287"/>
      <c r="CE16" s="287"/>
      <c r="CF16" s="287"/>
      <c r="CG16" s="287"/>
      <c r="CH16" s="287"/>
      <c r="CI16" s="287"/>
      <c r="CJ16" s="287"/>
      <c r="CK16" s="287"/>
      <c r="CL16" s="287"/>
      <c r="CM16" s="287"/>
      <c r="CN16" s="287"/>
      <c r="CO16" s="287"/>
      <c r="CP16" s="287"/>
      <c r="CQ16" s="287"/>
      <c r="CR16" s="287"/>
      <c r="CS16" s="287"/>
      <c r="CT16" s="287"/>
      <c r="CU16" s="287"/>
      <c r="CV16" s="287"/>
      <c r="CW16" s="287"/>
      <c r="CX16" s="287"/>
      <c r="CY16" s="287"/>
      <c r="CZ16" s="287"/>
      <c r="DA16" s="287"/>
      <c r="DB16" s="46"/>
    </row>
    <row r="17" spans="2:106" ht="15.75" customHeight="1">
      <c r="B17" s="45"/>
      <c r="C17" s="288" t="s">
        <v>101</v>
      </c>
      <c r="D17" s="288"/>
      <c r="E17" s="288"/>
      <c r="F17" s="288"/>
      <c r="G17" s="288"/>
      <c r="H17" s="288"/>
      <c r="I17" s="288"/>
      <c r="J17" s="288"/>
      <c r="K17" s="288"/>
      <c r="L17" s="288"/>
      <c r="M17" s="288"/>
      <c r="N17" s="288"/>
      <c r="O17" s="288"/>
      <c r="P17" s="288"/>
      <c r="Q17" s="288"/>
      <c r="R17" s="288"/>
      <c r="S17" s="288"/>
      <c r="T17" s="288"/>
      <c r="U17" s="288"/>
      <c r="V17" s="288"/>
      <c r="W17" s="288"/>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8"/>
      <c r="BK17" s="288"/>
      <c r="BL17" s="288"/>
      <c r="BM17" s="288"/>
      <c r="BN17" s="288"/>
      <c r="BO17" s="288"/>
      <c r="BP17" s="288"/>
      <c r="BQ17" s="288"/>
      <c r="BR17" s="288"/>
      <c r="BS17" s="288"/>
      <c r="BT17" s="288"/>
      <c r="BU17" s="288"/>
      <c r="BV17" s="288"/>
      <c r="BW17" s="288"/>
      <c r="BX17" s="288"/>
      <c r="BY17" s="288"/>
      <c r="BZ17" s="288"/>
      <c r="CA17" s="288"/>
      <c r="CB17" s="288"/>
      <c r="CC17" s="288"/>
      <c r="CD17" s="288"/>
      <c r="CE17" s="288"/>
      <c r="CF17" s="288"/>
      <c r="CG17" s="288"/>
      <c r="CH17" s="288"/>
      <c r="CI17" s="288"/>
      <c r="CJ17" s="288"/>
      <c r="CK17" s="288"/>
      <c r="CL17" s="288"/>
      <c r="CM17" s="288"/>
      <c r="CN17" s="288"/>
      <c r="CO17" s="288"/>
      <c r="CP17" s="288"/>
      <c r="CQ17" s="288"/>
      <c r="CR17" s="288"/>
      <c r="CS17" s="288"/>
      <c r="CT17" s="288"/>
      <c r="CU17" s="288"/>
      <c r="CV17" s="288"/>
      <c r="CW17" s="288"/>
      <c r="CX17" s="288"/>
      <c r="CY17" s="288"/>
      <c r="CZ17" s="288"/>
      <c r="DA17" s="288"/>
      <c r="DB17" s="46"/>
    </row>
    <row r="18" spans="2:106" ht="15.75" customHeight="1">
      <c r="B18" s="45"/>
      <c r="C18" s="289" t="s">
        <v>102</v>
      </c>
      <c r="D18" s="289"/>
      <c r="E18" s="289"/>
      <c r="F18" s="289"/>
      <c r="G18" s="289"/>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89"/>
      <c r="BK18" s="289"/>
      <c r="BL18" s="289"/>
      <c r="BM18" s="289"/>
      <c r="BN18" s="289"/>
      <c r="BO18" s="289"/>
      <c r="BP18" s="289"/>
      <c r="BQ18" s="289"/>
      <c r="BR18" s="289"/>
      <c r="BS18" s="289"/>
      <c r="BT18" s="289"/>
      <c r="BU18" s="289"/>
      <c r="BV18" s="289"/>
      <c r="BW18" s="289"/>
      <c r="BX18" s="289"/>
      <c r="BY18" s="289"/>
      <c r="BZ18" s="289"/>
      <c r="CA18" s="289"/>
      <c r="CB18" s="289"/>
      <c r="CC18" s="289"/>
      <c r="CD18" s="289"/>
      <c r="CE18" s="289"/>
      <c r="CF18" s="289"/>
      <c r="CG18" s="289"/>
      <c r="CH18" s="289"/>
      <c r="CI18" s="289"/>
      <c r="CJ18" s="289"/>
      <c r="CK18" s="290" t="str">
        <f>IF(CK11="","",EDATE(CK11,6))</f>
        <v/>
      </c>
      <c r="CL18" s="290"/>
      <c r="CM18" s="290"/>
      <c r="CN18" s="290"/>
      <c r="CO18" s="290"/>
      <c r="CP18" s="290"/>
      <c r="CQ18" s="290"/>
      <c r="CR18" s="290"/>
      <c r="CS18" s="290"/>
      <c r="CT18" s="290"/>
      <c r="CU18" s="290"/>
      <c r="CV18" s="290"/>
      <c r="CW18" s="290"/>
      <c r="CX18" s="290"/>
      <c r="CY18" s="290"/>
      <c r="CZ18" s="290"/>
      <c r="DA18" s="290"/>
      <c r="DB18" s="46"/>
    </row>
    <row r="19" spans="2:106" ht="15.75" customHeight="1">
      <c r="B19" s="45"/>
      <c r="C19" s="280" t="str">
        <f>Data_Income!B948</f>
        <v xml:space="preserve"> Borrower's total income beginning on 1/1/1900 and ending on 7/1/1900</v>
      </c>
      <c r="D19" s="280"/>
      <c r="E19" s="280"/>
      <c r="F19" s="280"/>
      <c r="G19" s="280"/>
      <c r="H19" s="280"/>
      <c r="I19" s="280"/>
      <c r="J19" s="280"/>
      <c r="K19" s="280"/>
      <c r="L19" s="280"/>
      <c r="M19" s="280"/>
      <c r="N19" s="280"/>
      <c r="O19" s="280"/>
      <c r="P19" s="280"/>
      <c r="Q19" s="280"/>
      <c r="R19" s="280"/>
      <c r="S19" s="280"/>
      <c r="T19" s="280"/>
      <c r="U19" s="280"/>
      <c r="V19" s="280"/>
      <c r="W19" s="280"/>
      <c r="X19" s="280"/>
      <c r="Y19" s="280"/>
      <c r="Z19" s="280"/>
      <c r="AA19" s="280"/>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0"/>
      <c r="BK19" s="280"/>
      <c r="BL19" s="280"/>
      <c r="BM19" s="280"/>
      <c r="BN19" s="280"/>
      <c r="BO19" s="280"/>
      <c r="BP19" s="280"/>
      <c r="BQ19" s="280"/>
      <c r="BR19" s="280"/>
      <c r="BS19" s="280"/>
      <c r="BT19" s="280"/>
      <c r="BU19" s="280"/>
      <c r="BV19" s="280"/>
      <c r="BW19" s="280"/>
      <c r="BX19" s="280"/>
      <c r="BY19" s="280"/>
      <c r="BZ19" s="280"/>
      <c r="CA19" s="280"/>
      <c r="CB19" s="280"/>
      <c r="CC19" s="280"/>
      <c r="CD19" s="280"/>
      <c r="CE19" s="280"/>
      <c r="CF19" s="280"/>
      <c r="CG19" s="280"/>
      <c r="CH19" s="280"/>
      <c r="CI19" s="280"/>
      <c r="CJ19" s="280"/>
      <c r="CK19" s="286">
        <v>0</v>
      </c>
      <c r="CL19" s="286"/>
      <c r="CM19" s="286"/>
      <c r="CN19" s="286"/>
      <c r="CO19" s="286"/>
      <c r="CP19" s="286"/>
      <c r="CQ19" s="286"/>
      <c r="CR19" s="286"/>
      <c r="CS19" s="286"/>
      <c r="CT19" s="286"/>
      <c r="CU19" s="286"/>
      <c r="CV19" s="286"/>
      <c r="CW19" s="286"/>
      <c r="CX19" s="286"/>
      <c r="CY19" s="286"/>
      <c r="CZ19" s="286"/>
      <c r="DA19" s="286"/>
      <c r="DB19" s="46"/>
    </row>
    <row r="20" spans="2:106" ht="15.75" customHeight="1">
      <c r="B20" s="45"/>
      <c r="C20" s="280" t="str">
        <f>Data_Income!B949</f>
        <v xml:space="preserve"> Other household total income beginning on 1/1/1900 and ending on 7/1/1900</v>
      </c>
      <c r="D20" s="280"/>
      <c r="E20" s="280"/>
      <c r="F20" s="280"/>
      <c r="G20" s="280"/>
      <c r="H20" s="280"/>
      <c r="I20" s="280"/>
      <c r="J20" s="280"/>
      <c r="K20" s="280"/>
      <c r="L20" s="280"/>
      <c r="M20" s="280"/>
      <c r="N20" s="280"/>
      <c r="O20" s="280"/>
      <c r="P20" s="280"/>
      <c r="Q20" s="280"/>
      <c r="R20" s="280"/>
      <c r="S20" s="280"/>
      <c r="T20" s="280"/>
      <c r="U20" s="280"/>
      <c r="V20" s="280"/>
      <c r="W20" s="280"/>
      <c r="X20" s="280"/>
      <c r="Y20" s="280"/>
      <c r="Z20" s="280"/>
      <c r="AA20" s="280"/>
      <c r="AB20" s="280"/>
      <c r="AC20" s="280"/>
      <c r="AD20" s="280"/>
      <c r="AE20" s="280"/>
      <c r="AF20" s="280"/>
      <c r="AG20" s="280"/>
      <c r="AH20" s="280"/>
      <c r="AI20" s="280"/>
      <c r="AJ20" s="280"/>
      <c r="AK20" s="280"/>
      <c r="AL20" s="280"/>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0"/>
      <c r="BK20" s="280"/>
      <c r="BL20" s="280"/>
      <c r="BM20" s="280"/>
      <c r="BN20" s="280"/>
      <c r="BO20" s="280"/>
      <c r="BP20" s="280"/>
      <c r="BQ20" s="280"/>
      <c r="BR20" s="280"/>
      <c r="BS20" s="280"/>
      <c r="BT20" s="280"/>
      <c r="BU20" s="280"/>
      <c r="BV20" s="280"/>
      <c r="BW20" s="280"/>
      <c r="BX20" s="280"/>
      <c r="BY20" s="280"/>
      <c r="BZ20" s="280"/>
      <c r="CA20" s="280"/>
      <c r="CB20" s="280"/>
      <c r="CC20" s="280"/>
      <c r="CD20" s="280"/>
      <c r="CE20" s="280"/>
      <c r="CF20" s="280"/>
      <c r="CG20" s="280"/>
      <c r="CH20" s="280"/>
      <c r="CI20" s="280"/>
      <c r="CJ20" s="280"/>
      <c r="CK20" s="286">
        <v>0</v>
      </c>
      <c r="CL20" s="286"/>
      <c r="CM20" s="286"/>
      <c r="CN20" s="286"/>
      <c r="CO20" s="286"/>
      <c r="CP20" s="286"/>
      <c r="CQ20" s="286"/>
      <c r="CR20" s="286"/>
      <c r="CS20" s="286"/>
      <c r="CT20" s="286"/>
      <c r="CU20" s="286"/>
      <c r="CV20" s="286"/>
      <c r="CW20" s="286"/>
      <c r="CX20" s="286"/>
      <c r="CY20" s="286"/>
      <c r="CZ20" s="286"/>
      <c r="DA20" s="286"/>
      <c r="DB20" s="46"/>
    </row>
    <row r="21" spans="2:106" ht="15.75" customHeight="1">
      <c r="B21" s="45"/>
      <c r="C21" s="280" t="str">
        <f>Data_Income!B950</f>
        <v xml:space="preserve"> Grand Total Household Income beginning on 1/1/1900 and ending on 7/1/1900</v>
      </c>
      <c r="D21" s="280"/>
      <c r="E21" s="280"/>
      <c r="F21" s="280"/>
      <c r="G21" s="280"/>
      <c r="H21" s="280"/>
      <c r="I21" s="280"/>
      <c r="J21" s="280"/>
      <c r="K21" s="280"/>
      <c r="L21" s="280"/>
      <c r="M21" s="280"/>
      <c r="N21" s="280"/>
      <c r="O21" s="280"/>
      <c r="P21" s="280"/>
      <c r="Q21" s="280"/>
      <c r="R21" s="280"/>
      <c r="S21" s="280"/>
      <c r="T21" s="280"/>
      <c r="U21" s="280"/>
      <c r="V21" s="280"/>
      <c r="W21" s="280"/>
      <c r="X21" s="280"/>
      <c r="Y21" s="280"/>
      <c r="Z21" s="280"/>
      <c r="AA21" s="280"/>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0"/>
      <c r="BK21" s="280"/>
      <c r="BL21" s="280"/>
      <c r="BM21" s="280"/>
      <c r="BN21" s="280"/>
      <c r="BO21" s="280"/>
      <c r="BP21" s="280"/>
      <c r="BQ21" s="280"/>
      <c r="BR21" s="280"/>
      <c r="BS21" s="280"/>
      <c r="BT21" s="280"/>
      <c r="BU21" s="280"/>
      <c r="BV21" s="280"/>
      <c r="BW21" s="280"/>
      <c r="BX21" s="280"/>
      <c r="BY21" s="280"/>
      <c r="BZ21" s="280"/>
      <c r="CA21" s="280"/>
      <c r="CB21" s="280"/>
      <c r="CC21" s="280"/>
      <c r="CD21" s="280"/>
      <c r="CE21" s="280"/>
      <c r="CF21" s="280"/>
      <c r="CG21" s="280"/>
      <c r="CH21" s="280"/>
      <c r="CI21" s="280"/>
      <c r="CJ21" s="280"/>
      <c r="CK21" s="281">
        <f>SUM(CK19:DA20)</f>
        <v>0</v>
      </c>
      <c r="CL21" s="281"/>
      <c r="CM21" s="281"/>
      <c r="CN21" s="281"/>
      <c r="CO21" s="281"/>
      <c r="CP21" s="281"/>
      <c r="CQ21" s="281"/>
      <c r="CR21" s="281"/>
      <c r="CS21" s="281"/>
      <c r="CT21" s="281"/>
      <c r="CU21" s="281"/>
      <c r="CV21" s="281"/>
      <c r="CW21" s="281"/>
      <c r="CX21" s="281"/>
      <c r="CY21" s="281"/>
      <c r="CZ21" s="281"/>
      <c r="DA21" s="281"/>
      <c r="DB21" s="46"/>
    </row>
    <row r="22" spans="2:106" ht="15.75" customHeight="1">
      <c r="B22" s="45"/>
      <c r="C22" s="283"/>
      <c r="D22" s="283"/>
      <c r="E22" s="283"/>
      <c r="F22" s="283"/>
      <c r="G22" s="283"/>
      <c r="H22" s="283"/>
      <c r="I22" s="283"/>
      <c r="J22" s="283"/>
      <c r="K22" s="283"/>
      <c r="L22" s="283"/>
      <c r="M22" s="283"/>
      <c r="N22" s="283"/>
      <c r="O22" s="283"/>
      <c r="P22" s="283"/>
      <c r="Q22" s="283"/>
      <c r="R22" s="283"/>
      <c r="S22" s="283"/>
      <c r="T22" s="283"/>
      <c r="U22" s="283"/>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5"/>
      <c r="BS22" s="285"/>
      <c r="BT22" s="285"/>
      <c r="BU22" s="285"/>
      <c r="BV22" s="285"/>
      <c r="BW22" s="285"/>
      <c r="BX22" s="285"/>
      <c r="BY22" s="285"/>
      <c r="BZ22" s="285"/>
      <c r="CA22" s="285"/>
      <c r="CB22" s="285"/>
      <c r="CC22" s="285"/>
      <c r="CD22" s="285"/>
      <c r="CE22" s="285"/>
      <c r="CF22" s="285"/>
      <c r="CG22" s="285"/>
      <c r="CH22" s="285"/>
      <c r="CK22" s="279"/>
      <c r="CL22" s="279"/>
      <c r="CM22" s="279"/>
      <c r="CN22" s="279"/>
      <c r="CO22" s="279"/>
      <c r="CP22" s="279"/>
      <c r="CQ22" s="279"/>
      <c r="CR22" s="279"/>
      <c r="CS22" s="279"/>
      <c r="CT22" s="279"/>
      <c r="CU22" s="279"/>
      <c r="CV22" s="279"/>
      <c r="CW22" s="279"/>
      <c r="CX22" s="279"/>
      <c r="CY22" s="279"/>
      <c r="CZ22" s="279"/>
      <c r="DA22" s="279"/>
      <c r="DB22" s="46"/>
    </row>
    <row r="23" spans="2:106" ht="15.75" customHeight="1">
      <c r="B23" s="45"/>
      <c r="C23" s="280" t="str">
        <f>Data_Income!B951</f>
        <v xml:space="preserve"> Grand Total Household Monthly Income Average for the period of 1/1/1900 to 7/1/1900</v>
      </c>
      <c r="D23" s="280"/>
      <c r="E23" s="280"/>
      <c r="F23" s="280"/>
      <c r="G23" s="280"/>
      <c r="H23" s="280"/>
      <c r="I23" s="280"/>
      <c r="J23" s="280"/>
      <c r="K23" s="280"/>
      <c r="L23" s="280"/>
      <c r="M23" s="280"/>
      <c r="N23" s="280"/>
      <c r="O23" s="280"/>
      <c r="P23" s="280"/>
      <c r="Q23" s="280"/>
      <c r="R23" s="280"/>
      <c r="S23" s="280"/>
      <c r="T23" s="280"/>
      <c r="U23" s="280"/>
      <c r="V23" s="280"/>
      <c r="W23" s="280"/>
      <c r="X23" s="280"/>
      <c r="Y23" s="280"/>
      <c r="Z23" s="280"/>
      <c r="AA23" s="280"/>
      <c r="AB23" s="280"/>
      <c r="AC23" s="280"/>
      <c r="AD23" s="280"/>
      <c r="AE23" s="280"/>
      <c r="AF23" s="280"/>
      <c r="AG23" s="280"/>
      <c r="AH23" s="280"/>
      <c r="AI23" s="280"/>
      <c r="AJ23" s="280"/>
      <c r="AK23" s="280"/>
      <c r="AL23" s="280"/>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0"/>
      <c r="BK23" s="280"/>
      <c r="BL23" s="280"/>
      <c r="BM23" s="280"/>
      <c r="BN23" s="280"/>
      <c r="BO23" s="280"/>
      <c r="BP23" s="280"/>
      <c r="BQ23" s="280"/>
      <c r="BR23" s="280"/>
      <c r="BS23" s="280"/>
      <c r="BT23" s="280"/>
      <c r="BU23" s="280"/>
      <c r="BV23" s="280"/>
      <c r="BW23" s="280"/>
      <c r="BX23" s="280"/>
      <c r="BY23" s="280"/>
      <c r="BZ23" s="280"/>
      <c r="CA23" s="280"/>
      <c r="CB23" s="280"/>
      <c r="CC23" s="280"/>
      <c r="CD23" s="280"/>
      <c r="CE23" s="280"/>
      <c r="CF23" s="280"/>
      <c r="CG23" s="280"/>
      <c r="CH23" s="280"/>
      <c r="CI23" s="280"/>
      <c r="CJ23" s="280"/>
      <c r="CK23" s="281">
        <f>Data_Income!E946</f>
        <v>0</v>
      </c>
      <c r="CL23" s="281"/>
      <c r="CM23" s="281"/>
      <c r="CN23" s="281"/>
      <c r="CO23" s="281"/>
      <c r="CP23" s="281"/>
      <c r="CQ23" s="281"/>
      <c r="CR23" s="281"/>
      <c r="CS23" s="281"/>
      <c r="CT23" s="281"/>
      <c r="CU23" s="281"/>
      <c r="CV23" s="281"/>
      <c r="CW23" s="281"/>
      <c r="CX23" s="281"/>
      <c r="CY23" s="281"/>
      <c r="CZ23" s="281"/>
      <c r="DA23" s="281"/>
      <c r="DB23" s="46"/>
    </row>
    <row r="24" spans="2:106" ht="15.75" customHeight="1">
      <c r="B24" s="45"/>
      <c r="C24" s="53"/>
      <c r="D24" s="53"/>
      <c r="E24" s="53"/>
      <c r="F24" s="53"/>
      <c r="G24" s="53"/>
      <c r="H24" s="53"/>
      <c r="I24" s="53"/>
      <c r="J24" s="53"/>
      <c r="K24" s="53"/>
      <c r="L24" s="53"/>
      <c r="M24" s="53"/>
      <c r="N24" s="53"/>
      <c r="O24" s="53"/>
      <c r="P24" s="53"/>
      <c r="Q24" s="53"/>
      <c r="R24" s="53"/>
      <c r="S24" s="53"/>
      <c r="T24" s="53"/>
      <c r="U24" s="53"/>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5"/>
      <c r="BS24" s="55"/>
      <c r="BT24" s="55"/>
      <c r="BU24" s="55"/>
      <c r="BV24" s="55"/>
      <c r="BW24" s="55"/>
      <c r="BX24" s="55"/>
      <c r="BY24" s="55"/>
      <c r="BZ24" s="55"/>
      <c r="CA24" s="55"/>
      <c r="CB24" s="55"/>
      <c r="CC24" s="55"/>
      <c r="CD24" s="55"/>
      <c r="CE24" s="55"/>
      <c r="CF24" s="55"/>
      <c r="CG24" s="55"/>
      <c r="CH24" s="55"/>
      <c r="CK24" s="56"/>
      <c r="CL24" s="56"/>
      <c r="CM24" s="56"/>
      <c r="CN24" s="56"/>
      <c r="CO24" s="56"/>
      <c r="CP24" s="56"/>
      <c r="CQ24" s="56"/>
      <c r="CR24" s="56"/>
      <c r="CS24" s="56"/>
      <c r="CT24" s="56"/>
      <c r="CU24" s="56"/>
      <c r="CV24" s="56"/>
      <c r="CW24" s="56"/>
      <c r="CX24" s="56"/>
      <c r="CY24" s="56"/>
      <c r="CZ24" s="56"/>
      <c r="DA24" s="56"/>
      <c r="DB24" s="46"/>
    </row>
    <row r="25" spans="2:106" ht="15.75" customHeight="1">
      <c r="B25" s="45"/>
      <c r="C25" s="280" t="s">
        <v>103</v>
      </c>
      <c r="D25" s="280"/>
      <c r="E25" s="280"/>
      <c r="F25" s="280"/>
      <c r="G25" s="280"/>
      <c r="H25" s="280"/>
      <c r="I25" s="280"/>
      <c r="J25" s="280"/>
      <c r="K25" s="280"/>
      <c r="L25" s="280"/>
      <c r="M25" s="280"/>
      <c r="N25" s="280"/>
      <c r="O25" s="280"/>
      <c r="P25" s="280"/>
      <c r="Q25" s="280"/>
      <c r="R25" s="280"/>
      <c r="S25" s="280"/>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0"/>
      <c r="BK25" s="280"/>
      <c r="BL25" s="280"/>
      <c r="BM25" s="280"/>
      <c r="BN25" s="280"/>
      <c r="BO25" s="280"/>
      <c r="BP25" s="280"/>
      <c r="BQ25" s="280"/>
      <c r="BR25" s="280"/>
      <c r="BS25" s="280"/>
      <c r="BT25" s="280"/>
      <c r="BU25" s="280"/>
      <c r="BV25" s="280"/>
      <c r="BW25" s="280"/>
      <c r="BX25" s="280"/>
      <c r="BY25" s="280"/>
      <c r="BZ25" s="280"/>
      <c r="CA25" s="280"/>
      <c r="CB25" s="280"/>
      <c r="CC25" s="280"/>
      <c r="CD25" s="280"/>
      <c r="CE25" s="280"/>
      <c r="CF25" s="280"/>
      <c r="CG25" s="280"/>
      <c r="CH25" s="280"/>
      <c r="CI25" s="280"/>
      <c r="CJ25" s="280"/>
      <c r="CK25" s="282" t="str">
        <f>Data_Income!F946</f>
        <v xml:space="preserve"> </v>
      </c>
      <c r="CL25" s="282"/>
      <c r="CM25" s="282"/>
      <c r="CN25" s="282"/>
      <c r="CO25" s="282"/>
      <c r="CP25" s="282"/>
      <c r="CQ25" s="282"/>
      <c r="CR25" s="282"/>
      <c r="CS25" s="282"/>
      <c r="CT25" s="282"/>
      <c r="CU25" s="282"/>
      <c r="CV25" s="282"/>
      <c r="CW25" s="282"/>
      <c r="CX25" s="282"/>
      <c r="CY25" s="282"/>
      <c r="CZ25" s="282"/>
      <c r="DA25" s="282"/>
      <c r="DB25" s="46"/>
    </row>
    <row r="26" spans="2:106" ht="12" customHeight="1">
      <c r="B26" s="45"/>
      <c r="D26" s="276"/>
      <c r="E26" s="276"/>
      <c r="F26" s="276"/>
      <c r="G26" s="276"/>
      <c r="H26" s="276"/>
      <c r="I26" s="276"/>
      <c r="J26" s="276"/>
      <c r="K26" s="276"/>
      <c r="L26" s="276"/>
      <c r="M26" s="276"/>
      <c r="N26" s="276"/>
      <c r="O26" s="276"/>
      <c r="P26" s="276"/>
      <c r="Q26" s="276"/>
      <c r="R26" s="276"/>
      <c r="S26" s="276"/>
      <c r="T26" s="276"/>
      <c r="U26" s="276"/>
      <c r="V26" s="276"/>
      <c r="W26" s="276"/>
      <c r="X26" s="276"/>
      <c r="Y26" s="276"/>
      <c r="Z26" s="276"/>
      <c r="AA26" s="276"/>
      <c r="AB26" s="276"/>
      <c r="AC26" s="276"/>
      <c r="AD26" s="276"/>
      <c r="AE26" s="276"/>
      <c r="AF26" s="276"/>
      <c r="AG26" s="276"/>
      <c r="AH26" s="276"/>
      <c r="AI26" s="276"/>
      <c r="AJ26" s="276"/>
      <c r="AK26" s="276"/>
      <c r="AL26" s="276"/>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6"/>
      <c r="BP26" s="276"/>
      <c r="BQ26" s="276"/>
      <c r="BR26" s="276"/>
      <c r="BS26" s="276"/>
      <c r="BT26" s="276"/>
      <c r="BU26" s="276"/>
      <c r="BV26" s="276"/>
      <c r="BW26" s="276"/>
      <c r="BX26" s="276"/>
      <c r="BY26" s="276"/>
      <c r="BZ26" s="276"/>
      <c r="CA26" s="276"/>
      <c r="CB26" s="276"/>
      <c r="CC26" s="276"/>
      <c r="CD26" s="276"/>
      <c r="CE26" s="276"/>
      <c r="CF26" s="276"/>
      <c r="CG26" s="276"/>
      <c r="CH26" s="276"/>
      <c r="CI26" s="276"/>
      <c r="CJ26" s="276"/>
      <c r="CK26" s="276"/>
      <c r="CL26" s="276"/>
      <c r="CM26" s="276"/>
      <c r="CN26" s="276"/>
      <c r="CO26" s="276"/>
      <c r="CP26" s="276"/>
      <c r="CQ26" s="276"/>
      <c r="CR26" s="276"/>
      <c r="CS26" s="276"/>
      <c r="CT26" s="276"/>
      <c r="CU26" s="276"/>
      <c r="CV26" s="276"/>
      <c r="CW26" s="276"/>
      <c r="CX26" s="276"/>
      <c r="CY26" s="276"/>
      <c r="CZ26" s="276"/>
      <c r="DB26" s="46"/>
    </row>
    <row r="27" spans="2:106" ht="12" customHeight="1">
      <c r="B27" s="45"/>
      <c r="C27" s="277"/>
      <c r="D27" s="277"/>
      <c r="E27" s="277"/>
      <c r="F27" s="277"/>
      <c r="G27" s="277"/>
      <c r="H27" s="277"/>
      <c r="I27" s="277"/>
      <c r="J27" s="277"/>
      <c r="K27" s="277"/>
      <c r="L27" s="277"/>
      <c r="M27" s="277"/>
      <c r="N27" s="277"/>
      <c r="O27" s="277"/>
      <c r="P27" s="277"/>
      <c r="Q27" s="277"/>
      <c r="R27" s="277"/>
      <c r="S27" s="277"/>
      <c r="T27" s="277"/>
      <c r="U27" s="277"/>
      <c r="V27" s="277"/>
      <c r="W27" s="277"/>
      <c r="X27" s="277"/>
      <c r="Y27" s="277"/>
      <c r="Z27" s="277"/>
      <c r="AA27" s="277"/>
      <c r="AB27" s="277"/>
      <c r="AC27" s="277"/>
      <c r="AD27" s="277"/>
      <c r="AE27" s="277"/>
      <c r="AF27" s="277"/>
      <c r="AG27" s="277"/>
      <c r="AH27" s="277"/>
      <c r="AI27" s="277"/>
      <c r="AJ27" s="277"/>
      <c r="AK27" s="277"/>
      <c r="AL27" s="277"/>
      <c r="AM27" s="277"/>
      <c r="AN27" s="277"/>
      <c r="AO27" s="277"/>
      <c r="AP27" s="277"/>
      <c r="AQ27" s="277"/>
      <c r="AR27" s="277"/>
      <c r="AS27" s="277"/>
      <c r="AT27" s="277"/>
      <c r="AU27" s="277"/>
      <c r="AV27" s="277"/>
      <c r="AW27" s="277"/>
      <c r="AX27" s="277"/>
      <c r="AY27" s="277"/>
      <c r="AZ27" s="277"/>
      <c r="BA27" s="277"/>
      <c r="BB27" s="277"/>
      <c r="BC27" s="277"/>
      <c r="BD27" s="277"/>
      <c r="BE27" s="277"/>
      <c r="BF27" s="277"/>
      <c r="BG27" s="277"/>
      <c r="BH27" s="277"/>
      <c r="BI27" s="277"/>
      <c r="BJ27" s="277"/>
      <c r="BK27" s="277"/>
      <c r="BL27" s="277"/>
      <c r="BM27" s="277"/>
      <c r="BN27" s="277"/>
      <c r="BO27" s="277"/>
      <c r="BP27" s="277"/>
      <c r="BQ27" s="277"/>
      <c r="BR27" s="277"/>
      <c r="BS27" s="277"/>
      <c r="BT27" s="277"/>
      <c r="BU27" s="277"/>
      <c r="BV27" s="277"/>
      <c r="BW27" s="277"/>
      <c r="BX27" s="277"/>
      <c r="BY27" s="277"/>
      <c r="BZ27" s="277"/>
      <c r="CA27" s="277"/>
      <c r="CB27" s="277"/>
      <c r="CC27" s="277"/>
      <c r="CD27" s="277"/>
      <c r="CE27" s="277"/>
      <c r="CF27" s="277"/>
      <c r="CG27" s="277"/>
      <c r="CH27" s="277"/>
      <c r="CI27" s="277"/>
      <c r="CJ27" s="277"/>
      <c r="CK27" s="277"/>
      <c r="CL27" s="277"/>
      <c r="CM27" s="277"/>
      <c r="CN27" s="277"/>
      <c r="CO27" s="277"/>
      <c r="CP27" s="277"/>
      <c r="CQ27" s="277"/>
      <c r="CR27" s="277"/>
      <c r="CS27" s="277"/>
      <c r="CT27" s="277"/>
      <c r="CU27" s="277"/>
      <c r="CV27" s="277"/>
      <c r="CW27" s="277"/>
      <c r="CX27" s="277"/>
      <c r="CY27" s="277"/>
      <c r="CZ27" s="277"/>
      <c r="DA27" s="277"/>
      <c r="DB27" s="46"/>
    </row>
    <row r="28" spans="2:106" ht="30" customHeight="1">
      <c r="B28" s="45"/>
      <c r="C28" s="278" t="str">
        <f>Data_Income!B953</f>
        <v xml:space="preserve"> </v>
      </c>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8"/>
      <c r="AU28" s="278"/>
      <c r="AV28" s="278"/>
      <c r="AW28" s="278"/>
      <c r="AX28" s="278"/>
      <c r="AY28" s="278"/>
      <c r="AZ28" s="278"/>
      <c r="BA28" s="278"/>
      <c r="BB28" s="278"/>
      <c r="BC28" s="278"/>
      <c r="BD28" s="278"/>
      <c r="BE28" s="278"/>
      <c r="BF28" s="278"/>
      <c r="BG28" s="278"/>
      <c r="BH28" s="278"/>
      <c r="BI28" s="278"/>
      <c r="BJ28" s="278"/>
      <c r="BK28" s="278"/>
      <c r="BL28" s="278"/>
      <c r="BM28" s="278"/>
      <c r="BN28" s="278"/>
      <c r="BO28" s="278"/>
      <c r="BP28" s="278"/>
      <c r="BQ28" s="278"/>
      <c r="BR28" s="278"/>
      <c r="BS28" s="278"/>
      <c r="BT28" s="278"/>
      <c r="BU28" s="278"/>
      <c r="BV28" s="278"/>
      <c r="BW28" s="278"/>
      <c r="BX28" s="278"/>
      <c r="BY28" s="278"/>
      <c r="BZ28" s="278"/>
      <c r="CA28" s="278"/>
      <c r="CB28" s="278"/>
      <c r="CC28" s="278"/>
      <c r="CD28" s="278"/>
      <c r="CE28" s="278"/>
      <c r="CF28" s="278"/>
      <c r="CG28" s="278"/>
      <c r="CH28" s="278"/>
      <c r="CI28" s="278"/>
      <c r="CJ28" s="278"/>
      <c r="CK28" s="278"/>
      <c r="CL28" s="278"/>
      <c r="CM28" s="278"/>
      <c r="CN28" s="278"/>
      <c r="CO28" s="278"/>
      <c r="CP28" s="278"/>
      <c r="CQ28" s="278"/>
      <c r="CR28" s="278"/>
      <c r="CS28" s="278"/>
      <c r="CT28" s="278"/>
      <c r="CU28" s="278"/>
      <c r="CV28" s="278"/>
      <c r="CW28" s="278"/>
      <c r="CX28" s="278"/>
      <c r="CY28" s="278"/>
      <c r="CZ28" s="278"/>
      <c r="DA28" s="278"/>
      <c r="DB28" s="46"/>
    </row>
    <row r="29" spans="2:106" ht="31.5" customHeight="1">
      <c r="B29" s="45"/>
      <c r="C29" s="278" t="str">
        <f>Data_Income!B954</f>
        <v xml:space="preserve"> </v>
      </c>
      <c r="D29" s="278"/>
      <c r="E29" s="278"/>
      <c r="F29" s="278"/>
      <c r="G29" s="278"/>
      <c r="H29" s="278"/>
      <c r="I29" s="278"/>
      <c r="J29" s="278"/>
      <c r="K29" s="278"/>
      <c r="L29" s="278"/>
      <c r="M29" s="278"/>
      <c r="N29" s="278"/>
      <c r="O29" s="278"/>
      <c r="P29" s="278"/>
      <c r="Q29" s="278"/>
      <c r="R29" s="278"/>
      <c r="S29" s="278"/>
      <c r="T29" s="278"/>
      <c r="U29" s="278"/>
      <c r="V29" s="278"/>
      <c r="W29" s="278"/>
      <c r="X29" s="278"/>
      <c r="Y29" s="278"/>
      <c r="Z29" s="278"/>
      <c r="AA29" s="278"/>
      <c r="AB29" s="278"/>
      <c r="AC29" s="278"/>
      <c r="AD29" s="278"/>
      <c r="AE29" s="278"/>
      <c r="AF29" s="278"/>
      <c r="AG29" s="278"/>
      <c r="AH29" s="278"/>
      <c r="AI29" s="278"/>
      <c r="AJ29" s="278"/>
      <c r="AK29" s="278"/>
      <c r="AL29" s="278"/>
      <c r="AM29" s="278"/>
      <c r="AN29" s="278"/>
      <c r="AO29" s="278"/>
      <c r="AP29" s="278"/>
      <c r="AQ29" s="278"/>
      <c r="AR29" s="278"/>
      <c r="AS29" s="278"/>
      <c r="AT29" s="278"/>
      <c r="AU29" s="278"/>
      <c r="AV29" s="278"/>
      <c r="AW29" s="278"/>
      <c r="AX29" s="278"/>
      <c r="AY29" s="278"/>
      <c r="AZ29" s="278"/>
      <c r="BA29" s="278"/>
      <c r="BB29" s="278"/>
      <c r="BC29" s="278"/>
      <c r="BD29" s="278"/>
      <c r="BE29" s="278"/>
      <c r="BF29" s="278"/>
      <c r="BG29" s="278"/>
      <c r="BH29" s="278"/>
      <c r="BI29" s="278"/>
      <c r="BJ29" s="278"/>
      <c r="BK29" s="278"/>
      <c r="BL29" s="278"/>
      <c r="BM29" s="278"/>
      <c r="BN29" s="278"/>
      <c r="BO29" s="278"/>
      <c r="BP29" s="278"/>
      <c r="BQ29" s="278"/>
      <c r="BR29" s="278"/>
      <c r="BS29" s="278"/>
      <c r="BT29" s="278"/>
      <c r="BU29" s="278"/>
      <c r="BV29" s="278"/>
      <c r="BW29" s="278"/>
      <c r="BX29" s="278"/>
      <c r="BY29" s="278"/>
      <c r="BZ29" s="278"/>
      <c r="CA29" s="278"/>
      <c r="CB29" s="278"/>
      <c r="CC29" s="278"/>
      <c r="CD29" s="278"/>
      <c r="CE29" s="278"/>
      <c r="CF29" s="278"/>
      <c r="CG29" s="278"/>
      <c r="CH29" s="278"/>
      <c r="CI29" s="278"/>
      <c r="CJ29" s="278"/>
      <c r="CK29" s="278"/>
      <c r="CL29" s="278"/>
      <c r="CM29" s="278"/>
      <c r="CN29" s="278"/>
      <c r="CO29" s="278"/>
      <c r="CP29" s="278"/>
      <c r="CQ29" s="278"/>
      <c r="CR29" s="278"/>
      <c r="CS29" s="278"/>
      <c r="CT29" s="278"/>
      <c r="CU29" s="278"/>
      <c r="CV29" s="278"/>
      <c r="CW29" s="278"/>
      <c r="CX29" s="278"/>
      <c r="CY29" s="278"/>
      <c r="CZ29" s="278"/>
      <c r="DA29" s="278"/>
      <c r="DB29" s="46"/>
    </row>
    <row r="30" spans="2:106" ht="15.75" customHeight="1">
      <c r="B30" s="45"/>
      <c r="C30" s="276"/>
      <c r="D30" s="276"/>
      <c r="E30" s="276"/>
      <c r="F30" s="276"/>
      <c r="G30" s="276"/>
      <c r="H30" s="276"/>
      <c r="I30" s="276"/>
      <c r="J30" s="276"/>
      <c r="K30" s="276"/>
      <c r="L30" s="276"/>
      <c r="M30" s="276"/>
      <c r="N30" s="276"/>
      <c r="O30" s="276"/>
      <c r="P30" s="276"/>
      <c r="Q30" s="276"/>
      <c r="R30" s="276"/>
      <c r="S30" s="276"/>
      <c r="T30" s="276"/>
      <c r="U30" s="276"/>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6"/>
      <c r="BQ30" s="276"/>
      <c r="BR30" s="276"/>
      <c r="BS30" s="276"/>
      <c r="BT30" s="276"/>
      <c r="BU30" s="276"/>
      <c r="BV30" s="276"/>
      <c r="BW30" s="276"/>
      <c r="BX30" s="276"/>
      <c r="BY30" s="276"/>
      <c r="BZ30" s="276"/>
      <c r="CA30" s="276"/>
      <c r="CB30" s="276"/>
      <c r="CC30" s="276"/>
      <c r="CD30" s="276"/>
      <c r="CE30" s="276"/>
      <c r="CF30" s="276"/>
      <c r="CG30" s="276"/>
      <c r="CH30" s="276"/>
      <c r="CI30" s="276"/>
      <c r="CJ30" s="276"/>
      <c r="CK30" s="276"/>
      <c r="CL30" s="276"/>
      <c r="CM30" s="276"/>
      <c r="CN30" s="276"/>
      <c r="CO30" s="276"/>
      <c r="CP30" s="276"/>
      <c r="CQ30" s="276"/>
      <c r="CR30" s="276"/>
      <c r="CS30" s="276"/>
      <c r="CT30" s="276"/>
      <c r="CU30" s="276"/>
      <c r="CV30" s="276"/>
      <c r="CW30" s="276"/>
      <c r="CX30" s="276"/>
      <c r="CY30" s="276"/>
      <c r="CZ30" s="276"/>
      <c r="DA30" s="276"/>
      <c r="DB30" s="46"/>
    </row>
    <row r="31" spans="2:106" ht="15" customHeight="1">
      <c r="B31" s="45"/>
      <c r="C31" s="274" t="s">
        <v>104</v>
      </c>
      <c r="D31" s="274"/>
      <c r="E31" s="274"/>
      <c r="F31" s="274"/>
      <c r="G31" s="274"/>
      <c r="H31" s="274"/>
      <c r="I31" s="274"/>
      <c r="J31" s="274"/>
      <c r="K31" s="274"/>
      <c r="L31" s="274"/>
      <c r="M31" s="274"/>
      <c r="N31" s="274"/>
      <c r="O31" s="274"/>
      <c r="P31" s="274"/>
      <c r="Q31" s="274"/>
      <c r="R31" s="274"/>
      <c r="S31" s="274"/>
      <c r="T31" s="274"/>
      <c r="U31" s="274"/>
      <c r="V31" s="274"/>
      <c r="W31" s="274"/>
      <c r="X31" s="274"/>
      <c r="Y31" s="274"/>
      <c r="Z31" s="274"/>
      <c r="AA31" s="274"/>
      <c r="AB31" s="274"/>
      <c r="AC31" s="274"/>
      <c r="AD31" s="274"/>
      <c r="AE31" s="274"/>
      <c r="AF31" s="274"/>
      <c r="AG31" s="274"/>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4"/>
      <c r="BK31" s="274"/>
      <c r="BL31" s="274"/>
      <c r="BM31" s="274"/>
      <c r="BN31" s="274"/>
      <c r="BO31" s="274"/>
      <c r="BP31" s="274"/>
      <c r="BQ31" s="274"/>
      <c r="BR31" s="274"/>
      <c r="BS31" s="274"/>
      <c r="BT31" s="274"/>
      <c r="BU31" s="274"/>
      <c r="BV31" s="274"/>
      <c r="BW31" s="274"/>
      <c r="BX31" s="274"/>
      <c r="BY31" s="274"/>
      <c r="BZ31" s="274"/>
      <c r="CA31" s="274"/>
      <c r="CB31" s="274"/>
      <c r="CC31" s="274"/>
      <c r="CD31" s="274"/>
      <c r="CE31" s="274"/>
      <c r="CF31" s="274"/>
      <c r="CG31" s="274"/>
      <c r="CH31" s="274"/>
      <c r="CI31" s="274"/>
      <c r="CJ31" s="274"/>
      <c r="CK31" s="274"/>
      <c r="CL31" s="274"/>
      <c r="CM31" s="274"/>
      <c r="CN31" s="274"/>
      <c r="CO31" s="274"/>
      <c r="CP31" s="274"/>
      <c r="CQ31" s="274"/>
      <c r="CR31" s="274"/>
      <c r="CS31" s="274"/>
      <c r="CT31" s="274"/>
      <c r="CU31" s="274"/>
      <c r="CV31" s="274"/>
      <c r="CW31" s="274"/>
      <c r="CX31" s="274"/>
      <c r="CY31" s="274"/>
      <c r="CZ31" s="274"/>
      <c r="DA31" s="274"/>
      <c r="DB31" s="46"/>
    </row>
    <row r="32" spans="2:106" ht="9.75" customHeight="1">
      <c r="B32" s="45"/>
      <c r="C32" s="275" t="s">
        <v>105</v>
      </c>
      <c r="D32" s="275"/>
      <c r="E32" s="275"/>
      <c r="F32" s="275"/>
      <c r="G32" s="275"/>
      <c r="H32" s="275"/>
      <c r="I32" s="275"/>
      <c r="J32" s="275"/>
      <c r="K32" s="275"/>
      <c r="L32" s="275"/>
      <c r="M32" s="275"/>
      <c r="N32" s="275"/>
      <c r="O32" s="275"/>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75"/>
      <c r="AP32" s="275"/>
      <c r="AQ32" s="275"/>
      <c r="AR32" s="275"/>
      <c r="AS32" s="275"/>
      <c r="AT32" s="275"/>
      <c r="AU32" s="275"/>
      <c r="AV32" s="275"/>
      <c r="AW32" s="275"/>
      <c r="AX32" s="275"/>
      <c r="AY32" s="275"/>
      <c r="AZ32" s="275"/>
      <c r="BA32" s="275"/>
      <c r="BB32" s="275"/>
      <c r="BC32" s="275"/>
      <c r="BD32" s="275"/>
      <c r="BE32" s="275"/>
      <c r="BF32" s="275"/>
      <c r="BG32" s="275"/>
      <c r="BH32" s="275"/>
      <c r="BI32" s="275"/>
      <c r="BJ32" s="275"/>
      <c r="BK32" s="275"/>
      <c r="BL32" s="275"/>
      <c r="BM32" s="275"/>
      <c r="BN32" s="275"/>
      <c r="BO32" s="275"/>
      <c r="BP32" s="275"/>
      <c r="BQ32" s="275"/>
      <c r="BR32" s="275"/>
      <c r="BS32" s="275"/>
      <c r="BT32" s="275"/>
      <c r="BU32" s="275"/>
      <c r="BV32" s="275"/>
      <c r="BW32" s="275"/>
      <c r="BX32" s="275"/>
      <c r="BY32" s="275"/>
      <c r="BZ32" s="275"/>
      <c r="CA32" s="275"/>
      <c r="CB32" s="275"/>
      <c r="CC32" s="275"/>
      <c r="CD32" s="275"/>
      <c r="CE32" s="275"/>
      <c r="CF32" s="275"/>
      <c r="CG32" s="275"/>
      <c r="CH32" s="275"/>
      <c r="CI32" s="275"/>
      <c r="CJ32" s="275"/>
      <c r="CK32" s="275"/>
      <c r="CL32" s="275"/>
      <c r="CM32" s="275"/>
      <c r="CN32" s="275"/>
      <c r="CO32" s="275"/>
      <c r="CP32" s="275"/>
      <c r="CQ32" s="275"/>
      <c r="CR32" s="275"/>
      <c r="CS32" s="275"/>
      <c r="CT32" s="275"/>
      <c r="CU32" s="275"/>
      <c r="CV32" s="275"/>
      <c r="CW32" s="275"/>
      <c r="CX32" s="275"/>
      <c r="CY32" s="275"/>
      <c r="CZ32" s="275"/>
      <c r="DA32" s="275"/>
      <c r="DB32" s="46"/>
    </row>
    <row r="33" spans="2:106" ht="9" customHeight="1">
      <c r="B33" s="45"/>
      <c r="C33" s="57" t="s">
        <v>85</v>
      </c>
      <c r="D33" s="271" t="s">
        <v>106</v>
      </c>
      <c r="E33" s="271"/>
      <c r="F33" s="271"/>
      <c r="G33" s="271"/>
      <c r="H33" s="271"/>
      <c r="I33" s="271"/>
      <c r="J33" s="271"/>
      <c r="K33" s="271"/>
      <c r="L33" s="271"/>
      <c r="M33" s="271"/>
      <c r="N33" s="271"/>
      <c r="O33" s="271"/>
      <c r="P33" s="271"/>
      <c r="Q33" s="271"/>
      <c r="R33" s="271"/>
      <c r="S33" s="271"/>
      <c r="T33" s="271"/>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1"/>
      <c r="BP33" s="271"/>
      <c r="BQ33" s="271"/>
      <c r="BR33" s="271"/>
      <c r="BS33" s="271"/>
      <c r="BT33" s="271"/>
      <c r="BU33" s="271"/>
      <c r="BV33" s="271"/>
      <c r="BW33" s="271"/>
      <c r="BX33" s="271"/>
      <c r="BY33" s="271"/>
      <c r="BZ33" s="271"/>
      <c r="CA33" s="271"/>
      <c r="CB33" s="271"/>
      <c r="CC33" s="271"/>
      <c r="CD33" s="271"/>
      <c r="CE33" s="271"/>
      <c r="CF33" s="271"/>
      <c r="CG33" s="271"/>
      <c r="CH33" s="271"/>
      <c r="CI33" s="271"/>
      <c r="CJ33" s="271"/>
      <c r="CK33" s="271"/>
      <c r="CL33" s="271"/>
      <c r="CM33" s="271"/>
      <c r="CN33" s="271"/>
      <c r="CO33" s="271"/>
      <c r="CP33" s="271"/>
      <c r="CQ33" s="271"/>
      <c r="CR33" s="271"/>
      <c r="CS33" s="271"/>
      <c r="CT33" s="271"/>
      <c r="CU33" s="271"/>
      <c r="CV33" s="271"/>
      <c r="CW33" s="271"/>
      <c r="CX33" s="271"/>
      <c r="CY33" s="271"/>
      <c r="CZ33" s="271"/>
      <c r="DA33" s="271"/>
      <c r="DB33" s="46"/>
    </row>
    <row r="34" spans="2:106" ht="9" customHeight="1">
      <c r="B34" s="45"/>
      <c r="C34" s="57" t="s">
        <v>85</v>
      </c>
      <c r="D34" s="270" t="s">
        <v>107</v>
      </c>
      <c r="E34" s="270"/>
      <c r="F34" s="270"/>
      <c r="G34" s="270"/>
      <c r="H34" s="270"/>
      <c r="I34" s="270"/>
      <c r="J34" s="270"/>
      <c r="K34" s="270"/>
      <c r="L34" s="270"/>
      <c r="M34" s="270"/>
      <c r="N34" s="270"/>
      <c r="O34" s="270"/>
      <c r="P34" s="270"/>
      <c r="Q34" s="270"/>
      <c r="R34" s="270"/>
      <c r="S34" s="270"/>
      <c r="T34" s="270"/>
      <c r="U34" s="270"/>
      <c r="V34" s="270"/>
      <c r="W34" s="270"/>
      <c r="X34" s="270"/>
      <c r="Y34" s="270"/>
      <c r="Z34" s="270"/>
      <c r="AA34" s="270"/>
      <c r="AB34" s="270"/>
      <c r="AC34" s="270"/>
      <c r="AD34" s="270"/>
      <c r="AE34" s="270"/>
      <c r="AF34" s="270"/>
      <c r="AG34" s="270"/>
      <c r="AH34" s="270"/>
      <c r="AI34" s="270"/>
      <c r="AJ34" s="270"/>
      <c r="AK34" s="270"/>
      <c r="AL34" s="270"/>
      <c r="AM34" s="270"/>
      <c r="AN34" s="270"/>
      <c r="AO34" s="270"/>
      <c r="AP34" s="270"/>
      <c r="AQ34" s="270"/>
      <c r="AR34" s="270"/>
      <c r="AS34" s="270"/>
      <c r="AT34" s="270"/>
      <c r="AU34" s="270"/>
      <c r="AV34" s="270"/>
      <c r="AW34" s="270"/>
      <c r="AX34" s="270"/>
      <c r="AY34" s="270"/>
      <c r="AZ34" s="270"/>
      <c r="BA34" s="270"/>
      <c r="BB34" s="270"/>
      <c r="BC34" s="270"/>
      <c r="BD34" s="270"/>
      <c r="BE34" s="270"/>
      <c r="BF34" s="270"/>
      <c r="BG34" s="270"/>
      <c r="BH34" s="270"/>
      <c r="BI34" s="270"/>
      <c r="BJ34" s="270"/>
      <c r="BK34" s="270"/>
      <c r="BL34" s="270"/>
      <c r="BM34" s="270"/>
      <c r="BN34" s="270"/>
      <c r="BO34" s="270"/>
      <c r="BP34" s="270"/>
      <c r="BQ34" s="270"/>
      <c r="BR34" s="270"/>
      <c r="BS34" s="270"/>
      <c r="BT34" s="270"/>
      <c r="BU34" s="270"/>
      <c r="BV34" s="270"/>
      <c r="BW34" s="270"/>
      <c r="BX34" s="270"/>
      <c r="BY34" s="270"/>
      <c r="BZ34" s="270"/>
      <c r="CA34" s="270"/>
      <c r="CB34" s="270"/>
      <c r="CC34" s="270"/>
      <c r="CD34" s="270"/>
      <c r="CE34" s="270"/>
      <c r="CF34" s="270"/>
      <c r="CG34" s="270"/>
      <c r="CH34" s="270"/>
      <c r="CI34" s="270"/>
      <c r="CJ34" s="270"/>
      <c r="CK34" s="270"/>
      <c r="CL34" s="270"/>
      <c r="CM34" s="270"/>
      <c r="CN34" s="270"/>
      <c r="CO34" s="270"/>
      <c r="CP34" s="270"/>
      <c r="CQ34" s="270"/>
      <c r="CR34" s="270"/>
      <c r="CS34" s="270"/>
      <c r="CT34" s="270"/>
      <c r="CU34" s="270"/>
      <c r="CV34" s="270"/>
      <c r="CW34" s="270"/>
      <c r="CX34" s="270"/>
      <c r="CY34" s="270"/>
      <c r="CZ34" s="270"/>
      <c r="DA34" s="270"/>
      <c r="DB34" s="46"/>
    </row>
    <row r="35" spans="2:106" ht="9" customHeight="1">
      <c r="B35" s="45"/>
      <c r="C35" s="58"/>
      <c r="D35" s="270" t="s">
        <v>108</v>
      </c>
      <c r="E35" s="270"/>
      <c r="F35" s="270"/>
      <c r="G35" s="270"/>
      <c r="H35" s="270"/>
      <c r="I35" s="270"/>
      <c r="J35" s="270"/>
      <c r="K35" s="270"/>
      <c r="L35" s="270"/>
      <c r="M35" s="270"/>
      <c r="N35" s="270"/>
      <c r="O35" s="270"/>
      <c r="P35" s="270"/>
      <c r="Q35" s="270"/>
      <c r="R35" s="270"/>
      <c r="S35" s="270"/>
      <c r="T35" s="270"/>
      <c r="U35" s="270"/>
      <c r="V35" s="270"/>
      <c r="W35" s="270"/>
      <c r="X35" s="270"/>
      <c r="Y35" s="270"/>
      <c r="Z35" s="270"/>
      <c r="AA35" s="270"/>
      <c r="AB35" s="270"/>
      <c r="AC35" s="270"/>
      <c r="AD35" s="270"/>
      <c r="AE35" s="270"/>
      <c r="AF35" s="270"/>
      <c r="AG35" s="270"/>
      <c r="AH35" s="270"/>
      <c r="AI35" s="270"/>
      <c r="AJ35" s="270"/>
      <c r="AK35" s="270"/>
      <c r="AL35" s="270"/>
      <c r="AM35" s="270"/>
      <c r="AN35" s="270"/>
      <c r="AO35" s="270"/>
      <c r="AP35" s="270"/>
      <c r="AQ35" s="270"/>
      <c r="AR35" s="270"/>
      <c r="AS35" s="270"/>
      <c r="AT35" s="270"/>
      <c r="AU35" s="270"/>
      <c r="AV35" s="270"/>
      <c r="AW35" s="270"/>
      <c r="AX35" s="270"/>
      <c r="AY35" s="270"/>
      <c r="AZ35" s="270"/>
      <c r="BA35" s="270"/>
      <c r="BB35" s="270"/>
      <c r="BC35" s="270"/>
      <c r="BD35" s="270"/>
      <c r="BE35" s="270"/>
      <c r="BF35" s="270"/>
      <c r="BG35" s="270"/>
      <c r="BH35" s="270"/>
      <c r="BI35" s="270"/>
      <c r="BJ35" s="270"/>
      <c r="BK35" s="270"/>
      <c r="BL35" s="270"/>
      <c r="BM35" s="270"/>
      <c r="BN35" s="270"/>
      <c r="BO35" s="270"/>
      <c r="BP35" s="270"/>
      <c r="BQ35" s="270"/>
      <c r="BR35" s="270"/>
      <c r="BS35" s="270"/>
      <c r="BT35" s="270"/>
      <c r="BU35" s="270"/>
      <c r="BV35" s="270"/>
      <c r="BW35" s="270"/>
      <c r="BX35" s="270"/>
      <c r="BY35" s="270"/>
      <c r="BZ35" s="270"/>
      <c r="CA35" s="270"/>
      <c r="CB35" s="270"/>
      <c r="CC35" s="270"/>
      <c r="CD35" s="270"/>
      <c r="CE35" s="270"/>
      <c r="CF35" s="270"/>
      <c r="CG35" s="270"/>
      <c r="CH35" s="270"/>
      <c r="CI35" s="270"/>
      <c r="CJ35" s="270"/>
      <c r="CK35" s="270"/>
      <c r="CL35" s="270"/>
      <c r="CM35" s="270"/>
      <c r="CN35" s="270"/>
      <c r="CO35" s="270"/>
      <c r="CP35" s="270"/>
      <c r="CQ35" s="270"/>
      <c r="CR35" s="270"/>
      <c r="CS35" s="270"/>
      <c r="CT35" s="270"/>
      <c r="CU35" s="270"/>
      <c r="CV35" s="270"/>
      <c r="CW35" s="270"/>
      <c r="CX35" s="270"/>
      <c r="CY35" s="270"/>
      <c r="CZ35" s="270"/>
      <c r="DA35" s="270"/>
      <c r="DB35" s="46"/>
    </row>
    <row r="36" spans="2:106" ht="13.5" customHeight="1">
      <c r="B36" s="45"/>
      <c r="C36" s="272" t="s">
        <v>109</v>
      </c>
      <c r="D36" s="272"/>
      <c r="E36" s="272"/>
      <c r="F36" s="272"/>
      <c r="G36" s="272"/>
      <c r="H36" s="272"/>
      <c r="I36" s="272"/>
      <c r="J36" s="272"/>
      <c r="K36" s="272"/>
      <c r="L36" s="272"/>
      <c r="M36" s="272"/>
      <c r="N36" s="272"/>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2"/>
      <c r="BK36" s="272"/>
      <c r="BL36" s="272"/>
      <c r="BM36" s="272"/>
      <c r="BN36" s="272"/>
      <c r="BO36" s="272"/>
      <c r="BP36" s="272"/>
      <c r="BQ36" s="272"/>
      <c r="BR36" s="272"/>
      <c r="BS36" s="272"/>
      <c r="BT36" s="272"/>
      <c r="BU36" s="272"/>
      <c r="BV36" s="272"/>
      <c r="BW36" s="272"/>
      <c r="BX36" s="272"/>
      <c r="BY36" s="272"/>
      <c r="BZ36" s="272"/>
      <c r="CA36" s="272"/>
      <c r="CB36" s="272"/>
      <c r="CC36" s="272"/>
      <c r="CD36" s="272"/>
      <c r="CE36" s="272"/>
      <c r="CF36" s="272"/>
      <c r="CG36" s="272"/>
      <c r="CH36" s="272"/>
      <c r="CI36" s="272"/>
      <c r="CJ36" s="272"/>
      <c r="CK36" s="272"/>
      <c r="CL36" s="272"/>
      <c r="CM36" s="272"/>
      <c r="CN36" s="272"/>
      <c r="CO36" s="272"/>
      <c r="CP36" s="272"/>
      <c r="CQ36" s="272"/>
      <c r="CR36" s="272"/>
      <c r="CS36" s="272"/>
      <c r="CT36" s="272"/>
      <c r="CU36" s="272"/>
      <c r="CV36" s="272"/>
      <c r="CW36" s="272"/>
      <c r="CX36" s="272"/>
      <c r="CY36" s="272"/>
      <c r="CZ36" s="272"/>
      <c r="DA36" s="272"/>
      <c r="DB36" s="46"/>
    </row>
    <row r="37" spans="2:106" ht="9" customHeight="1">
      <c r="B37" s="45"/>
      <c r="C37" s="57" t="s">
        <v>85</v>
      </c>
      <c r="D37" s="271" t="s">
        <v>110</v>
      </c>
      <c r="E37" s="271"/>
      <c r="F37" s="271"/>
      <c r="G37" s="271"/>
      <c r="H37" s="271"/>
      <c r="I37" s="271"/>
      <c r="J37" s="271"/>
      <c r="K37" s="271"/>
      <c r="L37" s="271"/>
      <c r="M37" s="271"/>
      <c r="N37" s="271"/>
      <c r="O37" s="271"/>
      <c r="P37" s="271"/>
      <c r="Q37" s="271"/>
      <c r="R37" s="271"/>
      <c r="S37" s="271"/>
      <c r="T37" s="271"/>
      <c r="U37" s="271"/>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1"/>
      <c r="BP37" s="271"/>
      <c r="BQ37" s="271"/>
      <c r="BR37" s="271"/>
      <c r="BS37" s="271"/>
      <c r="BT37" s="271"/>
      <c r="BU37" s="271"/>
      <c r="BV37" s="271"/>
      <c r="BW37" s="271"/>
      <c r="BX37" s="271"/>
      <c r="BY37" s="271"/>
      <c r="BZ37" s="271"/>
      <c r="CA37" s="271"/>
      <c r="CB37" s="271"/>
      <c r="CC37" s="271"/>
      <c r="CD37" s="271"/>
      <c r="CE37" s="271"/>
      <c r="CF37" s="271"/>
      <c r="CG37" s="271"/>
      <c r="CH37" s="271"/>
      <c r="CI37" s="271"/>
      <c r="CJ37" s="271"/>
      <c r="CK37" s="271"/>
      <c r="CL37" s="271"/>
      <c r="CM37" s="271"/>
      <c r="CN37" s="271"/>
      <c r="CO37" s="271"/>
      <c r="CP37" s="271"/>
      <c r="CQ37" s="271"/>
      <c r="CR37" s="271"/>
      <c r="CS37" s="271"/>
      <c r="CT37" s="271"/>
      <c r="CU37" s="271"/>
      <c r="CV37" s="271"/>
      <c r="CW37" s="271"/>
      <c r="CX37" s="271"/>
      <c r="CY37" s="271"/>
      <c r="CZ37" s="271"/>
      <c r="DA37" s="271"/>
      <c r="DB37" s="46"/>
    </row>
    <row r="38" spans="2:106" ht="9" customHeight="1">
      <c r="B38" s="45"/>
      <c r="C38" s="57" t="s">
        <v>85</v>
      </c>
      <c r="D38" s="271" t="s">
        <v>111</v>
      </c>
      <c r="E38" s="271"/>
      <c r="F38" s="271"/>
      <c r="G38" s="271"/>
      <c r="H38" s="271"/>
      <c r="I38" s="271"/>
      <c r="J38" s="271"/>
      <c r="K38" s="271"/>
      <c r="L38" s="271"/>
      <c r="M38" s="271"/>
      <c r="N38" s="271"/>
      <c r="O38" s="271"/>
      <c r="P38" s="271"/>
      <c r="Q38" s="271"/>
      <c r="R38" s="271"/>
      <c r="S38" s="271"/>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1"/>
      <c r="BP38" s="271"/>
      <c r="BQ38" s="271"/>
      <c r="BR38" s="271"/>
      <c r="BS38" s="271"/>
      <c r="BT38" s="271"/>
      <c r="BU38" s="271"/>
      <c r="BV38" s="271"/>
      <c r="BW38" s="271"/>
      <c r="BX38" s="271"/>
      <c r="BY38" s="271"/>
      <c r="BZ38" s="271"/>
      <c r="CA38" s="271"/>
      <c r="CB38" s="271"/>
      <c r="CC38" s="271"/>
      <c r="CD38" s="271"/>
      <c r="CE38" s="271"/>
      <c r="CF38" s="271"/>
      <c r="CG38" s="271"/>
      <c r="CH38" s="271"/>
      <c r="CI38" s="271"/>
      <c r="CJ38" s="271"/>
      <c r="CK38" s="271"/>
      <c r="CL38" s="271"/>
      <c r="CM38" s="271"/>
      <c r="CN38" s="271"/>
      <c r="CO38" s="271"/>
      <c r="CP38" s="271"/>
      <c r="CQ38" s="271"/>
      <c r="CR38" s="271"/>
      <c r="CS38" s="271"/>
      <c r="CT38" s="271"/>
      <c r="CU38" s="271"/>
      <c r="CV38" s="271"/>
      <c r="CW38" s="271"/>
      <c r="CX38" s="271"/>
      <c r="CY38" s="271"/>
      <c r="CZ38" s="271"/>
      <c r="DA38" s="271"/>
      <c r="DB38" s="46"/>
    </row>
    <row r="39" spans="2:106" ht="9" customHeight="1">
      <c r="B39" s="45"/>
      <c r="C39" s="58"/>
      <c r="D39" s="271" t="s">
        <v>112</v>
      </c>
      <c r="E39" s="271"/>
      <c r="F39" s="271"/>
      <c r="G39" s="271"/>
      <c r="H39" s="271"/>
      <c r="I39" s="271"/>
      <c r="J39" s="271"/>
      <c r="K39" s="271"/>
      <c r="L39" s="271"/>
      <c r="M39" s="271"/>
      <c r="N39" s="271"/>
      <c r="O39" s="271"/>
      <c r="P39" s="271"/>
      <c r="Q39" s="271"/>
      <c r="R39" s="271"/>
      <c r="S39" s="271"/>
      <c r="T39" s="271"/>
      <c r="U39" s="271"/>
      <c r="V39" s="271"/>
      <c r="W39" s="271"/>
      <c r="X39" s="271"/>
      <c r="Y39" s="271"/>
      <c r="Z39" s="271"/>
      <c r="AA39" s="271"/>
      <c r="AB39" s="271"/>
      <c r="AC39" s="271"/>
      <c r="AD39" s="271"/>
      <c r="AE39" s="271"/>
      <c r="AF39" s="271"/>
      <c r="AG39" s="271"/>
      <c r="AH39" s="271"/>
      <c r="AI39" s="271"/>
      <c r="AJ39" s="271"/>
      <c r="AK39" s="271"/>
      <c r="AL39" s="271"/>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1"/>
      <c r="BP39" s="271"/>
      <c r="BQ39" s="271"/>
      <c r="BR39" s="271"/>
      <c r="BS39" s="271"/>
      <c r="BT39" s="271"/>
      <c r="BU39" s="271"/>
      <c r="BV39" s="271"/>
      <c r="BW39" s="271"/>
      <c r="BX39" s="271"/>
      <c r="BY39" s="271"/>
      <c r="BZ39" s="271"/>
      <c r="CA39" s="271"/>
      <c r="CB39" s="271"/>
      <c r="CC39" s="271"/>
      <c r="CD39" s="271"/>
      <c r="CE39" s="271"/>
      <c r="CF39" s="271"/>
      <c r="CG39" s="271"/>
      <c r="CH39" s="271"/>
      <c r="CI39" s="271"/>
      <c r="CJ39" s="271"/>
      <c r="CK39" s="271"/>
      <c r="CL39" s="271"/>
      <c r="CM39" s="271"/>
      <c r="CN39" s="271"/>
      <c r="CO39" s="271"/>
      <c r="CP39" s="271"/>
      <c r="CQ39" s="271"/>
      <c r="CR39" s="271"/>
      <c r="CS39" s="271"/>
      <c r="CT39" s="271"/>
      <c r="CU39" s="271"/>
      <c r="CV39" s="271"/>
      <c r="CW39" s="271"/>
      <c r="CX39" s="271"/>
      <c r="CY39" s="271"/>
      <c r="CZ39" s="271"/>
      <c r="DA39" s="271"/>
      <c r="DB39" s="46"/>
    </row>
    <row r="40" spans="2:106" ht="13.5" customHeight="1">
      <c r="B40" s="45"/>
      <c r="C40" s="272" t="s">
        <v>113</v>
      </c>
      <c r="D40" s="272"/>
      <c r="E40" s="272"/>
      <c r="F40" s="272"/>
      <c r="G40" s="272"/>
      <c r="H40" s="272"/>
      <c r="I40" s="272"/>
      <c r="J40" s="272"/>
      <c r="K40" s="272"/>
      <c r="L40" s="272"/>
      <c r="M40" s="272"/>
      <c r="N40" s="272"/>
      <c r="O40" s="272"/>
      <c r="P40" s="272"/>
      <c r="Q40" s="272"/>
      <c r="R40" s="272"/>
      <c r="S40" s="272"/>
      <c r="T40" s="272"/>
      <c r="U40" s="272"/>
      <c r="V40" s="272"/>
      <c r="W40" s="272"/>
      <c r="X40" s="272"/>
      <c r="Y40" s="272"/>
      <c r="Z40" s="272"/>
      <c r="AA40" s="272"/>
      <c r="AB40" s="272"/>
      <c r="AC40" s="272"/>
      <c r="AD40" s="272"/>
      <c r="AE40" s="272"/>
      <c r="AF40" s="272"/>
      <c r="AG40" s="272"/>
      <c r="AH40" s="272"/>
      <c r="AI40" s="272"/>
      <c r="AJ40" s="272"/>
      <c r="AK40" s="272"/>
      <c r="AL40" s="272"/>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2"/>
      <c r="BK40" s="272"/>
      <c r="BL40" s="272"/>
      <c r="BM40" s="272"/>
      <c r="BN40" s="272"/>
      <c r="BO40" s="272"/>
      <c r="BP40" s="272"/>
      <c r="BQ40" s="272"/>
      <c r="BR40" s="272"/>
      <c r="BS40" s="272"/>
      <c r="BT40" s="272"/>
      <c r="BU40" s="272"/>
      <c r="BV40" s="272"/>
      <c r="BW40" s="272"/>
      <c r="BX40" s="272"/>
      <c r="BY40" s="272"/>
      <c r="BZ40" s="272"/>
      <c r="CA40" s="272"/>
      <c r="CB40" s="272"/>
      <c r="CC40" s="272"/>
      <c r="CD40" s="272"/>
      <c r="CE40" s="272"/>
      <c r="CF40" s="272"/>
      <c r="CG40" s="272"/>
      <c r="CH40" s="272"/>
      <c r="CI40" s="272"/>
      <c r="CJ40" s="272"/>
      <c r="CK40" s="272"/>
      <c r="CL40" s="272"/>
      <c r="CM40" s="272"/>
      <c r="CN40" s="272"/>
      <c r="CO40" s="272"/>
      <c r="CP40" s="272"/>
      <c r="CQ40" s="272"/>
      <c r="CR40" s="272"/>
      <c r="CS40" s="272"/>
      <c r="CT40" s="272"/>
      <c r="CU40" s="272"/>
      <c r="CV40" s="272"/>
      <c r="CW40" s="272"/>
      <c r="CX40" s="272"/>
      <c r="CY40" s="272"/>
      <c r="CZ40" s="272"/>
      <c r="DA40" s="272"/>
      <c r="DB40" s="46"/>
    </row>
    <row r="41" spans="2:106" ht="9" customHeight="1">
      <c r="B41" s="45"/>
      <c r="C41" s="57" t="s">
        <v>85</v>
      </c>
      <c r="D41" s="271" t="s">
        <v>114</v>
      </c>
      <c r="E41" s="271"/>
      <c r="F41" s="271"/>
      <c r="G41" s="271"/>
      <c r="H41" s="271"/>
      <c r="I41" s="271"/>
      <c r="J41" s="271"/>
      <c r="K41" s="271"/>
      <c r="L41" s="271"/>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71"/>
      <c r="BW41" s="271"/>
      <c r="BX41" s="271"/>
      <c r="BY41" s="271"/>
      <c r="BZ41" s="271"/>
      <c r="CA41" s="271"/>
      <c r="CB41" s="271"/>
      <c r="CC41" s="271"/>
      <c r="CD41" s="271"/>
      <c r="CE41" s="271"/>
      <c r="CF41" s="271"/>
      <c r="CG41" s="271"/>
      <c r="CH41" s="271"/>
      <c r="CI41" s="271"/>
      <c r="CJ41" s="271"/>
      <c r="CK41" s="271"/>
      <c r="CL41" s="271"/>
      <c r="CM41" s="271"/>
      <c r="CN41" s="271"/>
      <c r="CO41" s="271"/>
      <c r="CP41" s="271"/>
      <c r="CQ41" s="271"/>
      <c r="CR41" s="271"/>
      <c r="CS41" s="271"/>
      <c r="CT41" s="271"/>
      <c r="CU41" s="271"/>
      <c r="CV41" s="271"/>
      <c r="CW41" s="271"/>
      <c r="CX41" s="271"/>
      <c r="CY41" s="271"/>
      <c r="CZ41" s="271"/>
      <c r="DA41" s="271"/>
      <c r="DB41" s="46"/>
    </row>
    <row r="42" spans="2:106" ht="13.5" customHeight="1">
      <c r="B42" s="45"/>
      <c r="C42" s="272" t="s">
        <v>115</v>
      </c>
      <c r="D42" s="272"/>
      <c r="E42" s="272"/>
      <c r="F42" s="272"/>
      <c r="G42" s="272"/>
      <c r="H42" s="272"/>
      <c r="I42" s="272"/>
      <c r="J42" s="272"/>
      <c r="K42" s="272"/>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72"/>
      <c r="BW42" s="272"/>
      <c r="BX42" s="272"/>
      <c r="BY42" s="272"/>
      <c r="BZ42" s="272"/>
      <c r="CA42" s="272"/>
      <c r="CB42" s="272"/>
      <c r="CC42" s="272"/>
      <c r="CD42" s="272"/>
      <c r="CE42" s="272"/>
      <c r="CF42" s="272"/>
      <c r="CG42" s="272"/>
      <c r="CH42" s="272"/>
      <c r="CI42" s="272"/>
      <c r="CJ42" s="272"/>
      <c r="CK42" s="272"/>
      <c r="CL42" s="272"/>
      <c r="CM42" s="272"/>
      <c r="CN42" s="272"/>
      <c r="CO42" s="272"/>
      <c r="CP42" s="272"/>
      <c r="CQ42" s="272"/>
      <c r="CR42" s="272"/>
      <c r="CS42" s="272"/>
      <c r="CT42" s="272"/>
      <c r="CU42" s="272"/>
      <c r="CV42" s="272"/>
      <c r="CW42" s="272"/>
      <c r="CX42" s="272"/>
      <c r="CY42" s="272"/>
      <c r="CZ42" s="272"/>
      <c r="DA42" s="272"/>
      <c r="DB42" s="46"/>
    </row>
    <row r="43" spans="2:106" ht="9" customHeight="1">
      <c r="B43" s="45"/>
      <c r="C43" s="57" t="s">
        <v>85</v>
      </c>
      <c r="D43" s="270" t="s">
        <v>116</v>
      </c>
      <c r="E43" s="270"/>
      <c r="F43" s="270"/>
      <c r="G43" s="270"/>
      <c r="H43" s="270"/>
      <c r="I43" s="270"/>
      <c r="J43" s="270"/>
      <c r="K43" s="270"/>
      <c r="L43" s="270"/>
      <c r="M43" s="270"/>
      <c r="N43" s="270"/>
      <c r="O43" s="270"/>
      <c r="P43" s="270"/>
      <c r="Q43" s="270"/>
      <c r="R43" s="270"/>
      <c r="S43" s="270"/>
      <c r="T43" s="270"/>
      <c r="U43" s="270"/>
      <c r="V43" s="270"/>
      <c r="W43" s="270"/>
      <c r="X43" s="270"/>
      <c r="Y43" s="270"/>
      <c r="Z43" s="270"/>
      <c r="AA43" s="270"/>
      <c r="AB43" s="270"/>
      <c r="AC43" s="270"/>
      <c r="AD43" s="270"/>
      <c r="AE43" s="270"/>
      <c r="AF43" s="270"/>
      <c r="AG43" s="270"/>
      <c r="AH43" s="270"/>
      <c r="AI43" s="270"/>
      <c r="AJ43" s="270"/>
      <c r="AK43" s="270"/>
      <c r="AL43" s="270"/>
      <c r="AM43" s="270"/>
      <c r="AN43" s="270"/>
      <c r="AO43" s="270"/>
      <c r="AP43" s="270"/>
      <c r="AQ43" s="270"/>
      <c r="AR43" s="270"/>
      <c r="AS43" s="270"/>
      <c r="AT43" s="270"/>
      <c r="AU43" s="270"/>
      <c r="AV43" s="270"/>
      <c r="AW43" s="270"/>
      <c r="AX43" s="270"/>
      <c r="AY43" s="270"/>
      <c r="AZ43" s="270"/>
      <c r="BA43" s="270"/>
      <c r="BB43" s="270"/>
      <c r="BC43" s="270"/>
      <c r="BD43" s="270"/>
      <c r="BE43" s="270"/>
      <c r="BF43" s="270"/>
      <c r="BG43" s="270"/>
      <c r="BH43" s="270"/>
      <c r="BI43" s="270"/>
      <c r="BJ43" s="270"/>
      <c r="BK43" s="270"/>
      <c r="BL43" s="270"/>
      <c r="BM43" s="270"/>
      <c r="BN43" s="270"/>
      <c r="BO43" s="270"/>
      <c r="BP43" s="270"/>
      <c r="BQ43" s="270"/>
      <c r="BR43" s="270"/>
      <c r="BS43" s="270"/>
      <c r="BT43" s="270"/>
      <c r="BU43" s="270"/>
      <c r="BV43" s="270"/>
      <c r="BW43" s="270"/>
      <c r="BX43" s="270"/>
      <c r="BY43" s="270"/>
      <c r="BZ43" s="270"/>
      <c r="CA43" s="270"/>
      <c r="CB43" s="270"/>
      <c r="CC43" s="270"/>
      <c r="CD43" s="270"/>
      <c r="CE43" s="270"/>
      <c r="CF43" s="270"/>
      <c r="CG43" s="270"/>
      <c r="CH43" s="270"/>
      <c r="CI43" s="270"/>
      <c r="CJ43" s="270"/>
      <c r="CK43" s="270"/>
      <c r="CL43" s="270"/>
      <c r="CM43" s="270"/>
      <c r="CN43" s="270"/>
      <c r="CO43" s="270"/>
      <c r="CP43" s="270"/>
      <c r="CQ43" s="270"/>
      <c r="CR43" s="270"/>
      <c r="CS43" s="270"/>
      <c r="CT43" s="270"/>
      <c r="CU43" s="270"/>
      <c r="CV43" s="270"/>
      <c r="CW43" s="270"/>
      <c r="CX43" s="270"/>
      <c r="CY43" s="270"/>
      <c r="CZ43" s="270"/>
      <c r="DA43" s="270"/>
      <c r="DB43" s="46"/>
    </row>
    <row r="44" spans="2:106" ht="9" customHeight="1">
      <c r="B44" s="45"/>
      <c r="C44" s="57" t="s">
        <v>85</v>
      </c>
      <c r="D44" s="270" t="s">
        <v>117</v>
      </c>
      <c r="E44" s="270"/>
      <c r="F44" s="270"/>
      <c r="G44" s="270"/>
      <c r="H44" s="270"/>
      <c r="I44" s="270"/>
      <c r="J44" s="270"/>
      <c r="K44" s="270"/>
      <c r="L44" s="270"/>
      <c r="M44" s="270"/>
      <c r="N44" s="270"/>
      <c r="O44" s="270"/>
      <c r="P44" s="270"/>
      <c r="Q44" s="270"/>
      <c r="R44" s="270"/>
      <c r="S44" s="270"/>
      <c r="T44" s="270"/>
      <c r="U44" s="270"/>
      <c r="V44" s="270"/>
      <c r="W44" s="270"/>
      <c r="X44" s="270"/>
      <c r="Y44" s="270"/>
      <c r="Z44" s="270"/>
      <c r="AA44" s="270"/>
      <c r="AB44" s="270"/>
      <c r="AC44" s="270"/>
      <c r="AD44" s="270"/>
      <c r="AE44" s="270"/>
      <c r="AF44" s="270"/>
      <c r="AG44" s="270"/>
      <c r="AH44" s="270"/>
      <c r="AI44" s="270"/>
      <c r="AJ44" s="270"/>
      <c r="AK44" s="270"/>
      <c r="AL44" s="270"/>
      <c r="AM44" s="270"/>
      <c r="AN44" s="270"/>
      <c r="AO44" s="270"/>
      <c r="AP44" s="270"/>
      <c r="AQ44" s="270"/>
      <c r="AR44" s="270"/>
      <c r="AS44" s="270"/>
      <c r="AT44" s="270"/>
      <c r="AU44" s="270"/>
      <c r="AV44" s="270"/>
      <c r="AW44" s="270"/>
      <c r="AX44" s="270"/>
      <c r="AY44" s="270"/>
      <c r="AZ44" s="270"/>
      <c r="BA44" s="270"/>
      <c r="BB44" s="270"/>
      <c r="BC44" s="270"/>
      <c r="BD44" s="270"/>
      <c r="BE44" s="270"/>
      <c r="BF44" s="270"/>
      <c r="BG44" s="270"/>
      <c r="BH44" s="270"/>
      <c r="BI44" s="270"/>
      <c r="BJ44" s="270"/>
      <c r="BK44" s="270"/>
      <c r="BL44" s="270"/>
      <c r="BM44" s="270"/>
      <c r="BN44" s="270"/>
      <c r="BO44" s="270"/>
      <c r="BP44" s="270"/>
      <c r="BQ44" s="270"/>
      <c r="BR44" s="270"/>
      <c r="BS44" s="270"/>
      <c r="BT44" s="270"/>
      <c r="BU44" s="270"/>
      <c r="BV44" s="270"/>
      <c r="BW44" s="270"/>
      <c r="BX44" s="270"/>
      <c r="BY44" s="270"/>
      <c r="BZ44" s="270"/>
      <c r="CA44" s="270"/>
      <c r="CB44" s="270"/>
      <c r="CC44" s="270"/>
      <c r="CD44" s="270"/>
      <c r="CE44" s="270"/>
      <c r="CF44" s="270"/>
      <c r="CG44" s="270"/>
      <c r="CH44" s="270"/>
      <c r="CI44" s="270"/>
      <c r="CJ44" s="270"/>
      <c r="CK44" s="270"/>
      <c r="CL44" s="270"/>
      <c r="CM44" s="270"/>
      <c r="CN44" s="270"/>
      <c r="CO44" s="270"/>
      <c r="CP44" s="270"/>
      <c r="CQ44" s="270"/>
      <c r="CR44" s="270"/>
      <c r="CS44" s="270"/>
      <c r="CT44" s="270"/>
      <c r="CU44" s="270"/>
      <c r="CV44" s="270"/>
      <c r="CW44" s="270"/>
      <c r="CX44" s="270"/>
      <c r="CY44" s="270"/>
      <c r="CZ44" s="270"/>
      <c r="DA44" s="270"/>
      <c r="DB44" s="46"/>
    </row>
    <row r="45" spans="2:106" ht="9" customHeight="1">
      <c r="B45" s="45"/>
      <c r="C45" s="57" t="s">
        <v>85</v>
      </c>
      <c r="D45" s="270" t="s">
        <v>118</v>
      </c>
      <c r="E45" s="270"/>
      <c r="F45" s="270"/>
      <c r="G45" s="270"/>
      <c r="H45" s="270"/>
      <c r="I45" s="270"/>
      <c r="J45" s="270"/>
      <c r="K45" s="270"/>
      <c r="L45" s="270"/>
      <c r="M45" s="270"/>
      <c r="N45" s="270"/>
      <c r="O45" s="270"/>
      <c r="P45" s="270"/>
      <c r="Q45" s="270"/>
      <c r="R45" s="270"/>
      <c r="S45" s="270"/>
      <c r="T45" s="270"/>
      <c r="U45" s="270"/>
      <c r="V45" s="270"/>
      <c r="W45" s="270"/>
      <c r="X45" s="270"/>
      <c r="Y45" s="270"/>
      <c r="Z45" s="270"/>
      <c r="AA45" s="270"/>
      <c r="AB45" s="270"/>
      <c r="AC45" s="270"/>
      <c r="AD45" s="270"/>
      <c r="AE45" s="270"/>
      <c r="AF45" s="270"/>
      <c r="AG45" s="270"/>
      <c r="AH45" s="270"/>
      <c r="AI45" s="270"/>
      <c r="AJ45" s="270"/>
      <c r="AK45" s="270"/>
      <c r="AL45" s="270"/>
      <c r="AM45" s="270"/>
      <c r="AN45" s="270"/>
      <c r="AO45" s="270"/>
      <c r="AP45" s="270"/>
      <c r="AQ45" s="270"/>
      <c r="AR45" s="270"/>
      <c r="AS45" s="270"/>
      <c r="AT45" s="270"/>
      <c r="AU45" s="270"/>
      <c r="AV45" s="270"/>
      <c r="AW45" s="270"/>
      <c r="AX45" s="270"/>
      <c r="AY45" s="270"/>
      <c r="AZ45" s="270"/>
      <c r="BA45" s="270"/>
      <c r="BB45" s="270"/>
      <c r="BC45" s="270"/>
      <c r="BD45" s="270"/>
      <c r="BE45" s="270"/>
      <c r="BF45" s="270"/>
      <c r="BG45" s="270"/>
      <c r="BH45" s="270"/>
      <c r="BI45" s="270"/>
      <c r="BJ45" s="270"/>
      <c r="BK45" s="270"/>
      <c r="BL45" s="270"/>
      <c r="BM45" s="270"/>
      <c r="BN45" s="270"/>
      <c r="BO45" s="270"/>
      <c r="BP45" s="270"/>
      <c r="BQ45" s="270"/>
      <c r="BR45" s="270"/>
      <c r="BS45" s="270"/>
      <c r="BT45" s="270"/>
      <c r="BU45" s="270"/>
      <c r="BV45" s="270"/>
      <c r="BW45" s="270"/>
      <c r="BX45" s="270"/>
      <c r="BY45" s="270"/>
      <c r="BZ45" s="270"/>
      <c r="CA45" s="270"/>
      <c r="CB45" s="270"/>
      <c r="CC45" s="270"/>
      <c r="CD45" s="270"/>
      <c r="CE45" s="270"/>
      <c r="CF45" s="270"/>
      <c r="CG45" s="270"/>
      <c r="CH45" s="270"/>
      <c r="CI45" s="270"/>
      <c r="CJ45" s="270"/>
      <c r="CK45" s="270"/>
      <c r="CL45" s="270"/>
      <c r="CM45" s="270"/>
      <c r="CN45" s="270"/>
      <c r="CO45" s="270"/>
      <c r="CP45" s="270"/>
      <c r="CQ45" s="270"/>
      <c r="CR45" s="270"/>
      <c r="CS45" s="270"/>
      <c r="CT45" s="270"/>
      <c r="CU45" s="270"/>
      <c r="CV45" s="270"/>
      <c r="CW45" s="270"/>
      <c r="CX45" s="270"/>
      <c r="CY45" s="270"/>
      <c r="CZ45" s="270"/>
      <c r="DA45" s="270"/>
      <c r="DB45" s="46"/>
    </row>
    <row r="46" spans="2:106" ht="9" customHeight="1">
      <c r="B46" s="45"/>
      <c r="C46" s="58"/>
      <c r="D46" s="270" t="s">
        <v>119</v>
      </c>
      <c r="E46" s="270"/>
      <c r="F46" s="270"/>
      <c r="G46" s="270"/>
      <c r="H46" s="270"/>
      <c r="I46" s="270"/>
      <c r="J46" s="270"/>
      <c r="K46" s="270"/>
      <c r="L46" s="270"/>
      <c r="M46" s="270"/>
      <c r="N46" s="270"/>
      <c r="O46" s="270"/>
      <c r="P46" s="270"/>
      <c r="Q46" s="270"/>
      <c r="R46" s="270"/>
      <c r="S46" s="270"/>
      <c r="T46" s="270"/>
      <c r="U46" s="270"/>
      <c r="V46" s="270"/>
      <c r="W46" s="270"/>
      <c r="X46" s="270"/>
      <c r="Y46" s="270"/>
      <c r="Z46" s="270"/>
      <c r="AA46" s="270"/>
      <c r="AB46" s="270"/>
      <c r="AC46" s="270"/>
      <c r="AD46" s="270"/>
      <c r="AE46" s="270"/>
      <c r="AF46" s="270"/>
      <c r="AG46" s="270"/>
      <c r="AH46" s="270"/>
      <c r="AI46" s="270"/>
      <c r="AJ46" s="270"/>
      <c r="AK46" s="270"/>
      <c r="AL46" s="270"/>
      <c r="AM46" s="270"/>
      <c r="AN46" s="270"/>
      <c r="AO46" s="270"/>
      <c r="AP46" s="270"/>
      <c r="AQ46" s="270"/>
      <c r="AR46" s="270"/>
      <c r="AS46" s="270"/>
      <c r="AT46" s="270"/>
      <c r="AU46" s="270"/>
      <c r="AV46" s="270"/>
      <c r="AW46" s="270"/>
      <c r="AX46" s="270"/>
      <c r="AY46" s="270"/>
      <c r="AZ46" s="270"/>
      <c r="BA46" s="270"/>
      <c r="BB46" s="270"/>
      <c r="BC46" s="270"/>
      <c r="BD46" s="270"/>
      <c r="BE46" s="270"/>
      <c r="BF46" s="270"/>
      <c r="BG46" s="270"/>
      <c r="BH46" s="270"/>
      <c r="BI46" s="270"/>
      <c r="BJ46" s="270"/>
      <c r="BK46" s="270"/>
      <c r="BL46" s="270"/>
      <c r="BM46" s="270"/>
      <c r="BN46" s="270"/>
      <c r="BO46" s="270"/>
      <c r="BP46" s="270"/>
      <c r="BQ46" s="270"/>
      <c r="BR46" s="270"/>
      <c r="BS46" s="270"/>
      <c r="BT46" s="270"/>
      <c r="BU46" s="270"/>
      <c r="BV46" s="270"/>
      <c r="BW46" s="270"/>
      <c r="BX46" s="270"/>
      <c r="BY46" s="270"/>
      <c r="BZ46" s="270"/>
      <c r="CA46" s="270"/>
      <c r="CB46" s="270"/>
      <c r="CC46" s="270"/>
      <c r="CD46" s="270"/>
      <c r="CE46" s="270"/>
      <c r="CF46" s="270"/>
      <c r="CG46" s="270"/>
      <c r="CH46" s="270"/>
      <c r="CI46" s="270"/>
      <c r="CJ46" s="270"/>
      <c r="CK46" s="270"/>
      <c r="CL46" s="270"/>
      <c r="CM46" s="270"/>
      <c r="CN46" s="270"/>
      <c r="CO46" s="270"/>
      <c r="CP46" s="270"/>
      <c r="CQ46" s="270"/>
      <c r="CR46" s="270"/>
      <c r="CS46" s="270"/>
      <c r="CT46" s="270"/>
      <c r="CU46" s="270"/>
      <c r="CV46" s="270"/>
      <c r="CW46" s="270"/>
      <c r="CX46" s="270"/>
      <c r="CY46" s="270"/>
      <c r="CZ46" s="270"/>
      <c r="DA46" s="270"/>
      <c r="DB46" s="46"/>
    </row>
    <row r="47" spans="2:106" ht="13.5" customHeight="1">
      <c r="B47" s="45"/>
      <c r="C47" s="272" t="s">
        <v>120</v>
      </c>
      <c r="D47" s="272"/>
      <c r="E47" s="272"/>
      <c r="F47" s="272"/>
      <c r="G47" s="272"/>
      <c r="H47" s="272"/>
      <c r="I47" s="272"/>
      <c r="J47" s="272"/>
      <c r="K47" s="272"/>
      <c r="L47" s="272"/>
      <c r="M47" s="272"/>
      <c r="N47" s="272"/>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2"/>
      <c r="BO47" s="272"/>
      <c r="BP47" s="272"/>
      <c r="BQ47" s="272"/>
      <c r="BR47" s="272"/>
      <c r="BS47" s="272"/>
      <c r="BT47" s="272"/>
      <c r="BU47" s="272"/>
      <c r="BV47" s="272"/>
      <c r="BW47" s="272"/>
      <c r="BX47" s="272"/>
      <c r="BY47" s="272"/>
      <c r="BZ47" s="272"/>
      <c r="CA47" s="272"/>
      <c r="CB47" s="272"/>
      <c r="CC47" s="272"/>
      <c r="CD47" s="272"/>
      <c r="CE47" s="272"/>
      <c r="CF47" s="272"/>
      <c r="CG47" s="272"/>
      <c r="CH47" s="272"/>
      <c r="CI47" s="272"/>
      <c r="CJ47" s="272"/>
      <c r="CK47" s="272"/>
      <c r="CL47" s="272"/>
      <c r="CM47" s="272"/>
      <c r="CN47" s="272"/>
      <c r="CO47" s="272"/>
      <c r="CP47" s="272"/>
      <c r="CQ47" s="272"/>
      <c r="CR47" s="272"/>
      <c r="CS47" s="272"/>
      <c r="CT47" s="272"/>
      <c r="CU47" s="272"/>
      <c r="CV47" s="272"/>
      <c r="CW47" s="272"/>
      <c r="CX47" s="272"/>
      <c r="CY47" s="272"/>
      <c r="CZ47" s="272"/>
      <c r="DA47" s="272"/>
      <c r="DB47" s="46"/>
    </row>
    <row r="48" spans="2:106" ht="9" customHeight="1">
      <c r="B48" s="45"/>
      <c r="C48" s="271" t="s">
        <v>121</v>
      </c>
      <c r="D48" s="271"/>
      <c r="E48" s="271"/>
      <c r="F48" s="271"/>
      <c r="G48" s="271"/>
      <c r="H48" s="271"/>
      <c r="I48" s="271"/>
      <c r="J48" s="271"/>
      <c r="K48" s="271"/>
      <c r="L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1"/>
      <c r="BP48" s="271"/>
      <c r="BQ48" s="271"/>
      <c r="BR48" s="271"/>
      <c r="BS48" s="271"/>
      <c r="BT48" s="271"/>
      <c r="BU48" s="271"/>
      <c r="BV48" s="271"/>
      <c r="BW48" s="271"/>
      <c r="BX48" s="271"/>
      <c r="BY48" s="271"/>
      <c r="BZ48" s="271"/>
      <c r="CA48" s="271"/>
      <c r="CB48" s="271"/>
      <c r="CC48" s="271"/>
      <c r="CD48" s="271"/>
      <c r="CE48" s="271"/>
      <c r="CF48" s="271"/>
      <c r="CG48" s="271"/>
      <c r="CH48" s="271"/>
      <c r="CI48" s="271"/>
      <c r="CJ48" s="271"/>
      <c r="CK48" s="271"/>
      <c r="CL48" s="271"/>
      <c r="CM48" s="271"/>
      <c r="CN48" s="271"/>
      <c r="CO48" s="271"/>
      <c r="CP48" s="271"/>
      <c r="CQ48" s="271"/>
      <c r="CR48" s="271"/>
      <c r="CS48" s="271"/>
      <c r="CT48" s="271"/>
      <c r="CU48" s="271"/>
      <c r="CV48" s="271"/>
      <c r="CW48" s="271"/>
      <c r="CX48" s="271"/>
      <c r="CY48" s="271"/>
      <c r="CZ48" s="271"/>
      <c r="DA48" s="271"/>
      <c r="DB48" s="46"/>
    </row>
    <row r="49" spans="2:106" ht="9" customHeight="1">
      <c r="B49" s="45"/>
      <c r="C49" s="271" t="s">
        <v>122</v>
      </c>
      <c r="D49" s="271"/>
      <c r="E49" s="271"/>
      <c r="F49" s="271"/>
      <c r="G49" s="271"/>
      <c r="H49" s="271"/>
      <c r="I49" s="271"/>
      <c r="J49" s="271"/>
      <c r="K49" s="271"/>
      <c r="L49" s="271"/>
      <c r="M49" s="271"/>
      <c r="N49" s="271"/>
      <c r="O49" s="271"/>
      <c r="P49" s="271"/>
      <c r="Q49" s="271"/>
      <c r="R49" s="271"/>
      <c r="S49" s="271"/>
      <c r="T49" s="271"/>
      <c r="U49" s="271"/>
      <c r="V49" s="271"/>
      <c r="W49" s="271"/>
      <c r="X49" s="271"/>
      <c r="Y49" s="271"/>
      <c r="Z49" s="271"/>
      <c r="AA49" s="271"/>
      <c r="AB49" s="271"/>
      <c r="AC49" s="271"/>
      <c r="AD49" s="271"/>
      <c r="AE49" s="271"/>
      <c r="AF49" s="271"/>
      <c r="AG49" s="271"/>
      <c r="AH49" s="271"/>
      <c r="AI49" s="271"/>
      <c r="AJ49" s="271"/>
      <c r="AK49" s="271"/>
      <c r="AL49" s="271"/>
      <c r="AM49" s="271"/>
      <c r="AN49" s="271"/>
      <c r="AO49" s="271"/>
      <c r="AP49" s="271"/>
      <c r="AQ49" s="271"/>
      <c r="AR49" s="271"/>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1"/>
      <c r="BP49" s="271"/>
      <c r="BQ49" s="271"/>
      <c r="BR49" s="271"/>
      <c r="BS49" s="271"/>
      <c r="BT49" s="271"/>
      <c r="BU49" s="271"/>
      <c r="BV49" s="271"/>
      <c r="BW49" s="271"/>
      <c r="BX49" s="271"/>
      <c r="BY49" s="271"/>
      <c r="BZ49" s="271"/>
      <c r="CA49" s="271"/>
      <c r="CB49" s="271"/>
      <c r="CC49" s="271"/>
      <c r="CD49" s="271"/>
      <c r="CE49" s="271"/>
      <c r="CF49" s="271"/>
      <c r="CG49" s="271"/>
      <c r="CH49" s="271"/>
      <c r="CI49" s="271"/>
      <c r="CJ49" s="271"/>
      <c r="CK49" s="271"/>
      <c r="CL49" s="271"/>
      <c r="CM49" s="271"/>
      <c r="CN49" s="271"/>
      <c r="CO49" s="271"/>
      <c r="CP49" s="271"/>
      <c r="CQ49" s="271"/>
      <c r="CR49" s="271"/>
      <c r="CS49" s="271"/>
      <c r="CT49" s="271"/>
      <c r="CU49" s="271"/>
      <c r="CV49" s="271"/>
      <c r="CW49" s="271"/>
      <c r="CX49" s="271"/>
      <c r="CY49" s="271"/>
      <c r="CZ49" s="271"/>
      <c r="DA49" s="271"/>
      <c r="DB49" s="46"/>
    </row>
    <row r="50" spans="2:106" ht="9" customHeight="1">
      <c r="B50" s="45"/>
      <c r="C50" s="271" t="s">
        <v>123</v>
      </c>
      <c r="D50" s="271"/>
      <c r="E50" s="271"/>
      <c r="F50" s="271"/>
      <c r="G50" s="271"/>
      <c r="H50" s="271"/>
      <c r="I50" s="271"/>
      <c r="J50" s="271"/>
      <c r="K50" s="271"/>
      <c r="L50" s="271"/>
      <c r="M50" s="271"/>
      <c r="N50" s="271"/>
      <c r="O50" s="271"/>
      <c r="P50" s="271"/>
      <c r="Q50" s="271"/>
      <c r="R50" s="271"/>
      <c r="S50" s="271"/>
      <c r="T50" s="271"/>
      <c r="U50" s="271"/>
      <c r="V50" s="271"/>
      <c r="W50" s="271"/>
      <c r="X50" s="271"/>
      <c r="Y50" s="271"/>
      <c r="Z50" s="271"/>
      <c r="AA50" s="271"/>
      <c r="AB50" s="271"/>
      <c r="AC50" s="271"/>
      <c r="AD50" s="271"/>
      <c r="AE50" s="271"/>
      <c r="AF50" s="271"/>
      <c r="AG50" s="271"/>
      <c r="AH50" s="271"/>
      <c r="AI50" s="271"/>
      <c r="AJ50" s="271"/>
      <c r="AK50" s="271"/>
      <c r="AL50" s="271"/>
      <c r="AM50" s="271"/>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1"/>
      <c r="BL50" s="271"/>
      <c r="BM50" s="271"/>
      <c r="BN50" s="271"/>
      <c r="BO50" s="271"/>
      <c r="BP50" s="271"/>
      <c r="BQ50" s="271"/>
      <c r="BR50" s="271"/>
      <c r="BS50" s="271"/>
      <c r="BT50" s="271"/>
      <c r="BU50" s="271"/>
      <c r="BV50" s="271"/>
      <c r="BW50" s="271"/>
      <c r="BX50" s="271"/>
      <c r="BY50" s="271"/>
      <c r="BZ50" s="271"/>
      <c r="CA50" s="271"/>
      <c r="CB50" s="271"/>
      <c r="CC50" s="271"/>
      <c r="CD50" s="271"/>
      <c r="CE50" s="271"/>
      <c r="CF50" s="271"/>
      <c r="CG50" s="271"/>
      <c r="CH50" s="271"/>
      <c r="CI50" s="271"/>
      <c r="CJ50" s="271"/>
      <c r="CK50" s="271"/>
      <c r="CL50" s="271"/>
      <c r="CM50" s="271"/>
      <c r="CN50" s="271"/>
      <c r="CO50" s="271"/>
      <c r="CP50" s="271"/>
      <c r="CQ50" s="271"/>
      <c r="CR50" s="271"/>
      <c r="CS50" s="271"/>
      <c r="CT50" s="271"/>
      <c r="CU50" s="271"/>
      <c r="CV50" s="271"/>
      <c r="CW50" s="271"/>
      <c r="CX50" s="271"/>
      <c r="CY50" s="271"/>
      <c r="CZ50" s="271"/>
      <c r="DA50" s="271"/>
      <c r="DB50" s="46"/>
    </row>
    <row r="51" spans="2:106" ht="9" customHeight="1">
      <c r="B51" s="45"/>
      <c r="C51" s="271" t="s">
        <v>124</v>
      </c>
      <c r="D51" s="271"/>
      <c r="E51" s="271"/>
      <c r="F51" s="271"/>
      <c r="G51" s="271"/>
      <c r="H51" s="271"/>
      <c r="I51" s="271"/>
      <c r="J51" s="271"/>
      <c r="K51" s="271"/>
      <c r="L51" s="271"/>
      <c r="M51" s="271"/>
      <c r="N51" s="271"/>
      <c r="O51" s="271"/>
      <c r="P51" s="271"/>
      <c r="Q51" s="271"/>
      <c r="R51" s="271"/>
      <c r="S51" s="271"/>
      <c r="T51" s="271"/>
      <c r="U51" s="271"/>
      <c r="V51" s="271"/>
      <c r="W51" s="271"/>
      <c r="X51" s="271"/>
      <c r="Y51" s="271"/>
      <c r="Z51" s="271"/>
      <c r="AA51" s="271"/>
      <c r="AB51" s="271"/>
      <c r="AC51" s="271"/>
      <c r="AD51" s="271"/>
      <c r="AE51" s="271"/>
      <c r="AF51" s="271"/>
      <c r="AG51" s="271"/>
      <c r="AH51" s="271"/>
      <c r="AI51" s="271"/>
      <c r="AJ51" s="271"/>
      <c r="AK51" s="271"/>
      <c r="AL51" s="271"/>
      <c r="AM51" s="271"/>
      <c r="AN51" s="271"/>
      <c r="AO51" s="271"/>
      <c r="AP51" s="271"/>
      <c r="AQ51" s="271"/>
      <c r="AR51" s="271"/>
      <c r="AS51" s="271"/>
      <c r="AT51" s="271"/>
      <c r="AU51" s="271"/>
      <c r="AV51" s="271"/>
      <c r="AW51" s="271"/>
      <c r="AX51" s="271"/>
      <c r="AY51" s="271"/>
      <c r="AZ51" s="271"/>
      <c r="BA51" s="271"/>
      <c r="BB51" s="271"/>
      <c r="BC51" s="271"/>
      <c r="BD51" s="271"/>
      <c r="BE51" s="271"/>
      <c r="BF51" s="271"/>
      <c r="BG51" s="271"/>
      <c r="BH51" s="271"/>
      <c r="BI51" s="271"/>
      <c r="BJ51" s="271"/>
      <c r="BK51" s="271"/>
      <c r="BL51" s="271"/>
      <c r="BM51" s="271"/>
      <c r="BN51" s="271"/>
      <c r="BO51" s="271"/>
      <c r="BP51" s="271"/>
      <c r="BQ51" s="271"/>
      <c r="BR51" s="271"/>
      <c r="BS51" s="271"/>
      <c r="BT51" s="271"/>
      <c r="BU51" s="271"/>
      <c r="BV51" s="271"/>
      <c r="BW51" s="271"/>
      <c r="BX51" s="271"/>
      <c r="BY51" s="271"/>
      <c r="BZ51" s="271"/>
      <c r="CA51" s="271"/>
      <c r="CB51" s="271"/>
      <c r="CC51" s="271"/>
      <c r="CD51" s="271"/>
      <c r="CE51" s="271"/>
      <c r="CF51" s="271"/>
      <c r="CG51" s="271"/>
      <c r="CH51" s="271"/>
      <c r="CI51" s="271"/>
      <c r="CJ51" s="271"/>
      <c r="CK51" s="271"/>
      <c r="CL51" s="271"/>
      <c r="CM51" s="271"/>
      <c r="CN51" s="271"/>
      <c r="CO51" s="271"/>
      <c r="CP51" s="271"/>
      <c r="CQ51" s="271"/>
      <c r="CR51" s="271"/>
      <c r="CS51" s="271"/>
      <c r="CT51" s="271"/>
      <c r="CU51" s="271"/>
      <c r="CV51" s="271"/>
      <c r="CW51" s="271"/>
      <c r="CX51" s="271"/>
      <c r="CY51" s="271"/>
      <c r="CZ51" s="271"/>
      <c r="DA51" s="271"/>
      <c r="DB51" s="46"/>
    </row>
    <row r="52" spans="2:106" ht="9" customHeight="1">
      <c r="B52" s="45"/>
      <c r="C52" s="273" t="s">
        <v>125</v>
      </c>
      <c r="D52" s="273"/>
      <c r="E52" s="273"/>
      <c r="F52" s="273"/>
      <c r="G52" s="273"/>
      <c r="H52" s="273"/>
      <c r="I52" s="273"/>
      <c r="J52" s="273"/>
      <c r="K52" s="273"/>
      <c r="L52" s="273"/>
      <c r="M52" s="273"/>
      <c r="N52" s="273"/>
      <c r="O52" s="273"/>
      <c r="P52" s="273"/>
      <c r="Q52" s="273"/>
      <c r="R52" s="273"/>
      <c r="S52" s="273"/>
      <c r="T52" s="273"/>
      <c r="U52" s="273"/>
      <c r="V52" s="273"/>
      <c r="W52" s="273"/>
      <c r="X52" s="273"/>
      <c r="Y52" s="273"/>
      <c r="Z52" s="273"/>
      <c r="AA52" s="273"/>
      <c r="AB52" s="273"/>
      <c r="AC52" s="273"/>
      <c r="AD52" s="273"/>
      <c r="AE52" s="273"/>
      <c r="AF52" s="273"/>
      <c r="AG52" s="273"/>
      <c r="AH52" s="273"/>
      <c r="AI52" s="273"/>
      <c r="AJ52" s="273"/>
      <c r="AK52" s="273"/>
      <c r="AL52" s="273"/>
      <c r="AM52" s="273"/>
      <c r="AN52" s="273"/>
      <c r="AO52" s="273"/>
      <c r="AP52" s="273"/>
      <c r="AQ52" s="273"/>
      <c r="AR52" s="273"/>
      <c r="AS52" s="273"/>
      <c r="AT52" s="273"/>
      <c r="AU52" s="273"/>
      <c r="AV52" s="273"/>
      <c r="AW52" s="273"/>
      <c r="AX52" s="273"/>
      <c r="AY52" s="273"/>
      <c r="AZ52" s="273"/>
      <c r="BA52" s="273"/>
      <c r="BB52" s="273"/>
      <c r="BC52" s="273"/>
      <c r="BD52" s="273"/>
      <c r="BE52" s="273"/>
      <c r="BF52" s="273"/>
      <c r="BG52" s="273"/>
      <c r="BH52" s="273"/>
      <c r="BI52" s="273"/>
      <c r="BJ52" s="273"/>
      <c r="BK52" s="273"/>
      <c r="BL52" s="273"/>
      <c r="BM52" s="273"/>
      <c r="BN52" s="273"/>
      <c r="BO52" s="273"/>
      <c r="BP52" s="273"/>
      <c r="BQ52" s="273"/>
      <c r="BR52" s="273"/>
      <c r="BS52" s="273"/>
      <c r="BT52" s="273"/>
      <c r="BU52" s="273"/>
      <c r="BV52" s="273"/>
      <c r="BW52" s="273"/>
      <c r="BX52" s="273"/>
      <c r="BY52" s="273"/>
      <c r="BZ52" s="273"/>
      <c r="CA52" s="273"/>
      <c r="CB52" s="273"/>
      <c r="CC52" s="273"/>
      <c r="CD52" s="273"/>
      <c r="CE52" s="273"/>
      <c r="CF52" s="273"/>
      <c r="CG52" s="273"/>
      <c r="CH52" s="273"/>
      <c r="CI52" s="273"/>
      <c r="CJ52" s="273"/>
      <c r="CK52" s="273"/>
      <c r="CL52" s="273"/>
      <c r="CM52" s="273"/>
      <c r="CN52" s="273"/>
      <c r="CO52" s="273"/>
      <c r="CP52" s="273"/>
      <c r="CQ52" s="273"/>
      <c r="CR52" s="273"/>
      <c r="CS52" s="273"/>
      <c r="CT52" s="273"/>
      <c r="CU52" s="273"/>
      <c r="CV52" s="273"/>
      <c r="CW52" s="273"/>
      <c r="CX52" s="273"/>
      <c r="CY52" s="273"/>
      <c r="CZ52" s="273"/>
      <c r="DA52" s="273"/>
      <c r="DB52" s="46"/>
    </row>
    <row r="53" spans="2:106" ht="9" customHeight="1">
      <c r="B53" s="45"/>
      <c r="C53" s="271" t="s">
        <v>126</v>
      </c>
      <c r="D53" s="271"/>
      <c r="E53" s="271"/>
      <c r="F53" s="271"/>
      <c r="G53" s="271"/>
      <c r="H53" s="271"/>
      <c r="I53" s="271"/>
      <c r="J53" s="271"/>
      <c r="K53" s="271"/>
      <c r="L53" s="271"/>
      <c r="M53" s="271"/>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71"/>
      <c r="BW53" s="271"/>
      <c r="BX53" s="271"/>
      <c r="BY53" s="271"/>
      <c r="BZ53" s="271"/>
      <c r="CA53" s="271"/>
      <c r="CB53" s="271"/>
      <c r="CC53" s="271"/>
      <c r="CD53" s="271"/>
      <c r="CE53" s="271"/>
      <c r="CF53" s="271"/>
      <c r="CG53" s="271"/>
      <c r="CH53" s="271"/>
      <c r="CI53" s="271"/>
      <c r="CJ53" s="271"/>
      <c r="CK53" s="271"/>
      <c r="CL53" s="271"/>
      <c r="CM53" s="271"/>
      <c r="CN53" s="271"/>
      <c r="CO53" s="271"/>
      <c r="CP53" s="271"/>
      <c r="CQ53" s="271"/>
      <c r="CR53" s="271"/>
      <c r="CS53" s="271"/>
      <c r="CT53" s="271"/>
      <c r="CU53" s="271"/>
      <c r="CV53" s="271"/>
      <c r="CW53" s="271"/>
      <c r="CX53" s="271"/>
      <c r="CY53" s="271"/>
      <c r="CZ53" s="271"/>
      <c r="DA53" s="271"/>
      <c r="DB53" s="46"/>
    </row>
    <row r="54" spans="2:106" ht="13.5" customHeight="1">
      <c r="B54" s="45"/>
      <c r="C54" s="272" t="s">
        <v>127</v>
      </c>
      <c r="D54" s="272"/>
      <c r="E54" s="272"/>
      <c r="F54" s="272"/>
      <c r="G54" s="272"/>
      <c r="H54" s="272"/>
      <c r="I54" s="272"/>
      <c r="J54" s="272"/>
      <c r="K54" s="272"/>
      <c r="L54" s="272"/>
      <c r="M54" s="272"/>
      <c r="N54" s="272"/>
      <c r="O54" s="272"/>
      <c r="P54" s="272"/>
      <c r="Q54" s="272"/>
      <c r="R54" s="272"/>
      <c r="S54" s="272"/>
      <c r="T54" s="272"/>
      <c r="U54" s="272"/>
      <c r="V54" s="272"/>
      <c r="W54" s="272"/>
      <c r="X54" s="272"/>
      <c r="Y54" s="272"/>
      <c r="Z54" s="272"/>
      <c r="AA54" s="272"/>
      <c r="AB54" s="272"/>
      <c r="AC54" s="272"/>
      <c r="AD54" s="272"/>
      <c r="AE54" s="272"/>
      <c r="AF54" s="272"/>
      <c r="AG54" s="272"/>
      <c r="AH54" s="272"/>
      <c r="AI54" s="272"/>
      <c r="AJ54" s="272"/>
      <c r="AK54" s="272"/>
      <c r="AL54" s="272"/>
      <c r="AM54" s="272"/>
      <c r="AN54" s="272"/>
      <c r="AO54" s="272"/>
      <c r="AP54" s="272"/>
      <c r="AQ54" s="272"/>
      <c r="AR54" s="272"/>
      <c r="AS54" s="272"/>
      <c r="AT54" s="272"/>
      <c r="AU54" s="272"/>
      <c r="AV54" s="272"/>
      <c r="AW54" s="272"/>
      <c r="AX54" s="272"/>
      <c r="AY54" s="272"/>
      <c r="AZ54" s="272"/>
      <c r="BA54" s="272"/>
      <c r="BB54" s="272"/>
      <c r="BC54" s="272"/>
      <c r="BD54" s="272"/>
      <c r="BE54" s="272"/>
      <c r="BF54" s="272"/>
      <c r="BG54" s="272"/>
      <c r="BH54" s="272"/>
      <c r="BI54" s="272"/>
      <c r="BJ54" s="272"/>
      <c r="BK54" s="272"/>
      <c r="BL54" s="272"/>
      <c r="BM54" s="272"/>
      <c r="BN54" s="272"/>
      <c r="BO54" s="272"/>
      <c r="BP54" s="272"/>
      <c r="BQ54" s="272"/>
      <c r="BR54" s="272"/>
      <c r="BS54" s="272"/>
      <c r="BT54" s="272"/>
      <c r="BU54" s="272"/>
      <c r="BV54" s="272"/>
      <c r="BW54" s="272"/>
      <c r="BX54" s="272"/>
      <c r="BY54" s="272"/>
      <c r="BZ54" s="272"/>
      <c r="CA54" s="272"/>
      <c r="CB54" s="272"/>
      <c r="CC54" s="272"/>
      <c r="CD54" s="272"/>
      <c r="CE54" s="272"/>
      <c r="CF54" s="272"/>
      <c r="CG54" s="272"/>
      <c r="CH54" s="272"/>
      <c r="CI54" s="272"/>
      <c r="CJ54" s="272"/>
      <c r="CK54" s="272"/>
      <c r="CL54" s="272"/>
      <c r="CM54" s="272"/>
      <c r="CN54" s="272"/>
      <c r="CO54" s="272"/>
      <c r="CP54" s="272"/>
      <c r="CQ54" s="272"/>
      <c r="CR54" s="272"/>
      <c r="CS54" s="272"/>
      <c r="CT54" s="272"/>
      <c r="CU54" s="272"/>
      <c r="CV54" s="272"/>
      <c r="CW54" s="272"/>
      <c r="CX54" s="272"/>
      <c r="CY54" s="272"/>
      <c r="CZ54" s="272"/>
      <c r="DA54" s="272"/>
      <c r="DB54" s="46"/>
    </row>
    <row r="55" spans="2:106" ht="9" customHeight="1">
      <c r="B55" s="45"/>
      <c r="C55" s="271" t="s">
        <v>128</v>
      </c>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c r="BR55" s="271"/>
      <c r="BS55" s="271"/>
      <c r="BT55" s="271"/>
      <c r="BU55" s="271"/>
      <c r="BV55" s="271"/>
      <c r="BW55" s="271"/>
      <c r="BX55" s="271"/>
      <c r="BY55" s="271"/>
      <c r="BZ55" s="271"/>
      <c r="CA55" s="271"/>
      <c r="CB55" s="271"/>
      <c r="CC55" s="271"/>
      <c r="CD55" s="271"/>
      <c r="CE55" s="271"/>
      <c r="CF55" s="271"/>
      <c r="CG55" s="271"/>
      <c r="CH55" s="271"/>
      <c r="CI55" s="271"/>
      <c r="CJ55" s="271"/>
      <c r="CK55" s="271"/>
      <c r="CL55" s="271"/>
      <c r="CM55" s="271"/>
      <c r="CN55" s="271"/>
      <c r="CO55" s="271"/>
      <c r="CP55" s="271"/>
      <c r="CQ55" s="271"/>
      <c r="CR55" s="271"/>
      <c r="CS55" s="271"/>
      <c r="CT55" s="271"/>
      <c r="CU55" s="271"/>
      <c r="CV55" s="271"/>
      <c r="CW55" s="271"/>
      <c r="CX55" s="271"/>
      <c r="CY55" s="271"/>
      <c r="CZ55" s="271"/>
      <c r="DA55" s="271"/>
      <c r="DB55" s="46"/>
    </row>
    <row r="56" spans="2:106" ht="9" customHeight="1">
      <c r="B56" s="45"/>
      <c r="C56" s="271" t="s">
        <v>129</v>
      </c>
      <c r="D56" s="271"/>
      <c r="E56" s="271"/>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c r="BK56" s="271"/>
      <c r="BL56" s="271"/>
      <c r="BM56" s="271"/>
      <c r="BN56" s="271"/>
      <c r="BO56" s="271"/>
      <c r="BP56" s="271"/>
      <c r="BQ56" s="271"/>
      <c r="BR56" s="271"/>
      <c r="BS56" s="271"/>
      <c r="BT56" s="271"/>
      <c r="BU56" s="271"/>
      <c r="BV56" s="271"/>
      <c r="BW56" s="271"/>
      <c r="BX56" s="271"/>
      <c r="BY56" s="271"/>
      <c r="BZ56" s="271"/>
      <c r="CA56" s="271"/>
      <c r="CB56" s="271"/>
      <c r="CC56" s="271"/>
      <c r="CD56" s="271"/>
      <c r="CE56" s="271"/>
      <c r="CF56" s="271"/>
      <c r="CG56" s="271"/>
      <c r="CH56" s="271"/>
      <c r="CI56" s="271"/>
      <c r="CJ56" s="271"/>
      <c r="CK56" s="271"/>
      <c r="CL56" s="271"/>
      <c r="CM56" s="271"/>
      <c r="CN56" s="271"/>
      <c r="CO56" s="271"/>
      <c r="CP56" s="271"/>
      <c r="CQ56" s="271"/>
      <c r="CR56" s="271"/>
      <c r="CS56" s="271"/>
      <c r="CT56" s="271"/>
      <c r="CU56" s="271"/>
      <c r="CV56" s="271"/>
      <c r="CW56" s="271"/>
      <c r="CX56" s="271"/>
      <c r="CY56" s="271"/>
      <c r="CZ56" s="271"/>
      <c r="DA56" s="271"/>
      <c r="DB56" s="46"/>
    </row>
    <row r="57" spans="2:106" ht="9" customHeight="1">
      <c r="B57" s="45"/>
      <c r="C57" s="271" t="s">
        <v>130</v>
      </c>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c r="AN57" s="271"/>
      <c r="AO57" s="271"/>
      <c r="AP57" s="271"/>
      <c r="AQ57" s="271"/>
      <c r="AR57" s="271"/>
      <c r="AS57" s="271"/>
      <c r="AT57" s="271"/>
      <c r="AU57" s="271"/>
      <c r="AV57" s="271"/>
      <c r="AW57" s="271"/>
      <c r="AX57" s="271"/>
      <c r="AY57" s="271"/>
      <c r="AZ57" s="271"/>
      <c r="BA57" s="271"/>
      <c r="BB57" s="271"/>
      <c r="BC57" s="271"/>
      <c r="BD57" s="271"/>
      <c r="BE57" s="271"/>
      <c r="BF57" s="271"/>
      <c r="BG57" s="271"/>
      <c r="BH57" s="271"/>
      <c r="BI57" s="271"/>
      <c r="BJ57" s="271"/>
      <c r="BK57" s="271"/>
      <c r="BL57" s="271"/>
      <c r="BM57" s="271"/>
      <c r="BN57" s="271"/>
      <c r="BO57" s="271"/>
      <c r="BP57" s="271"/>
      <c r="BQ57" s="271"/>
      <c r="BR57" s="271"/>
      <c r="BS57" s="271"/>
      <c r="BT57" s="271"/>
      <c r="BU57" s="271"/>
      <c r="BV57" s="271"/>
      <c r="BW57" s="271"/>
      <c r="BX57" s="271"/>
      <c r="BY57" s="271"/>
      <c r="BZ57" s="271"/>
      <c r="CA57" s="271"/>
      <c r="CB57" s="271"/>
      <c r="CC57" s="271"/>
      <c r="CD57" s="271"/>
      <c r="CE57" s="271"/>
      <c r="CF57" s="271"/>
      <c r="CG57" s="271"/>
      <c r="CH57" s="271"/>
      <c r="CI57" s="271"/>
      <c r="CJ57" s="271"/>
      <c r="CK57" s="271"/>
      <c r="CL57" s="271"/>
      <c r="CM57" s="271"/>
      <c r="CN57" s="271"/>
      <c r="CO57" s="271"/>
      <c r="CP57" s="271"/>
      <c r="CQ57" s="271"/>
      <c r="CR57" s="271"/>
      <c r="CS57" s="271"/>
      <c r="CT57" s="271"/>
      <c r="CU57" s="271"/>
      <c r="CV57" s="271"/>
      <c r="CW57" s="271"/>
      <c r="CX57" s="271"/>
      <c r="CY57" s="271"/>
      <c r="CZ57" s="271"/>
      <c r="DA57" s="271"/>
      <c r="DB57" s="46"/>
    </row>
    <row r="58" spans="2:106" ht="9" customHeight="1">
      <c r="B58" s="45"/>
      <c r="C58" s="273" t="s">
        <v>131</v>
      </c>
      <c r="D58" s="273"/>
      <c r="E58" s="273"/>
      <c r="F58" s="273"/>
      <c r="G58" s="273"/>
      <c r="H58" s="273"/>
      <c r="I58" s="273"/>
      <c r="J58" s="273"/>
      <c r="K58" s="273"/>
      <c r="L58" s="273"/>
      <c r="M58" s="273"/>
      <c r="N58" s="273"/>
      <c r="O58" s="273"/>
      <c r="P58" s="273"/>
      <c r="Q58" s="273"/>
      <c r="R58" s="273"/>
      <c r="S58" s="273"/>
      <c r="T58" s="273"/>
      <c r="U58" s="273"/>
      <c r="V58" s="273"/>
      <c r="W58" s="273"/>
      <c r="X58" s="273"/>
      <c r="Y58" s="273"/>
      <c r="Z58" s="273"/>
      <c r="AA58" s="273"/>
      <c r="AB58" s="273"/>
      <c r="AC58" s="273"/>
      <c r="AD58" s="273"/>
      <c r="AE58" s="273"/>
      <c r="AF58" s="273"/>
      <c r="AG58" s="273"/>
      <c r="AH58" s="273"/>
      <c r="AI58" s="273"/>
      <c r="AJ58" s="273"/>
      <c r="AK58" s="273"/>
      <c r="AL58" s="273"/>
      <c r="AM58" s="273"/>
      <c r="AN58" s="273"/>
      <c r="AO58" s="273"/>
      <c r="AP58" s="273"/>
      <c r="AQ58" s="273"/>
      <c r="AR58" s="273"/>
      <c r="AS58" s="273"/>
      <c r="AT58" s="273"/>
      <c r="AU58" s="273"/>
      <c r="AV58" s="273"/>
      <c r="AW58" s="273"/>
      <c r="AX58" s="273"/>
      <c r="AY58" s="273"/>
      <c r="AZ58" s="273"/>
      <c r="BA58" s="273"/>
      <c r="BB58" s="273"/>
      <c r="BC58" s="273"/>
      <c r="BD58" s="273"/>
      <c r="BE58" s="273"/>
      <c r="BF58" s="273"/>
      <c r="BG58" s="273"/>
      <c r="BH58" s="273"/>
      <c r="BI58" s="273"/>
      <c r="BJ58" s="273"/>
      <c r="BK58" s="273"/>
      <c r="BL58" s="273"/>
      <c r="BM58" s="273"/>
      <c r="BN58" s="273"/>
      <c r="BO58" s="273"/>
      <c r="BP58" s="273"/>
      <c r="BQ58" s="273"/>
      <c r="BR58" s="273"/>
      <c r="BS58" s="273"/>
      <c r="BT58" s="273"/>
      <c r="BU58" s="273"/>
      <c r="BV58" s="273"/>
      <c r="BW58" s="273"/>
      <c r="BX58" s="273"/>
      <c r="BY58" s="273"/>
      <c r="BZ58" s="273"/>
      <c r="CA58" s="273"/>
      <c r="CB58" s="273"/>
      <c r="CC58" s="273"/>
      <c r="CD58" s="273"/>
      <c r="CE58" s="273"/>
      <c r="CF58" s="273"/>
      <c r="CG58" s="273"/>
      <c r="CH58" s="273"/>
      <c r="CI58" s="273"/>
      <c r="CJ58" s="273"/>
      <c r="CK58" s="273"/>
      <c r="CL58" s="273"/>
      <c r="CM58" s="273"/>
      <c r="CN58" s="273"/>
      <c r="CO58" s="273"/>
      <c r="CP58" s="273"/>
      <c r="CQ58" s="273"/>
      <c r="CR58" s="273"/>
      <c r="CS58" s="273"/>
      <c r="CT58" s="273"/>
      <c r="CU58" s="273"/>
      <c r="CV58" s="273"/>
      <c r="CW58" s="273"/>
      <c r="CX58" s="273"/>
      <c r="CY58" s="273"/>
      <c r="CZ58" s="273"/>
      <c r="DA58" s="273"/>
      <c r="DB58" s="46"/>
    </row>
    <row r="59" spans="2:106" ht="9" customHeight="1">
      <c r="B59" s="45"/>
      <c r="C59" s="271" t="s">
        <v>132</v>
      </c>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c r="AL59" s="271"/>
      <c r="AM59" s="271"/>
      <c r="AN59" s="271"/>
      <c r="AO59" s="271"/>
      <c r="AP59" s="271"/>
      <c r="AQ59" s="271"/>
      <c r="AR59" s="271"/>
      <c r="AS59" s="271"/>
      <c r="AT59" s="271"/>
      <c r="AU59" s="271"/>
      <c r="AV59" s="271"/>
      <c r="AW59" s="271"/>
      <c r="AX59" s="271"/>
      <c r="AY59" s="271"/>
      <c r="AZ59" s="271"/>
      <c r="BA59" s="271"/>
      <c r="BB59" s="271"/>
      <c r="BC59" s="271"/>
      <c r="BD59" s="271"/>
      <c r="BE59" s="271"/>
      <c r="BF59" s="271"/>
      <c r="BG59" s="271"/>
      <c r="BH59" s="271"/>
      <c r="BI59" s="271"/>
      <c r="BJ59" s="271"/>
      <c r="BK59" s="271"/>
      <c r="BL59" s="271"/>
      <c r="BM59" s="271"/>
      <c r="BN59" s="271"/>
      <c r="BO59" s="271"/>
      <c r="BP59" s="271"/>
      <c r="BQ59" s="271"/>
      <c r="BR59" s="271"/>
      <c r="BS59" s="271"/>
      <c r="BT59" s="271"/>
      <c r="BU59" s="271"/>
      <c r="BV59" s="271"/>
      <c r="BW59" s="271"/>
      <c r="BX59" s="271"/>
      <c r="BY59" s="271"/>
      <c r="BZ59" s="271"/>
      <c r="CA59" s="271"/>
      <c r="CB59" s="271"/>
      <c r="CC59" s="271"/>
      <c r="CD59" s="271"/>
      <c r="CE59" s="271"/>
      <c r="CF59" s="271"/>
      <c r="CG59" s="271"/>
      <c r="CH59" s="271"/>
      <c r="CI59" s="271"/>
      <c r="CJ59" s="271"/>
      <c r="CK59" s="271"/>
      <c r="CL59" s="271"/>
      <c r="CM59" s="271"/>
      <c r="CN59" s="271"/>
      <c r="CO59" s="271"/>
      <c r="CP59" s="271"/>
      <c r="CQ59" s="271"/>
      <c r="CR59" s="271"/>
      <c r="CS59" s="271"/>
      <c r="CT59" s="271"/>
      <c r="CU59" s="271"/>
      <c r="CV59" s="271"/>
      <c r="CW59" s="271"/>
      <c r="CX59" s="271"/>
      <c r="CY59" s="271"/>
      <c r="CZ59" s="271"/>
      <c r="DA59" s="271"/>
      <c r="DB59" s="46"/>
    </row>
    <row r="60" spans="2:106" ht="13.5" customHeight="1">
      <c r="B60" s="45"/>
      <c r="C60" s="272" t="s">
        <v>133</v>
      </c>
      <c r="D60" s="272"/>
      <c r="E60" s="272"/>
      <c r="F60" s="272"/>
      <c r="G60" s="272"/>
      <c r="H60" s="272"/>
      <c r="I60" s="272"/>
      <c r="J60" s="272"/>
      <c r="K60" s="272"/>
      <c r="L60" s="272"/>
      <c r="M60" s="272"/>
      <c r="N60" s="272"/>
      <c r="O60" s="272"/>
      <c r="P60" s="272"/>
      <c r="Q60" s="272"/>
      <c r="R60" s="272"/>
      <c r="S60" s="272"/>
      <c r="T60" s="272"/>
      <c r="U60" s="272"/>
      <c r="V60" s="272"/>
      <c r="W60" s="272"/>
      <c r="X60" s="272"/>
      <c r="Y60" s="272"/>
      <c r="Z60" s="272"/>
      <c r="AA60" s="272"/>
      <c r="AB60" s="272"/>
      <c r="AC60" s="272"/>
      <c r="AD60" s="272"/>
      <c r="AE60" s="272"/>
      <c r="AF60" s="272"/>
      <c r="AG60" s="272"/>
      <c r="AH60" s="272"/>
      <c r="AI60" s="272"/>
      <c r="AJ60" s="272"/>
      <c r="AK60" s="272"/>
      <c r="AL60" s="272"/>
      <c r="AM60" s="272"/>
      <c r="AN60" s="272"/>
      <c r="AO60" s="272"/>
      <c r="AP60" s="272"/>
      <c r="AQ60" s="272"/>
      <c r="AR60" s="272"/>
      <c r="AS60" s="272"/>
      <c r="AT60" s="272"/>
      <c r="AU60" s="272"/>
      <c r="AV60" s="272"/>
      <c r="AW60" s="272"/>
      <c r="AX60" s="272"/>
      <c r="AY60" s="272"/>
      <c r="AZ60" s="272"/>
      <c r="BA60" s="272"/>
      <c r="BB60" s="272"/>
      <c r="BC60" s="272"/>
      <c r="BD60" s="272"/>
      <c r="BE60" s="272"/>
      <c r="BF60" s="272"/>
      <c r="BG60" s="272"/>
      <c r="BH60" s="272"/>
      <c r="BI60" s="272"/>
      <c r="BJ60" s="272"/>
      <c r="BK60" s="272"/>
      <c r="BL60" s="272"/>
      <c r="BM60" s="272"/>
      <c r="BN60" s="272"/>
      <c r="BO60" s="272"/>
      <c r="BP60" s="272"/>
      <c r="BQ60" s="272"/>
      <c r="BR60" s="272"/>
      <c r="BS60" s="272"/>
      <c r="BT60" s="272"/>
      <c r="BU60" s="272"/>
      <c r="BV60" s="272"/>
      <c r="BW60" s="272"/>
      <c r="BX60" s="272"/>
      <c r="BY60" s="272"/>
      <c r="BZ60" s="272"/>
      <c r="CA60" s="272"/>
      <c r="CB60" s="272"/>
      <c r="CC60" s="272"/>
      <c r="CD60" s="272"/>
      <c r="CE60" s="272"/>
      <c r="CF60" s="272"/>
      <c r="CG60" s="272"/>
      <c r="CH60" s="272"/>
      <c r="CI60" s="272"/>
      <c r="CJ60" s="272"/>
      <c r="CK60" s="272"/>
      <c r="CL60" s="272"/>
      <c r="CM60" s="272"/>
      <c r="CN60" s="272"/>
      <c r="CO60" s="272"/>
      <c r="CP60" s="272"/>
      <c r="CQ60" s="272"/>
      <c r="CR60" s="272"/>
      <c r="CS60" s="272"/>
      <c r="CT60" s="272"/>
      <c r="CU60" s="272"/>
      <c r="CV60" s="272"/>
      <c r="CW60" s="272"/>
      <c r="CX60" s="272"/>
      <c r="CY60" s="272"/>
      <c r="CZ60" s="272"/>
      <c r="DA60" s="272"/>
      <c r="DB60" s="46"/>
    </row>
    <row r="61" spans="2:106" ht="9" customHeight="1">
      <c r="B61" s="45"/>
      <c r="C61" s="271" t="s">
        <v>134</v>
      </c>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c r="AP61" s="271"/>
      <c r="AQ61" s="271"/>
      <c r="AR61" s="271"/>
      <c r="AS61" s="271"/>
      <c r="AT61" s="271"/>
      <c r="AU61" s="271"/>
      <c r="AV61" s="271"/>
      <c r="AW61" s="271"/>
      <c r="AX61" s="271"/>
      <c r="AY61" s="271"/>
      <c r="AZ61" s="271"/>
      <c r="BA61" s="271"/>
      <c r="BB61" s="271"/>
      <c r="BC61" s="271"/>
      <c r="BD61" s="271"/>
      <c r="BE61" s="271"/>
      <c r="BF61" s="271"/>
      <c r="BG61" s="271"/>
      <c r="BH61" s="271"/>
      <c r="BI61" s="271"/>
      <c r="BJ61" s="271"/>
      <c r="BK61" s="271"/>
      <c r="BL61" s="271"/>
      <c r="BM61" s="271"/>
      <c r="BN61" s="271"/>
      <c r="BO61" s="271"/>
      <c r="BP61" s="271"/>
      <c r="BQ61" s="271"/>
      <c r="BR61" s="271"/>
      <c r="BS61" s="271"/>
      <c r="BT61" s="271"/>
      <c r="BU61" s="271"/>
      <c r="BV61" s="271"/>
      <c r="BW61" s="271"/>
      <c r="BX61" s="271"/>
      <c r="BY61" s="271"/>
      <c r="BZ61" s="271"/>
      <c r="CA61" s="271"/>
      <c r="CB61" s="271"/>
      <c r="CC61" s="271"/>
      <c r="CD61" s="271"/>
      <c r="CE61" s="271"/>
      <c r="CF61" s="271"/>
      <c r="CG61" s="271"/>
      <c r="CH61" s="271"/>
      <c r="CI61" s="271"/>
      <c r="CJ61" s="271"/>
      <c r="CK61" s="271"/>
      <c r="CL61" s="271"/>
      <c r="CM61" s="271"/>
      <c r="CN61" s="271"/>
      <c r="CO61" s="271"/>
      <c r="CP61" s="271"/>
      <c r="CQ61" s="271"/>
      <c r="CR61" s="271"/>
      <c r="CS61" s="271"/>
      <c r="CT61" s="271"/>
      <c r="CU61" s="271"/>
      <c r="CV61" s="271"/>
      <c r="CW61" s="271"/>
      <c r="CX61" s="271"/>
      <c r="CY61" s="271"/>
      <c r="CZ61" s="271"/>
      <c r="DA61" s="271"/>
      <c r="DB61" s="46"/>
    </row>
    <row r="62" spans="2:106" ht="9" customHeight="1">
      <c r="B62" s="45"/>
      <c r="C62" s="271" t="s">
        <v>135</v>
      </c>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1"/>
      <c r="BP62" s="271"/>
      <c r="BQ62" s="271"/>
      <c r="BR62" s="271"/>
      <c r="BS62" s="271"/>
      <c r="BT62" s="271"/>
      <c r="BU62" s="271"/>
      <c r="BV62" s="271"/>
      <c r="BW62" s="271"/>
      <c r="BX62" s="271"/>
      <c r="BY62" s="271"/>
      <c r="BZ62" s="271"/>
      <c r="CA62" s="271"/>
      <c r="CB62" s="271"/>
      <c r="CC62" s="271"/>
      <c r="CD62" s="271"/>
      <c r="CE62" s="271"/>
      <c r="CF62" s="271"/>
      <c r="CG62" s="271"/>
      <c r="CH62" s="271"/>
      <c r="CI62" s="271"/>
      <c r="CJ62" s="271"/>
      <c r="CK62" s="271"/>
      <c r="CL62" s="271"/>
      <c r="CM62" s="271"/>
      <c r="CN62" s="271"/>
      <c r="CO62" s="271"/>
      <c r="CP62" s="271"/>
      <c r="CQ62" s="271"/>
      <c r="CR62" s="271"/>
      <c r="CS62" s="271"/>
      <c r="CT62" s="271"/>
      <c r="CU62" s="271"/>
      <c r="CV62" s="271"/>
      <c r="CW62" s="271"/>
      <c r="CX62" s="271"/>
      <c r="CY62" s="271"/>
      <c r="CZ62" s="271"/>
      <c r="DA62" s="271"/>
      <c r="DB62" s="46"/>
    </row>
    <row r="63" spans="2:106" ht="13.5" customHeight="1">
      <c r="B63" s="45"/>
      <c r="C63" s="272" t="s">
        <v>136</v>
      </c>
      <c r="D63" s="272"/>
      <c r="E63" s="272"/>
      <c r="F63" s="272"/>
      <c r="G63" s="272"/>
      <c r="H63" s="272"/>
      <c r="I63" s="272"/>
      <c r="J63" s="272"/>
      <c r="K63" s="272"/>
      <c r="L63" s="272"/>
      <c r="M63" s="272"/>
      <c r="N63" s="272"/>
      <c r="O63" s="272"/>
      <c r="P63" s="272"/>
      <c r="Q63" s="272"/>
      <c r="R63" s="272"/>
      <c r="S63" s="272"/>
      <c r="T63" s="272"/>
      <c r="U63" s="272"/>
      <c r="V63" s="272"/>
      <c r="W63" s="272"/>
      <c r="X63" s="272"/>
      <c r="Y63" s="272"/>
      <c r="Z63" s="272"/>
      <c r="AA63" s="272"/>
      <c r="AB63" s="272"/>
      <c r="AC63" s="272"/>
      <c r="AD63" s="272"/>
      <c r="AE63" s="272"/>
      <c r="AF63" s="272"/>
      <c r="AG63" s="272"/>
      <c r="AH63" s="272"/>
      <c r="AI63" s="272"/>
      <c r="AJ63" s="272"/>
      <c r="AK63" s="272"/>
      <c r="AL63" s="272"/>
      <c r="AM63" s="272"/>
      <c r="AN63" s="272"/>
      <c r="AO63" s="272"/>
      <c r="AP63" s="272"/>
      <c r="AQ63" s="272"/>
      <c r="AR63" s="272"/>
      <c r="AS63" s="272"/>
      <c r="AT63" s="272"/>
      <c r="AU63" s="272"/>
      <c r="AV63" s="272"/>
      <c r="AW63" s="272"/>
      <c r="AX63" s="272"/>
      <c r="AY63" s="272"/>
      <c r="AZ63" s="272"/>
      <c r="BA63" s="272"/>
      <c r="BB63" s="272"/>
      <c r="BC63" s="272"/>
      <c r="BD63" s="272"/>
      <c r="BE63" s="272"/>
      <c r="BF63" s="272"/>
      <c r="BG63" s="272"/>
      <c r="BH63" s="272"/>
      <c r="BI63" s="272"/>
      <c r="BJ63" s="272"/>
      <c r="BK63" s="272"/>
      <c r="BL63" s="272"/>
      <c r="BM63" s="272"/>
      <c r="BN63" s="272"/>
      <c r="BO63" s="272"/>
      <c r="BP63" s="272"/>
      <c r="BQ63" s="272"/>
      <c r="BR63" s="272"/>
      <c r="BS63" s="272"/>
      <c r="BT63" s="272"/>
      <c r="BU63" s="272"/>
      <c r="BV63" s="272"/>
      <c r="BW63" s="272"/>
      <c r="BX63" s="272"/>
      <c r="BY63" s="272"/>
      <c r="BZ63" s="272"/>
      <c r="CA63" s="272"/>
      <c r="CB63" s="272"/>
      <c r="CC63" s="272"/>
      <c r="CD63" s="272"/>
      <c r="CE63" s="272"/>
      <c r="CF63" s="272"/>
      <c r="CG63" s="272"/>
      <c r="CH63" s="272"/>
      <c r="CI63" s="272"/>
      <c r="CJ63" s="272"/>
      <c r="CK63" s="272"/>
      <c r="CL63" s="272"/>
      <c r="CM63" s="272"/>
      <c r="CN63" s="272"/>
      <c r="CO63" s="272"/>
      <c r="CP63" s="272"/>
      <c r="CQ63" s="272"/>
      <c r="CR63" s="272"/>
      <c r="CS63" s="272"/>
      <c r="CT63" s="272"/>
      <c r="CU63" s="272"/>
      <c r="CV63" s="272"/>
      <c r="CW63" s="272"/>
      <c r="CX63" s="272"/>
      <c r="CY63" s="272"/>
      <c r="CZ63" s="272"/>
      <c r="DA63" s="272"/>
      <c r="DB63" s="46"/>
    </row>
    <row r="64" spans="2:106" ht="9" customHeight="1">
      <c r="B64" s="45"/>
      <c r="C64" s="271" t="s">
        <v>137</v>
      </c>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1"/>
      <c r="BP64" s="271"/>
      <c r="BQ64" s="271"/>
      <c r="BR64" s="271"/>
      <c r="BS64" s="271"/>
      <c r="BT64" s="271"/>
      <c r="BU64" s="271"/>
      <c r="BV64" s="271"/>
      <c r="BW64" s="271"/>
      <c r="BX64" s="271"/>
      <c r="BY64" s="271"/>
      <c r="BZ64" s="271"/>
      <c r="CA64" s="271"/>
      <c r="CB64" s="271"/>
      <c r="CC64" s="271"/>
      <c r="CD64" s="271"/>
      <c r="CE64" s="271"/>
      <c r="CF64" s="271"/>
      <c r="CG64" s="271"/>
      <c r="CH64" s="271"/>
      <c r="CI64" s="271"/>
      <c r="CJ64" s="271"/>
      <c r="CK64" s="271"/>
      <c r="CL64" s="271"/>
      <c r="CM64" s="271"/>
      <c r="CN64" s="271"/>
      <c r="CO64" s="271"/>
      <c r="CP64" s="271"/>
      <c r="CQ64" s="271"/>
      <c r="CR64" s="271"/>
      <c r="CS64" s="271"/>
      <c r="CT64" s="271"/>
      <c r="CU64" s="271"/>
      <c r="CV64" s="271"/>
      <c r="CW64" s="271"/>
      <c r="CX64" s="271"/>
      <c r="CY64" s="271"/>
      <c r="CZ64" s="271"/>
      <c r="DA64" s="271"/>
      <c r="DB64" s="46"/>
    </row>
    <row r="65" spans="2:106" ht="9" customHeight="1">
      <c r="B65" s="45"/>
      <c r="C65" s="271" t="s">
        <v>138</v>
      </c>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1"/>
      <c r="BQ65" s="271"/>
      <c r="BR65" s="271"/>
      <c r="BS65" s="271"/>
      <c r="BT65" s="271"/>
      <c r="BU65" s="271"/>
      <c r="BV65" s="271"/>
      <c r="BW65" s="271"/>
      <c r="BX65" s="271"/>
      <c r="BY65" s="271"/>
      <c r="BZ65" s="271"/>
      <c r="CA65" s="271"/>
      <c r="CB65" s="271"/>
      <c r="CC65" s="271"/>
      <c r="CD65" s="271"/>
      <c r="CE65" s="271"/>
      <c r="CF65" s="271"/>
      <c r="CG65" s="271"/>
      <c r="CH65" s="271"/>
      <c r="CI65" s="271"/>
      <c r="CJ65" s="271"/>
      <c r="CK65" s="271"/>
      <c r="CL65" s="271"/>
      <c r="CM65" s="271"/>
      <c r="CN65" s="271"/>
      <c r="CO65" s="271"/>
      <c r="CP65" s="271"/>
      <c r="CQ65" s="271"/>
      <c r="CR65" s="271"/>
      <c r="CS65" s="271"/>
      <c r="CT65" s="271"/>
      <c r="CU65" s="271"/>
      <c r="CV65" s="271"/>
      <c r="CW65" s="271"/>
      <c r="CX65" s="271"/>
      <c r="CY65" s="271"/>
      <c r="CZ65" s="271"/>
      <c r="DA65" s="271"/>
      <c r="DB65" s="46"/>
    </row>
    <row r="66" spans="2:106" ht="9" customHeight="1">
      <c r="B66" s="45"/>
      <c r="C66" s="271" t="s">
        <v>139</v>
      </c>
      <c r="D66" s="271"/>
      <c r="E66" s="271"/>
      <c r="F66" s="271"/>
      <c r="G66" s="271"/>
      <c r="H66" s="271"/>
      <c r="I66" s="271"/>
      <c r="J66" s="271"/>
      <c r="K66" s="271"/>
      <c r="L66" s="271"/>
      <c r="M66" s="271"/>
      <c r="N66" s="271"/>
      <c r="O66" s="271"/>
      <c r="P66" s="271"/>
      <c r="Q66" s="271"/>
      <c r="R66" s="271"/>
      <c r="S66" s="271"/>
      <c r="T66" s="271"/>
      <c r="U66" s="271"/>
      <c r="V66" s="271"/>
      <c r="W66" s="271"/>
      <c r="X66" s="271"/>
      <c r="Y66" s="271"/>
      <c r="Z66" s="271"/>
      <c r="AA66" s="271"/>
      <c r="AB66" s="271"/>
      <c r="AC66" s="271"/>
      <c r="AD66" s="271"/>
      <c r="AE66" s="271"/>
      <c r="AF66" s="271"/>
      <c r="AG66" s="271"/>
      <c r="AH66" s="271"/>
      <c r="AI66" s="271"/>
      <c r="AJ66" s="271"/>
      <c r="AK66" s="271"/>
      <c r="AL66" s="271"/>
      <c r="AM66" s="271"/>
      <c r="AN66" s="271"/>
      <c r="AO66" s="271"/>
      <c r="AP66" s="271"/>
      <c r="AQ66" s="271"/>
      <c r="AR66" s="271"/>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1"/>
      <c r="BP66" s="271"/>
      <c r="BQ66" s="271"/>
      <c r="BR66" s="271"/>
      <c r="BS66" s="271"/>
      <c r="BT66" s="271"/>
      <c r="BU66" s="271"/>
      <c r="BV66" s="271"/>
      <c r="BW66" s="271"/>
      <c r="BX66" s="271"/>
      <c r="BY66" s="271"/>
      <c r="BZ66" s="271"/>
      <c r="CA66" s="271"/>
      <c r="CB66" s="271"/>
      <c r="CC66" s="271"/>
      <c r="CD66" s="271"/>
      <c r="CE66" s="271"/>
      <c r="CF66" s="271"/>
      <c r="CG66" s="271"/>
      <c r="CH66" s="271"/>
      <c r="CI66" s="271"/>
      <c r="CJ66" s="271"/>
      <c r="CK66" s="271"/>
      <c r="CL66" s="271"/>
      <c r="CM66" s="271"/>
      <c r="CN66" s="271"/>
      <c r="CO66" s="271"/>
      <c r="CP66" s="271"/>
      <c r="CQ66" s="271"/>
      <c r="CR66" s="271"/>
      <c r="CS66" s="271"/>
      <c r="CT66" s="271"/>
      <c r="CU66" s="271"/>
      <c r="CV66" s="271"/>
      <c r="CW66" s="271"/>
      <c r="CX66" s="271"/>
      <c r="CY66" s="271"/>
      <c r="CZ66" s="271"/>
      <c r="DA66" s="271"/>
      <c r="DB66" s="46"/>
    </row>
    <row r="67" spans="2:106" ht="13.5" customHeight="1">
      <c r="B67" s="45"/>
      <c r="C67" s="272" t="s">
        <v>140</v>
      </c>
      <c r="D67" s="272"/>
      <c r="E67" s="272"/>
      <c r="F67" s="272"/>
      <c r="G67" s="272"/>
      <c r="H67" s="272"/>
      <c r="I67" s="272"/>
      <c r="J67" s="272"/>
      <c r="K67" s="272"/>
      <c r="L67" s="272"/>
      <c r="M67" s="272"/>
      <c r="N67" s="272"/>
      <c r="O67" s="272"/>
      <c r="P67" s="272"/>
      <c r="Q67" s="272"/>
      <c r="R67" s="272"/>
      <c r="S67" s="272"/>
      <c r="T67" s="272"/>
      <c r="U67" s="272"/>
      <c r="V67" s="272"/>
      <c r="W67" s="272"/>
      <c r="X67" s="272"/>
      <c r="Y67" s="272"/>
      <c r="Z67" s="272"/>
      <c r="AA67" s="272"/>
      <c r="AB67" s="272"/>
      <c r="AC67" s="272"/>
      <c r="AD67" s="272"/>
      <c r="AE67" s="272"/>
      <c r="AF67" s="272"/>
      <c r="AG67" s="272"/>
      <c r="AH67" s="272"/>
      <c r="AI67" s="272"/>
      <c r="AJ67" s="272"/>
      <c r="AK67" s="272"/>
      <c r="AL67" s="272"/>
      <c r="AM67" s="272"/>
      <c r="AN67" s="272"/>
      <c r="AO67" s="272"/>
      <c r="AP67" s="272"/>
      <c r="AQ67" s="272"/>
      <c r="AR67" s="272"/>
      <c r="AS67" s="272"/>
      <c r="AT67" s="272"/>
      <c r="AU67" s="272"/>
      <c r="AV67" s="272"/>
      <c r="AW67" s="272"/>
      <c r="AX67" s="272"/>
      <c r="AY67" s="272"/>
      <c r="AZ67" s="272"/>
      <c r="BA67" s="272"/>
      <c r="BB67" s="272"/>
      <c r="BC67" s="272"/>
      <c r="BD67" s="272"/>
      <c r="BE67" s="272"/>
      <c r="BF67" s="272"/>
      <c r="BG67" s="272"/>
      <c r="BH67" s="272"/>
      <c r="BI67" s="272"/>
      <c r="BJ67" s="272"/>
      <c r="BK67" s="272"/>
      <c r="BL67" s="272"/>
      <c r="BM67" s="272"/>
      <c r="BN67" s="272"/>
      <c r="BO67" s="272"/>
      <c r="BP67" s="272"/>
      <c r="BQ67" s="272"/>
      <c r="BR67" s="272"/>
      <c r="BS67" s="272"/>
      <c r="BT67" s="272"/>
      <c r="BU67" s="272"/>
      <c r="BV67" s="272"/>
      <c r="BW67" s="272"/>
      <c r="BX67" s="272"/>
      <c r="BY67" s="272"/>
      <c r="BZ67" s="272"/>
      <c r="CA67" s="272"/>
      <c r="CB67" s="272"/>
      <c r="CC67" s="272"/>
      <c r="CD67" s="272"/>
      <c r="CE67" s="272"/>
      <c r="CF67" s="272"/>
      <c r="CG67" s="272"/>
      <c r="CH67" s="272"/>
      <c r="CI67" s="272"/>
      <c r="CJ67" s="272"/>
      <c r="CK67" s="272"/>
      <c r="CL67" s="272"/>
      <c r="CM67" s="272"/>
      <c r="CN67" s="272"/>
      <c r="CO67" s="272"/>
      <c r="CP67" s="272"/>
      <c r="CQ67" s="272"/>
      <c r="CR67" s="272"/>
      <c r="CS67" s="272"/>
      <c r="CT67" s="272"/>
      <c r="CU67" s="272"/>
      <c r="CV67" s="272"/>
      <c r="CW67" s="272"/>
      <c r="CX67" s="272"/>
      <c r="CY67" s="272"/>
      <c r="CZ67" s="272"/>
      <c r="DA67" s="272"/>
      <c r="DB67" s="46"/>
    </row>
    <row r="68" spans="2:106" ht="9" customHeight="1">
      <c r="B68" s="45"/>
      <c r="C68" s="57" t="s">
        <v>85</v>
      </c>
      <c r="D68" s="270" t="s">
        <v>141</v>
      </c>
      <c r="E68" s="270"/>
      <c r="F68" s="270"/>
      <c r="G68" s="270"/>
      <c r="H68" s="270"/>
      <c r="I68" s="270"/>
      <c r="J68" s="270"/>
      <c r="K68" s="270"/>
      <c r="L68" s="270"/>
      <c r="M68" s="270"/>
      <c r="N68" s="270"/>
      <c r="O68" s="270"/>
      <c r="P68" s="270"/>
      <c r="Q68" s="270"/>
      <c r="R68" s="270"/>
      <c r="S68" s="270"/>
      <c r="T68" s="270"/>
      <c r="U68" s="270"/>
      <c r="V68" s="270"/>
      <c r="W68" s="270"/>
      <c r="X68" s="270"/>
      <c r="Y68" s="270"/>
      <c r="Z68" s="270"/>
      <c r="AA68" s="270"/>
      <c r="AB68" s="270"/>
      <c r="AC68" s="270"/>
      <c r="AD68" s="270"/>
      <c r="AE68" s="270"/>
      <c r="AF68" s="270"/>
      <c r="AG68" s="270"/>
      <c r="AH68" s="270"/>
      <c r="AI68" s="270"/>
      <c r="AJ68" s="270"/>
      <c r="AK68" s="270"/>
      <c r="AL68" s="270"/>
      <c r="AM68" s="270"/>
      <c r="AN68" s="270"/>
      <c r="AO68" s="270"/>
      <c r="AP68" s="270"/>
      <c r="AQ68" s="270"/>
      <c r="AR68" s="270"/>
      <c r="AS68" s="270"/>
      <c r="AT68" s="270"/>
      <c r="AU68" s="270"/>
      <c r="AV68" s="270"/>
      <c r="AW68" s="270"/>
      <c r="AX68" s="270"/>
      <c r="AY68" s="270"/>
      <c r="AZ68" s="270"/>
      <c r="BA68" s="270"/>
      <c r="BB68" s="270"/>
      <c r="BC68" s="270"/>
      <c r="BD68" s="270"/>
      <c r="BE68" s="270"/>
      <c r="BF68" s="270"/>
      <c r="BG68" s="270"/>
      <c r="BH68" s="270"/>
      <c r="BI68" s="270"/>
      <c r="BJ68" s="270"/>
      <c r="BK68" s="270"/>
      <c r="BL68" s="270"/>
      <c r="BM68" s="270"/>
      <c r="BN68" s="270"/>
      <c r="BO68" s="270"/>
      <c r="BP68" s="270"/>
      <c r="BQ68" s="270"/>
      <c r="BR68" s="270"/>
      <c r="BS68" s="270"/>
      <c r="BT68" s="270"/>
      <c r="BU68" s="270"/>
      <c r="BV68" s="270"/>
      <c r="BW68" s="270"/>
      <c r="BX68" s="270"/>
      <c r="BY68" s="270"/>
      <c r="BZ68" s="270"/>
      <c r="CA68" s="270"/>
      <c r="CB68" s="270"/>
      <c r="CC68" s="270"/>
      <c r="CD68" s="270"/>
      <c r="CE68" s="270"/>
      <c r="CF68" s="270"/>
      <c r="CG68" s="270"/>
      <c r="CH68" s="270"/>
      <c r="CI68" s="270"/>
      <c r="CJ68" s="270"/>
      <c r="CK68" s="270"/>
      <c r="CL68" s="270"/>
      <c r="CM68" s="270"/>
      <c r="CN68" s="270"/>
      <c r="CO68" s="270"/>
      <c r="CP68" s="270"/>
      <c r="CQ68" s="270"/>
      <c r="CR68" s="270"/>
      <c r="CS68" s="270"/>
      <c r="CT68" s="270"/>
      <c r="CU68" s="270"/>
      <c r="CV68" s="270"/>
      <c r="CW68" s="270"/>
      <c r="CX68" s="270"/>
      <c r="CY68" s="270"/>
      <c r="CZ68" s="270"/>
      <c r="DA68" s="270"/>
      <c r="DB68" s="46"/>
    </row>
    <row r="69" spans="2:106" ht="9" customHeight="1">
      <c r="B69" s="45"/>
      <c r="C69" s="57"/>
      <c r="D69" s="270" t="s">
        <v>142</v>
      </c>
      <c r="E69" s="270"/>
      <c r="F69" s="270"/>
      <c r="G69" s="270"/>
      <c r="H69" s="270"/>
      <c r="I69" s="270"/>
      <c r="J69" s="270"/>
      <c r="K69" s="270"/>
      <c r="L69" s="270"/>
      <c r="M69" s="270"/>
      <c r="N69" s="270"/>
      <c r="O69" s="270"/>
      <c r="P69" s="270"/>
      <c r="Q69" s="270"/>
      <c r="R69" s="270"/>
      <c r="S69" s="270"/>
      <c r="T69" s="270"/>
      <c r="U69" s="270"/>
      <c r="V69" s="270"/>
      <c r="W69" s="270"/>
      <c r="X69" s="270"/>
      <c r="Y69" s="270"/>
      <c r="Z69" s="270"/>
      <c r="AA69" s="270"/>
      <c r="AB69" s="270"/>
      <c r="AC69" s="270"/>
      <c r="AD69" s="270"/>
      <c r="AE69" s="270"/>
      <c r="AF69" s="270"/>
      <c r="AG69" s="270"/>
      <c r="AH69" s="270"/>
      <c r="AI69" s="270"/>
      <c r="AJ69" s="270"/>
      <c r="AK69" s="270"/>
      <c r="AL69" s="270"/>
      <c r="AM69" s="270"/>
      <c r="AN69" s="270"/>
      <c r="AO69" s="270"/>
      <c r="AP69" s="270"/>
      <c r="AQ69" s="270"/>
      <c r="AR69" s="270"/>
      <c r="AS69" s="270"/>
      <c r="AT69" s="270"/>
      <c r="AU69" s="270"/>
      <c r="AV69" s="270"/>
      <c r="AW69" s="270"/>
      <c r="AX69" s="270"/>
      <c r="AY69" s="270"/>
      <c r="AZ69" s="270"/>
      <c r="BA69" s="270"/>
      <c r="BB69" s="270"/>
      <c r="BC69" s="270"/>
      <c r="BD69" s="270"/>
      <c r="BE69" s="270"/>
      <c r="BF69" s="270"/>
      <c r="BG69" s="270"/>
      <c r="BH69" s="270"/>
      <c r="BI69" s="270"/>
      <c r="BJ69" s="270"/>
      <c r="BK69" s="270"/>
      <c r="BL69" s="270"/>
      <c r="BM69" s="270"/>
      <c r="BN69" s="270"/>
      <c r="BO69" s="270"/>
      <c r="BP69" s="270"/>
      <c r="BQ69" s="270"/>
      <c r="BR69" s="270"/>
      <c r="BS69" s="270"/>
      <c r="BT69" s="270"/>
      <c r="BU69" s="270"/>
      <c r="BV69" s="270"/>
      <c r="BW69" s="270"/>
      <c r="BX69" s="270"/>
      <c r="BY69" s="270"/>
      <c r="BZ69" s="270"/>
      <c r="CA69" s="270"/>
      <c r="CB69" s="270"/>
      <c r="CC69" s="270"/>
      <c r="CD69" s="270"/>
      <c r="CE69" s="270"/>
      <c r="CF69" s="270"/>
      <c r="CG69" s="270"/>
      <c r="CH69" s="270"/>
      <c r="CI69" s="270"/>
      <c r="CJ69" s="270"/>
      <c r="CK69" s="270"/>
      <c r="CL69" s="270"/>
      <c r="CM69" s="270"/>
      <c r="CN69" s="270"/>
      <c r="CO69" s="270"/>
      <c r="CP69" s="270"/>
      <c r="CQ69" s="270"/>
      <c r="CR69" s="270"/>
      <c r="CS69" s="270"/>
      <c r="CT69" s="270"/>
      <c r="CU69" s="270"/>
      <c r="CV69" s="270"/>
      <c r="CW69" s="270"/>
      <c r="CX69" s="270"/>
      <c r="CY69" s="270"/>
      <c r="CZ69" s="270"/>
      <c r="DA69" s="270"/>
      <c r="DB69" s="46"/>
    </row>
    <row r="70" spans="2:106" ht="9" customHeight="1">
      <c r="B70" s="45"/>
      <c r="C70" s="57"/>
      <c r="D70" s="270" t="s">
        <v>143</v>
      </c>
      <c r="E70" s="270"/>
      <c r="F70" s="270"/>
      <c r="G70" s="270"/>
      <c r="H70" s="270"/>
      <c r="I70" s="270"/>
      <c r="J70" s="270"/>
      <c r="K70" s="270"/>
      <c r="L70" s="270"/>
      <c r="M70" s="270"/>
      <c r="N70" s="270"/>
      <c r="O70" s="270"/>
      <c r="P70" s="270"/>
      <c r="Q70" s="270"/>
      <c r="R70" s="270"/>
      <c r="S70" s="270"/>
      <c r="T70" s="270"/>
      <c r="U70" s="270"/>
      <c r="V70" s="270"/>
      <c r="W70" s="270"/>
      <c r="X70" s="270"/>
      <c r="Y70" s="270"/>
      <c r="Z70" s="270"/>
      <c r="AA70" s="270"/>
      <c r="AB70" s="270"/>
      <c r="AC70" s="270"/>
      <c r="AD70" s="270"/>
      <c r="AE70" s="270"/>
      <c r="AF70" s="270"/>
      <c r="AG70" s="270"/>
      <c r="AH70" s="270"/>
      <c r="AI70" s="270"/>
      <c r="AJ70" s="270"/>
      <c r="AK70" s="270"/>
      <c r="AL70" s="270"/>
      <c r="AM70" s="270"/>
      <c r="AN70" s="270"/>
      <c r="AO70" s="270"/>
      <c r="AP70" s="270"/>
      <c r="AQ70" s="270"/>
      <c r="AR70" s="270"/>
      <c r="AS70" s="270"/>
      <c r="AT70" s="270"/>
      <c r="AU70" s="270"/>
      <c r="AV70" s="270"/>
      <c r="AW70" s="270"/>
      <c r="AX70" s="270"/>
      <c r="AY70" s="270"/>
      <c r="AZ70" s="270"/>
      <c r="BA70" s="270"/>
      <c r="BB70" s="270"/>
      <c r="BC70" s="270"/>
      <c r="BD70" s="270"/>
      <c r="BE70" s="270"/>
      <c r="BF70" s="270"/>
      <c r="BG70" s="270"/>
      <c r="BH70" s="270"/>
      <c r="BI70" s="270"/>
      <c r="BJ70" s="270"/>
      <c r="BK70" s="270"/>
      <c r="BL70" s="270"/>
      <c r="BM70" s="270"/>
      <c r="BN70" s="270"/>
      <c r="BO70" s="270"/>
      <c r="BP70" s="270"/>
      <c r="BQ70" s="270"/>
      <c r="BR70" s="270"/>
      <c r="BS70" s="270"/>
      <c r="BT70" s="270"/>
      <c r="BU70" s="270"/>
      <c r="BV70" s="270"/>
      <c r="BW70" s="270"/>
      <c r="BX70" s="270"/>
      <c r="BY70" s="270"/>
      <c r="BZ70" s="270"/>
      <c r="CA70" s="270"/>
      <c r="CB70" s="270"/>
      <c r="CC70" s="270"/>
      <c r="CD70" s="270"/>
      <c r="CE70" s="270"/>
      <c r="CF70" s="270"/>
      <c r="CG70" s="270"/>
      <c r="CH70" s="270"/>
      <c r="CI70" s="270"/>
      <c r="CJ70" s="270"/>
      <c r="CK70" s="270"/>
      <c r="CL70" s="270"/>
      <c r="CM70" s="270"/>
      <c r="CN70" s="270"/>
      <c r="CO70" s="270"/>
      <c r="CP70" s="270"/>
      <c r="CQ70" s="270"/>
      <c r="CR70" s="270"/>
      <c r="CS70" s="270"/>
      <c r="CT70" s="270"/>
      <c r="CU70" s="270"/>
      <c r="CV70" s="270"/>
      <c r="CW70" s="270"/>
      <c r="CX70" s="270"/>
      <c r="CY70" s="270"/>
      <c r="CZ70" s="270"/>
      <c r="DA70" s="270"/>
      <c r="DB70" s="46"/>
    </row>
    <row r="71" spans="2:106" ht="9" customHeight="1">
      <c r="B71" s="45"/>
      <c r="C71" s="57" t="s">
        <v>85</v>
      </c>
      <c r="D71" s="270" t="s">
        <v>144</v>
      </c>
      <c r="E71" s="270"/>
      <c r="F71" s="270"/>
      <c r="G71" s="270"/>
      <c r="H71" s="270"/>
      <c r="I71" s="270"/>
      <c r="J71" s="270"/>
      <c r="K71" s="270"/>
      <c r="L71" s="270"/>
      <c r="M71" s="270"/>
      <c r="N71" s="270"/>
      <c r="O71" s="270"/>
      <c r="P71" s="270"/>
      <c r="Q71" s="270"/>
      <c r="R71" s="270"/>
      <c r="S71" s="270"/>
      <c r="T71" s="270"/>
      <c r="U71" s="270"/>
      <c r="V71" s="270"/>
      <c r="W71" s="270"/>
      <c r="X71" s="270"/>
      <c r="Y71" s="270"/>
      <c r="Z71" s="270"/>
      <c r="AA71" s="270"/>
      <c r="AB71" s="270"/>
      <c r="AC71" s="270"/>
      <c r="AD71" s="270"/>
      <c r="AE71" s="270"/>
      <c r="AF71" s="270"/>
      <c r="AG71" s="270"/>
      <c r="AH71" s="270"/>
      <c r="AI71" s="270"/>
      <c r="AJ71" s="270"/>
      <c r="AK71" s="270"/>
      <c r="AL71" s="270"/>
      <c r="AM71" s="270"/>
      <c r="AN71" s="270"/>
      <c r="AO71" s="270"/>
      <c r="AP71" s="270"/>
      <c r="AQ71" s="270"/>
      <c r="AR71" s="270"/>
      <c r="AS71" s="270"/>
      <c r="AT71" s="270"/>
      <c r="AU71" s="270"/>
      <c r="AV71" s="270"/>
      <c r="AW71" s="270"/>
      <c r="AX71" s="270"/>
      <c r="AY71" s="270"/>
      <c r="AZ71" s="270"/>
      <c r="BA71" s="270"/>
      <c r="BB71" s="270"/>
      <c r="BC71" s="270"/>
      <c r="BD71" s="270"/>
      <c r="BE71" s="270"/>
      <c r="BF71" s="270"/>
      <c r="BG71" s="270"/>
      <c r="BH71" s="270"/>
      <c r="BI71" s="270"/>
      <c r="BJ71" s="270"/>
      <c r="BK71" s="270"/>
      <c r="BL71" s="270"/>
      <c r="BM71" s="270"/>
      <c r="BN71" s="270"/>
      <c r="BO71" s="270"/>
      <c r="BP71" s="270"/>
      <c r="BQ71" s="270"/>
      <c r="BR71" s="270"/>
      <c r="BS71" s="270"/>
      <c r="BT71" s="270"/>
      <c r="BU71" s="270"/>
      <c r="BV71" s="270"/>
      <c r="BW71" s="270"/>
      <c r="BX71" s="270"/>
      <c r="BY71" s="270"/>
      <c r="BZ71" s="270"/>
      <c r="CA71" s="270"/>
      <c r="CB71" s="270"/>
      <c r="CC71" s="270"/>
      <c r="CD71" s="270"/>
      <c r="CE71" s="270"/>
      <c r="CF71" s="270"/>
      <c r="CG71" s="270"/>
      <c r="CH71" s="270"/>
      <c r="CI71" s="270"/>
      <c r="CJ71" s="270"/>
      <c r="CK71" s="270"/>
      <c r="CL71" s="270"/>
      <c r="CM71" s="270"/>
      <c r="CN71" s="270"/>
      <c r="CO71" s="270"/>
      <c r="CP71" s="270"/>
      <c r="CQ71" s="270"/>
      <c r="CR71" s="270"/>
      <c r="CS71" s="270"/>
      <c r="CT71" s="270"/>
      <c r="CU71" s="270"/>
      <c r="CV71" s="270"/>
      <c r="CW71" s="270"/>
      <c r="CX71" s="270"/>
      <c r="CY71" s="270"/>
      <c r="CZ71" s="270"/>
      <c r="DA71" s="270"/>
      <c r="DB71" s="46"/>
    </row>
    <row r="72" spans="2:106" ht="9" customHeight="1">
      <c r="B72" s="45"/>
      <c r="C72" s="57"/>
      <c r="D72" s="270" t="s">
        <v>145</v>
      </c>
      <c r="E72" s="270"/>
      <c r="F72" s="270"/>
      <c r="G72" s="270"/>
      <c r="H72" s="270"/>
      <c r="I72" s="270"/>
      <c r="J72" s="270"/>
      <c r="K72" s="270"/>
      <c r="L72" s="270"/>
      <c r="M72" s="270"/>
      <c r="N72" s="270"/>
      <c r="O72" s="270"/>
      <c r="P72" s="270"/>
      <c r="Q72" s="270"/>
      <c r="R72" s="270"/>
      <c r="S72" s="270"/>
      <c r="T72" s="270"/>
      <c r="U72" s="270"/>
      <c r="V72" s="270"/>
      <c r="W72" s="270"/>
      <c r="X72" s="270"/>
      <c r="Y72" s="270"/>
      <c r="Z72" s="270"/>
      <c r="AA72" s="270"/>
      <c r="AB72" s="270"/>
      <c r="AC72" s="270"/>
      <c r="AD72" s="270"/>
      <c r="AE72" s="270"/>
      <c r="AF72" s="270"/>
      <c r="AG72" s="270"/>
      <c r="AH72" s="270"/>
      <c r="AI72" s="270"/>
      <c r="AJ72" s="270"/>
      <c r="AK72" s="270"/>
      <c r="AL72" s="270"/>
      <c r="AM72" s="270"/>
      <c r="AN72" s="270"/>
      <c r="AO72" s="270"/>
      <c r="AP72" s="270"/>
      <c r="AQ72" s="270"/>
      <c r="AR72" s="270"/>
      <c r="AS72" s="270"/>
      <c r="AT72" s="270"/>
      <c r="AU72" s="270"/>
      <c r="AV72" s="270"/>
      <c r="AW72" s="270"/>
      <c r="AX72" s="270"/>
      <c r="AY72" s="270"/>
      <c r="AZ72" s="270"/>
      <c r="BA72" s="270"/>
      <c r="BB72" s="270"/>
      <c r="BC72" s="270"/>
      <c r="BD72" s="270"/>
      <c r="BE72" s="270"/>
      <c r="BF72" s="270"/>
      <c r="BG72" s="270"/>
      <c r="BH72" s="270"/>
      <c r="BI72" s="270"/>
      <c r="BJ72" s="270"/>
      <c r="BK72" s="270"/>
      <c r="BL72" s="270"/>
      <c r="BM72" s="270"/>
      <c r="BN72" s="270"/>
      <c r="BO72" s="270"/>
      <c r="BP72" s="270"/>
      <c r="BQ72" s="270"/>
      <c r="BR72" s="270"/>
      <c r="BS72" s="270"/>
      <c r="BT72" s="270"/>
      <c r="BU72" s="270"/>
      <c r="BV72" s="270"/>
      <c r="BW72" s="270"/>
      <c r="BX72" s="270"/>
      <c r="BY72" s="270"/>
      <c r="BZ72" s="270"/>
      <c r="CA72" s="270"/>
      <c r="CB72" s="270"/>
      <c r="CC72" s="270"/>
      <c r="CD72" s="270"/>
      <c r="CE72" s="270"/>
      <c r="CF72" s="270"/>
      <c r="CG72" s="270"/>
      <c r="CH72" s="270"/>
      <c r="CI72" s="270"/>
      <c r="CJ72" s="270"/>
      <c r="CK72" s="270"/>
      <c r="CL72" s="270"/>
      <c r="CM72" s="270"/>
      <c r="CN72" s="270"/>
      <c r="CO72" s="270"/>
      <c r="CP72" s="270"/>
      <c r="CQ72" s="270"/>
      <c r="CR72" s="270"/>
      <c r="CS72" s="270"/>
      <c r="CT72" s="270"/>
      <c r="CU72" s="270"/>
      <c r="CV72" s="270"/>
      <c r="CW72" s="270"/>
      <c r="CX72" s="270"/>
      <c r="CY72" s="270"/>
      <c r="CZ72" s="270"/>
      <c r="DA72" s="270"/>
      <c r="DB72" s="46"/>
    </row>
    <row r="73" spans="2:106" ht="9" customHeight="1">
      <c r="B73" s="45"/>
      <c r="C73" s="57" t="s">
        <v>85</v>
      </c>
      <c r="D73" s="270" t="s">
        <v>146</v>
      </c>
      <c r="E73" s="270"/>
      <c r="F73" s="270"/>
      <c r="G73" s="270"/>
      <c r="H73" s="270"/>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270"/>
      <c r="AJ73" s="270"/>
      <c r="AK73" s="270"/>
      <c r="AL73" s="270"/>
      <c r="AM73" s="270"/>
      <c r="AN73" s="270"/>
      <c r="AO73" s="270"/>
      <c r="AP73" s="270"/>
      <c r="AQ73" s="270"/>
      <c r="AR73" s="270"/>
      <c r="AS73" s="270"/>
      <c r="AT73" s="270"/>
      <c r="AU73" s="270"/>
      <c r="AV73" s="270"/>
      <c r="AW73" s="270"/>
      <c r="AX73" s="270"/>
      <c r="AY73" s="270"/>
      <c r="AZ73" s="270"/>
      <c r="BA73" s="270"/>
      <c r="BB73" s="270"/>
      <c r="BC73" s="270"/>
      <c r="BD73" s="270"/>
      <c r="BE73" s="270"/>
      <c r="BF73" s="270"/>
      <c r="BG73" s="270"/>
      <c r="BH73" s="270"/>
      <c r="BI73" s="270"/>
      <c r="BJ73" s="270"/>
      <c r="BK73" s="270"/>
      <c r="BL73" s="270"/>
      <c r="BM73" s="270"/>
      <c r="BN73" s="270"/>
      <c r="BO73" s="270"/>
      <c r="BP73" s="270"/>
      <c r="BQ73" s="270"/>
      <c r="BR73" s="270"/>
      <c r="BS73" s="270"/>
      <c r="BT73" s="270"/>
      <c r="BU73" s="270"/>
      <c r="BV73" s="270"/>
      <c r="BW73" s="270"/>
      <c r="BX73" s="270"/>
      <c r="BY73" s="270"/>
      <c r="BZ73" s="270"/>
      <c r="CA73" s="270"/>
      <c r="CB73" s="270"/>
      <c r="CC73" s="270"/>
      <c r="CD73" s="270"/>
      <c r="CE73" s="270"/>
      <c r="CF73" s="270"/>
      <c r="CG73" s="270"/>
      <c r="CH73" s="270"/>
      <c r="CI73" s="270"/>
      <c r="CJ73" s="270"/>
      <c r="CK73" s="270"/>
      <c r="CL73" s="270"/>
      <c r="CM73" s="270"/>
      <c r="CN73" s="270"/>
      <c r="CO73" s="270"/>
      <c r="CP73" s="270"/>
      <c r="CQ73" s="270"/>
      <c r="CR73" s="270"/>
      <c r="CS73" s="270"/>
      <c r="CT73" s="270"/>
      <c r="CU73" s="270"/>
      <c r="CV73" s="270"/>
      <c r="CW73" s="270"/>
      <c r="CX73" s="270"/>
      <c r="CY73" s="270"/>
      <c r="CZ73" s="270"/>
      <c r="DA73" s="270"/>
      <c r="DB73" s="46"/>
    </row>
    <row r="74" spans="2:106" ht="9" customHeight="1">
      <c r="B74" s="45"/>
      <c r="C74" s="57"/>
      <c r="D74" s="270" t="s">
        <v>147</v>
      </c>
      <c r="E74" s="270"/>
      <c r="F74" s="270"/>
      <c r="G74" s="270"/>
      <c r="H74" s="270"/>
      <c r="I74" s="270"/>
      <c r="J74" s="270"/>
      <c r="K74" s="270"/>
      <c r="L74" s="270"/>
      <c r="M74" s="270"/>
      <c r="N74" s="270"/>
      <c r="O74" s="270"/>
      <c r="P74" s="270"/>
      <c r="Q74" s="270"/>
      <c r="R74" s="270"/>
      <c r="S74" s="270"/>
      <c r="T74" s="270"/>
      <c r="U74" s="270"/>
      <c r="V74" s="270"/>
      <c r="W74" s="270"/>
      <c r="X74" s="270"/>
      <c r="Y74" s="270"/>
      <c r="Z74" s="270"/>
      <c r="AA74" s="270"/>
      <c r="AB74" s="270"/>
      <c r="AC74" s="270"/>
      <c r="AD74" s="270"/>
      <c r="AE74" s="270"/>
      <c r="AF74" s="270"/>
      <c r="AG74" s="270"/>
      <c r="AH74" s="270"/>
      <c r="AI74" s="270"/>
      <c r="AJ74" s="270"/>
      <c r="AK74" s="270"/>
      <c r="AL74" s="270"/>
      <c r="AM74" s="270"/>
      <c r="AN74" s="270"/>
      <c r="AO74" s="270"/>
      <c r="AP74" s="270"/>
      <c r="AQ74" s="270"/>
      <c r="AR74" s="270"/>
      <c r="AS74" s="270"/>
      <c r="AT74" s="270"/>
      <c r="AU74" s="270"/>
      <c r="AV74" s="270"/>
      <c r="AW74" s="270"/>
      <c r="AX74" s="270"/>
      <c r="AY74" s="270"/>
      <c r="AZ74" s="270"/>
      <c r="BA74" s="270"/>
      <c r="BB74" s="270"/>
      <c r="BC74" s="270"/>
      <c r="BD74" s="270"/>
      <c r="BE74" s="270"/>
      <c r="BF74" s="270"/>
      <c r="BG74" s="270"/>
      <c r="BH74" s="270"/>
      <c r="BI74" s="270"/>
      <c r="BJ74" s="270"/>
      <c r="BK74" s="270"/>
      <c r="BL74" s="270"/>
      <c r="BM74" s="270"/>
      <c r="BN74" s="270"/>
      <c r="BO74" s="270"/>
      <c r="BP74" s="270"/>
      <c r="BQ74" s="270"/>
      <c r="BR74" s="270"/>
      <c r="BS74" s="270"/>
      <c r="BT74" s="270"/>
      <c r="BU74" s="270"/>
      <c r="BV74" s="270"/>
      <c r="BW74" s="270"/>
      <c r="BX74" s="270"/>
      <c r="BY74" s="270"/>
      <c r="BZ74" s="270"/>
      <c r="CA74" s="270"/>
      <c r="CB74" s="270"/>
      <c r="CC74" s="270"/>
      <c r="CD74" s="270"/>
      <c r="CE74" s="270"/>
      <c r="CF74" s="270"/>
      <c r="CG74" s="270"/>
      <c r="CH74" s="270"/>
      <c r="CI74" s="270"/>
      <c r="CJ74" s="270"/>
      <c r="CK74" s="270"/>
      <c r="CL74" s="270"/>
      <c r="CM74" s="270"/>
      <c r="CN74" s="270"/>
      <c r="CO74" s="270"/>
      <c r="CP74" s="270"/>
      <c r="CQ74" s="270"/>
      <c r="CR74" s="270"/>
      <c r="CS74" s="270"/>
      <c r="CT74" s="270"/>
      <c r="CU74" s="270"/>
      <c r="CV74" s="270"/>
      <c r="CW74" s="270"/>
      <c r="CX74" s="270"/>
      <c r="CY74" s="270"/>
      <c r="CZ74" s="270"/>
      <c r="DA74" s="270"/>
      <c r="DB74" s="46"/>
    </row>
    <row r="75" spans="2:106" ht="9" customHeight="1">
      <c r="B75" s="59"/>
      <c r="C75" s="60"/>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2"/>
    </row>
    <row r="76" spans="2:106" ht="12.75" customHeight="1">
      <c r="C76" s="57"/>
      <c r="D76" s="270"/>
      <c r="E76" s="270"/>
      <c r="F76" s="270"/>
      <c r="G76" s="270"/>
      <c r="H76" s="270"/>
      <c r="I76" s="270"/>
      <c r="J76" s="270"/>
      <c r="K76" s="270"/>
      <c r="L76" s="270"/>
      <c r="M76" s="270"/>
      <c r="N76" s="270"/>
      <c r="O76" s="270"/>
      <c r="P76" s="270"/>
      <c r="Q76" s="270"/>
      <c r="R76" s="270"/>
      <c r="S76" s="270"/>
      <c r="T76" s="270"/>
      <c r="U76" s="270"/>
      <c r="V76" s="270"/>
      <c r="W76" s="270"/>
      <c r="X76" s="270"/>
      <c r="Y76" s="270"/>
      <c r="Z76" s="270"/>
      <c r="AA76" s="270"/>
      <c r="AB76" s="270"/>
      <c r="AC76" s="270"/>
      <c r="AD76" s="270"/>
      <c r="AE76" s="270"/>
      <c r="AF76" s="270"/>
      <c r="AG76" s="270"/>
      <c r="AH76" s="270"/>
      <c r="AI76" s="270"/>
      <c r="AJ76" s="270"/>
      <c r="AK76" s="270"/>
      <c r="AL76" s="270"/>
      <c r="AM76" s="270"/>
      <c r="AN76" s="270"/>
      <c r="AO76" s="270"/>
      <c r="AP76" s="270"/>
      <c r="AQ76" s="270"/>
      <c r="AR76" s="270"/>
      <c r="AS76" s="270"/>
      <c r="AT76" s="270"/>
      <c r="AU76" s="270"/>
      <c r="AV76" s="270"/>
      <c r="AW76" s="270"/>
      <c r="AX76" s="270"/>
      <c r="AY76" s="270"/>
      <c r="AZ76" s="270"/>
      <c r="BA76" s="270"/>
      <c r="BB76" s="270"/>
      <c r="BC76" s="270"/>
      <c r="BD76" s="270"/>
      <c r="BE76" s="270"/>
      <c r="BF76" s="270"/>
      <c r="BG76" s="270"/>
      <c r="BH76" s="270"/>
      <c r="BI76" s="270"/>
      <c r="BJ76" s="270"/>
      <c r="BK76" s="270"/>
      <c r="BL76" s="270"/>
      <c r="BM76" s="270"/>
      <c r="BN76" s="270"/>
      <c r="BO76" s="270"/>
      <c r="BP76" s="270"/>
      <c r="BQ76" s="270"/>
      <c r="BR76" s="270"/>
      <c r="BS76" s="270"/>
      <c r="BT76" s="270"/>
      <c r="BU76" s="270"/>
      <c r="BV76" s="270"/>
      <c r="BW76" s="270"/>
      <c r="BX76" s="270"/>
      <c r="BY76" s="270"/>
      <c r="BZ76" s="270"/>
      <c r="CA76" s="270"/>
      <c r="CB76" s="270"/>
      <c r="CC76" s="270"/>
      <c r="CD76" s="270"/>
      <c r="CE76" s="270"/>
      <c r="CF76" s="270"/>
      <c r="CG76" s="270"/>
      <c r="CH76" s="270"/>
      <c r="CI76" s="270"/>
      <c r="CJ76" s="270"/>
      <c r="CK76" s="270"/>
      <c r="CL76" s="270"/>
      <c r="CM76" s="270"/>
      <c r="CN76" s="270"/>
      <c r="CO76" s="270"/>
      <c r="CP76" s="270"/>
      <c r="CQ76" s="270"/>
      <c r="CR76" s="270"/>
      <c r="CS76" s="270"/>
      <c r="CT76" s="270"/>
      <c r="CU76" s="270"/>
      <c r="CV76" s="270"/>
      <c r="CW76" s="270"/>
      <c r="CX76" s="270"/>
      <c r="CY76" s="270"/>
      <c r="CZ76" s="270"/>
      <c r="DA76" s="270"/>
    </row>
    <row r="77" spans="2:106" ht="7.5" customHeight="1">
      <c r="D77" s="269" t="s">
        <v>87</v>
      </c>
      <c r="E77" s="269"/>
      <c r="F77" s="269"/>
      <c r="G77" s="269"/>
      <c r="H77" s="269"/>
      <c r="I77" s="269"/>
      <c r="J77" s="269"/>
      <c r="K77" s="269"/>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9"/>
      <c r="AR77" s="269"/>
      <c r="AS77" s="269"/>
      <c r="AT77" s="269"/>
      <c r="AU77" s="269"/>
      <c r="AV77" s="269"/>
      <c r="AW77" s="269"/>
      <c r="AX77" s="269"/>
      <c r="AY77" s="269"/>
      <c r="AZ77" s="269"/>
      <c r="BA77" s="269"/>
      <c r="BB77" s="269"/>
      <c r="BC77" s="269"/>
      <c r="BD77" s="269"/>
      <c r="BE77" s="269"/>
      <c r="BF77" s="269"/>
      <c r="BG77" s="269"/>
      <c r="BH77" s="269"/>
      <c r="BI77" s="269"/>
      <c r="BJ77" s="269"/>
      <c r="BK77" s="269"/>
      <c r="BL77" s="269"/>
      <c r="BM77" s="269"/>
      <c r="BN77" s="269"/>
      <c r="BO77" s="269"/>
      <c r="BP77" s="269"/>
      <c r="BQ77" s="269"/>
      <c r="BR77" s="269"/>
      <c r="BS77" s="269"/>
      <c r="BT77" s="269"/>
      <c r="BU77" s="269"/>
      <c r="BV77" s="269"/>
      <c r="BW77" s="269"/>
      <c r="BX77" s="269"/>
      <c r="BY77" s="269"/>
      <c r="BZ77" s="269"/>
      <c r="CA77" s="269"/>
      <c r="CB77" s="269"/>
      <c r="CC77" s="269"/>
      <c r="CD77" s="269"/>
      <c r="CE77" s="269"/>
      <c r="CF77" s="269"/>
      <c r="CG77" s="269"/>
      <c r="CH77" s="269"/>
      <c r="CI77" s="269"/>
      <c r="CJ77" s="269"/>
      <c r="CK77" s="269"/>
      <c r="CL77" s="269"/>
      <c r="CM77" s="269"/>
      <c r="CN77" s="269"/>
      <c r="CO77" s="269"/>
      <c r="CP77" s="269"/>
      <c r="CQ77" s="269"/>
      <c r="CR77" s="269"/>
      <c r="CS77" s="269"/>
      <c r="CT77" s="269"/>
      <c r="CU77" s="269"/>
      <c r="CV77" s="269"/>
      <c r="CW77" s="269"/>
      <c r="CX77" s="269"/>
      <c r="CY77" s="269"/>
      <c r="CZ77" s="269"/>
      <c r="DA77" s="49"/>
    </row>
    <row r="78" spans="2:106" ht="7.5" customHeight="1">
      <c r="D78" s="269" t="s">
        <v>88</v>
      </c>
      <c r="E78" s="269"/>
      <c r="F78" s="269"/>
      <c r="G78" s="269"/>
      <c r="H78" s="269"/>
      <c r="I78" s="269"/>
      <c r="J78" s="269"/>
      <c r="K78" s="269"/>
      <c r="L78" s="269"/>
      <c r="M78" s="269"/>
      <c r="N78" s="269"/>
      <c r="O78" s="269"/>
      <c r="P78" s="269"/>
      <c r="Q78" s="269"/>
      <c r="R78" s="269"/>
      <c r="S78" s="269"/>
      <c r="T78" s="269"/>
      <c r="U78" s="269"/>
      <c r="V78" s="269"/>
      <c r="W78" s="269"/>
      <c r="X78" s="269"/>
      <c r="Y78" s="269"/>
      <c r="Z78" s="269"/>
      <c r="AA78" s="269"/>
      <c r="AB78" s="269"/>
      <c r="AC78" s="269"/>
      <c r="AD78" s="269"/>
      <c r="AE78" s="269"/>
      <c r="AF78" s="269"/>
      <c r="AG78" s="269"/>
      <c r="AH78" s="269"/>
      <c r="AI78" s="269"/>
      <c r="AJ78" s="269"/>
      <c r="AK78" s="269"/>
      <c r="AL78" s="269"/>
      <c r="AM78" s="269"/>
      <c r="AN78" s="269"/>
      <c r="AO78" s="269"/>
      <c r="AP78" s="269"/>
      <c r="AQ78" s="269"/>
      <c r="AR78" s="269"/>
      <c r="AS78" s="269"/>
      <c r="AT78" s="269"/>
      <c r="AU78" s="269"/>
      <c r="AV78" s="269"/>
      <c r="AW78" s="269"/>
      <c r="AX78" s="269"/>
      <c r="AY78" s="269"/>
      <c r="AZ78" s="269"/>
      <c r="BA78" s="269"/>
      <c r="BB78" s="269"/>
      <c r="BC78" s="269"/>
      <c r="BD78" s="269"/>
      <c r="BE78" s="269"/>
      <c r="BF78" s="269"/>
      <c r="BG78" s="269"/>
      <c r="BH78" s="269"/>
      <c r="BI78" s="269"/>
      <c r="BJ78" s="269"/>
      <c r="BK78" s="269"/>
      <c r="BL78" s="269"/>
      <c r="BM78" s="269"/>
      <c r="BN78" s="269"/>
      <c r="BO78" s="269"/>
      <c r="BP78" s="269"/>
      <c r="BQ78" s="269"/>
      <c r="BR78" s="269"/>
      <c r="BS78" s="269"/>
      <c r="BT78" s="269"/>
      <c r="BU78" s="269"/>
      <c r="BV78" s="269"/>
      <c r="BW78" s="269"/>
      <c r="BX78" s="269"/>
      <c r="BY78" s="269"/>
      <c r="BZ78" s="269"/>
      <c r="CA78" s="269"/>
      <c r="CB78" s="269"/>
      <c r="CC78" s="269"/>
      <c r="CD78" s="269"/>
      <c r="CE78" s="269"/>
      <c r="CF78" s="269"/>
      <c r="CG78" s="269"/>
      <c r="CH78" s="269"/>
      <c r="CI78" s="269"/>
      <c r="CJ78" s="269"/>
      <c r="CK78" s="269"/>
      <c r="CL78" s="269"/>
      <c r="CM78" s="269"/>
      <c r="CN78" s="269"/>
      <c r="CO78" s="269"/>
      <c r="CP78" s="269"/>
      <c r="CQ78" s="269"/>
      <c r="CR78" s="269"/>
      <c r="CS78" s="269"/>
      <c r="CT78" s="269"/>
      <c r="CU78" s="269"/>
      <c r="CV78" s="269"/>
      <c r="CW78" s="269"/>
      <c r="CX78" s="269"/>
      <c r="CY78" s="269"/>
      <c r="CZ78" s="269"/>
      <c r="DA78" s="49"/>
    </row>
    <row r="79" spans="2:106" ht="7.5" customHeight="1">
      <c r="D79" s="269" t="s">
        <v>89</v>
      </c>
      <c r="E79" s="269"/>
      <c r="F79" s="269"/>
      <c r="G79" s="269"/>
      <c r="H79" s="269"/>
      <c r="I79" s="269"/>
      <c r="J79" s="269"/>
      <c r="K79" s="269"/>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c r="AS79" s="269"/>
      <c r="AT79" s="269"/>
      <c r="AU79" s="269"/>
      <c r="AV79" s="269"/>
      <c r="AW79" s="269"/>
      <c r="AX79" s="269"/>
      <c r="AY79" s="269"/>
      <c r="AZ79" s="269"/>
      <c r="BA79" s="269"/>
      <c r="BB79" s="269"/>
      <c r="BC79" s="269"/>
      <c r="BD79" s="269"/>
      <c r="BE79" s="269"/>
      <c r="BF79" s="269"/>
      <c r="BG79" s="269"/>
      <c r="BH79" s="269"/>
      <c r="BI79" s="269"/>
      <c r="BJ79" s="269"/>
      <c r="BK79" s="269"/>
      <c r="BL79" s="269"/>
      <c r="BM79" s="269"/>
      <c r="BN79" s="269"/>
      <c r="BO79" s="269"/>
      <c r="BP79" s="269"/>
      <c r="BQ79" s="269"/>
      <c r="BR79" s="269"/>
      <c r="BS79" s="269"/>
      <c r="BT79" s="269"/>
      <c r="BU79" s="269"/>
      <c r="BV79" s="269"/>
      <c r="BW79" s="269"/>
      <c r="BX79" s="269"/>
      <c r="BY79" s="269"/>
      <c r="BZ79" s="269"/>
      <c r="CA79" s="269"/>
      <c r="CB79" s="269"/>
      <c r="CC79" s="269"/>
      <c r="CD79" s="269"/>
      <c r="CE79" s="269"/>
      <c r="CF79" s="269"/>
      <c r="CG79" s="269"/>
      <c r="CH79" s="269"/>
      <c r="CI79" s="269"/>
      <c r="CJ79" s="269"/>
      <c r="CK79" s="269"/>
      <c r="CL79" s="269"/>
      <c r="CM79" s="269"/>
      <c r="CN79" s="269"/>
      <c r="CO79" s="269"/>
      <c r="CP79" s="269"/>
      <c r="CQ79" s="269"/>
      <c r="CR79" s="269"/>
      <c r="CS79" s="269"/>
      <c r="CT79" s="269"/>
      <c r="CU79" s="269"/>
      <c r="CV79" s="269"/>
      <c r="CW79" s="269"/>
      <c r="CX79" s="269"/>
      <c r="CY79" s="269"/>
      <c r="CZ79" s="269"/>
      <c r="DA79" s="49"/>
    </row>
    <row r="80" spans="2:106" ht="7.5" customHeight="1">
      <c r="D80" s="269" t="s">
        <v>90</v>
      </c>
      <c r="E80" s="269"/>
      <c r="F80" s="269"/>
      <c r="G80" s="269"/>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269"/>
      <c r="BK80" s="269"/>
      <c r="BL80" s="269"/>
      <c r="BM80" s="269"/>
      <c r="BN80" s="269"/>
      <c r="BO80" s="269"/>
      <c r="BP80" s="269"/>
      <c r="BQ80" s="269"/>
      <c r="BR80" s="269"/>
      <c r="BS80" s="269"/>
      <c r="BT80" s="269"/>
      <c r="BU80" s="269"/>
      <c r="BV80" s="269"/>
      <c r="BW80" s="269"/>
      <c r="BX80" s="269"/>
      <c r="BY80" s="269"/>
      <c r="BZ80" s="269"/>
      <c r="CA80" s="269"/>
      <c r="CB80" s="269"/>
      <c r="CC80" s="269"/>
      <c r="CD80" s="269"/>
      <c r="CE80" s="269"/>
      <c r="CF80" s="269"/>
      <c r="CG80" s="269"/>
      <c r="CH80" s="269"/>
      <c r="CI80" s="269"/>
      <c r="CJ80" s="269"/>
      <c r="CK80" s="269"/>
      <c r="CL80" s="269"/>
      <c r="CM80" s="269"/>
      <c r="CN80" s="269"/>
      <c r="CO80" s="269"/>
      <c r="CP80" s="269"/>
      <c r="CQ80" s="269"/>
      <c r="CR80" s="269"/>
      <c r="CS80" s="269"/>
      <c r="CT80" s="269"/>
      <c r="CU80" s="269"/>
      <c r="CV80" s="269"/>
      <c r="CW80" s="269"/>
      <c r="CX80" s="269"/>
      <c r="CY80" s="269"/>
      <c r="CZ80" s="269"/>
      <c r="DA80" s="49"/>
    </row>
  </sheetData>
  <sheetProtection sheet="1" objects="1" scenarios="1" formatCells="0"/>
  <mergeCells count="96">
    <mergeCell ref="C1:DA1"/>
    <mergeCell ref="B2:DB2"/>
    <mergeCell ref="B3:DB3"/>
    <mergeCell ref="B4:DB4"/>
    <mergeCell ref="B5:DB5"/>
    <mergeCell ref="C6:DA6"/>
    <mergeCell ref="C7:N7"/>
    <mergeCell ref="O7:BQ7"/>
    <mergeCell ref="BR7:CD7"/>
    <mergeCell ref="CE7:DA7"/>
    <mergeCell ref="C8:DA8"/>
    <mergeCell ref="D9:CZ9"/>
    <mergeCell ref="C10:DA10"/>
    <mergeCell ref="C11:CJ11"/>
    <mergeCell ref="CK11:DA11"/>
    <mergeCell ref="C12:CJ12"/>
    <mergeCell ref="CK12:DA12"/>
    <mergeCell ref="C13:CJ13"/>
    <mergeCell ref="CK13:DA13"/>
    <mergeCell ref="C14:CJ14"/>
    <mergeCell ref="CK14:DA14"/>
    <mergeCell ref="D15:CZ15"/>
    <mergeCell ref="C16:DA16"/>
    <mergeCell ref="C17:DA17"/>
    <mergeCell ref="C18:CJ18"/>
    <mergeCell ref="CK18:DA18"/>
    <mergeCell ref="C19:CJ19"/>
    <mergeCell ref="CK19:DA19"/>
    <mergeCell ref="C20:CJ20"/>
    <mergeCell ref="CK20:DA20"/>
    <mergeCell ref="C21:CJ21"/>
    <mergeCell ref="CK21:DA21"/>
    <mergeCell ref="CK22:DA22"/>
    <mergeCell ref="C23:CJ23"/>
    <mergeCell ref="CK23:DA23"/>
    <mergeCell ref="C25:CJ25"/>
    <mergeCell ref="CK25:DA25"/>
    <mergeCell ref="C22:U22"/>
    <mergeCell ref="V22:AH22"/>
    <mergeCell ref="AI22:AW22"/>
    <mergeCell ref="AX22:BQ22"/>
    <mergeCell ref="BR22:CH22"/>
    <mergeCell ref="D26:CZ26"/>
    <mergeCell ref="C27:DA27"/>
    <mergeCell ref="C28:DA28"/>
    <mergeCell ref="C29:DA29"/>
    <mergeCell ref="C30:DA30"/>
    <mergeCell ref="C31:DA31"/>
    <mergeCell ref="C32:DA32"/>
    <mergeCell ref="D33:DA33"/>
    <mergeCell ref="D34:DA34"/>
    <mergeCell ref="D35:DA35"/>
    <mergeCell ref="C36:DA36"/>
    <mergeCell ref="D37:DA37"/>
    <mergeCell ref="D38:DA38"/>
    <mergeCell ref="D39:DA39"/>
    <mergeCell ref="C40:DA40"/>
    <mergeCell ref="D41:DA41"/>
    <mergeCell ref="C42:DA42"/>
    <mergeCell ref="D43:DA43"/>
    <mergeCell ref="D44:DA44"/>
    <mergeCell ref="D45:DA45"/>
    <mergeCell ref="D46:DA46"/>
    <mergeCell ref="C47:DA47"/>
    <mergeCell ref="C48:DA48"/>
    <mergeCell ref="C49:DA49"/>
    <mergeCell ref="C50:DA50"/>
    <mergeCell ref="C51:DA51"/>
    <mergeCell ref="C52:DA52"/>
    <mergeCell ref="C53:DA53"/>
    <mergeCell ref="C54:DA54"/>
    <mergeCell ref="C55:DA55"/>
    <mergeCell ref="C56:DA56"/>
    <mergeCell ref="C57:DA57"/>
    <mergeCell ref="C58:DA58"/>
    <mergeCell ref="C59:DA59"/>
    <mergeCell ref="C60:DA60"/>
    <mergeCell ref="C61:DA61"/>
    <mergeCell ref="C62:DA62"/>
    <mergeCell ref="C63:DA63"/>
    <mergeCell ref="C64:DA64"/>
    <mergeCell ref="C65:DA65"/>
    <mergeCell ref="C66:DA66"/>
    <mergeCell ref="C67:DA67"/>
    <mergeCell ref="D68:DA68"/>
    <mergeCell ref="D69:DA69"/>
    <mergeCell ref="D70:DA70"/>
    <mergeCell ref="D77:CZ77"/>
    <mergeCell ref="D78:CZ78"/>
    <mergeCell ref="D79:CZ79"/>
    <mergeCell ref="D80:CZ80"/>
    <mergeCell ref="D71:DA71"/>
    <mergeCell ref="D72:DA72"/>
    <mergeCell ref="D73:DA73"/>
    <mergeCell ref="D74:DA74"/>
    <mergeCell ref="D76:DA76"/>
  </mergeCells>
  <conditionalFormatting sqref="C29:S29">
    <cfRule type="expression" dxfId="4" priority="6">
      <formula>CK25&lt;20%</formula>
    </cfRule>
  </conditionalFormatting>
  <conditionalFormatting sqref="T29 V29:Y29 AA29:DA29">
    <cfRule type="expression" dxfId="3" priority="5">
      <formula>#REF!&lt;20%</formula>
    </cfRule>
  </conditionalFormatting>
  <conditionalFormatting sqref="U29">
    <cfRule type="expression" dxfId="2" priority="2">
      <formula>DB25&lt;20%</formula>
    </cfRule>
  </conditionalFormatting>
  <conditionalFormatting sqref="Z29">
    <cfRule type="expression" dxfId="1" priority="4">
      <formula>DC25&lt;20%</formula>
    </cfRule>
  </conditionalFormatting>
  <conditionalFormatting sqref="CK25">
    <cfRule type="expression" dxfId="0" priority="3">
      <formula>AND((((#REF!-#REF!)/#REF!)*100)&gt;25,#REF!&lt;#REF!)</formula>
    </cfRule>
  </conditionalFormatting>
  <printOptions horizontalCentered="1"/>
  <pageMargins left="0.5" right="0.5" top="0.75" bottom="1" header="0.511811023622047" footer="0.5"/>
  <pageSetup paperSize="5" orientation="portrait" horizontalDpi="300" verticalDpi="300"/>
  <headerFooter>
    <oddFooter>&amp;L&amp;"Arial,Regular"Income Calculations - Back to Work&amp;C&amp;"Arial,Regular"Page &amp;P of &amp;N&amp;R&amp;"Arial,Regular"12/06/2016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3D69B"/>
  </sheetPr>
  <dimension ref="A1:BN1267"/>
  <sheetViews>
    <sheetView topLeftCell="A1045" zoomScale="170" zoomScaleNormal="170" workbookViewId="0">
      <selection activeCell="C1072" sqref="C1072"/>
    </sheetView>
  </sheetViews>
  <sheetFormatPr defaultColWidth="9.28515625" defaultRowHeight="12.75"/>
  <cols>
    <col min="1" max="16" width="12.7109375" style="63" customWidth="1"/>
    <col min="17" max="16384" width="9.28515625" style="63"/>
  </cols>
  <sheetData>
    <row r="1" spans="1:13" ht="18" customHeight="1">
      <c r="A1" s="326" t="s">
        <v>148</v>
      </c>
      <c r="B1" s="326"/>
      <c r="C1" s="326"/>
      <c r="D1" s="326"/>
      <c r="E1" s="326"/>
      <c r="F1" s="326"/>
      <c r="G1" s="326"/>
      <c r="H1" s="326"/>
      <c r="I1" s="326"/>
      <c r="J1" s="326"/>
      <c r="K1" s="326"/>
      <c r="L1" s="326"/>
      <c r="M1" s="326"/>
    </row>
    <row r="2" spans="1:13">
      <c r="C2" s="42"/>
    </row>
    <row r="3" spans="1:13" ht="15.75" customHeight="1">
      <c r="A3" s="325" t="s">
        <v>149</v>
      </c>
      <c r="B3" s="325"/>
      <c r="C3" s="325"/>
      <c r="D3" s="325"/>
      <c r="E3" s="325"/>
      <c r="F3" s="325"/>
      <c r="G3" s="325"/>
      <c r="H3" s="325"/>
      <c r="I3" s="325"/>
      <c r="J3" s="325"/>
      <c r="K3" s="325"/>
      <c r="L3" s="325"/>
      <c r="M3" s="325"/>
    </row>
    <row r="5" spans="1:13">
      <c r="A5" s="64" t="s">
        <v>150</v>
      </c>
      <c r="B5" s="64">
        <f ca="1">TODAY()</f>
        <v>46099</v>
      </c>
    </row>
    <row r="6" spans="1:13">
      <c r="A6" s="65" t="s">
        <v>151</v>
      </c>
      <c r="B6" s="63">
        <f ca="1">MONTH(TODAY())</f>
        <v>3</v>
      </c>
    </row>
    <row r="7" spans="1:13">
      <c r="A7" s="65" t="s">
        <v>152</v>
      </c>
      <c r="B7" s="63">
        <f ca="1">DAY(B5)</f>
        <v>18</v>
      </c>
    </row>
    <row r="8" spans="1:13">
      <c r="A8" s="65" t="s">
        <v>153</v>
      </c>
      <c r="B8" s="63">
        <f ca="1">YEAR(B5)</f>
        <v>2026</v>
      </c>
    </row>
    <row r="9" spans="1:13">
      <c r="A9" s="65" t="s">
        <v>154</v>
      </c>
      <c r="B9" s="63" t="e">
        <f ca="1">IF(#REF!="",YEAR(TODAY()),YEAR(#REF!))</f>
        <v>#REF!</v>
      </c>
    </row>
    <row r="10" spans="1:13">
      <c r="A10" s="65" t="s">
        <v>155</v>
      </c>
      <c r="B10" s="63">
        <f ca="1">YEAR(TODAY())-1</f>
        <v>2025</v>
      </c>
    </row>
    <row r="11" spans="1:13">
      <c r="A11" s="65" t="s">
        <v>156</v>
      </c>
      <c r="B11" s="63">
        <f ca="1">YEAR(TODAY())-2</f>
        <v>2024</v>
      </c>
    </row>
    <row r="12" spans="1:13">
      <c r="A12" s="65" t="s">
        <v>157</v>
      </c>
      <c r="B12" s="66" t="e">
        <f>#REF!</f>
        <v>#REF!</v>
      </c>
    </row>
    <row r="13" spans="1:13">
      <c r="A13" s="65" t="s">
        <v>158</v>
      </c>
      <c r="B13" s="66" t="e">
        <f>DATE(YEAR(B12),1,1)</f>
        <v>#REF!</v>
      </c>
      <c r="C13" s="67" t="s">
        <v>159</v>
      </c>
    </row>
    <row r="14" spans="1:13">
      <c r="A14" s="65" t="s">
        <v>160</v>
      </c>
      <c r="B14" s="66">
        <f ca="1">DATE((YEAR(TODAY())-1),1,1)</f>
        <v>45658</v>
      </c>
      <c r="C14" s="67" t="s">
        <v>161</v>
      </c>
    </row>
    <row r="15" spans="1:13">
      <c r="A15" s="65" t="s">
        <v>162</v>
      </c>
      <c r="B15" s="66">
        <f ca="1">DATE((YEAR(TODAY())-1),12,31)</f>
        <v>46022</v>
      </c>
      <c r="C15" s="67" t="s">
        <v>163</v>
      </c>
    </row>
    <row r="16" spans="1:13">
      <c r="A16" s="65" t="s">
        <v>164</v>
      </c>
      <c r="B16" s="66">
        <f ca="1">DATE((YEAR(TODAY())-2),1,1)</f>
        <v>45292</v>
      </c>
      <c r="C16" s="67" t="s">
        <v>165</v>
      </c>
    </row>
    <row r="17" spans="1:13">
      <c r="A17" s="65" t="s">
        <v>166</v>
      </c>
      <c r="B17" s="66">
        <f ca="1">DATE((YEAR(TODAY())-2),12,31)</f>
        <v>45657</v>
      </c>
      <c r="C17" s="67" t="s">
        <v>167</v>
      </c>
    </row>
    <row r="18" spans="1:13">
      <c r="B18" s="66"/>
      <c r="C18" s="67"/>
    </row>
    <row r="19" spans="1:13" ht="15">
      <c r="A19" s="325" t="s">
        <v>168</v>
      </c>
      <c r="B19" s="325"/>
      <c r="C19" s="325"/>
      <c r="D19" s="325"/>
      <c r="E19" s="325"/>
      <c r="F19" s="325"/>
      <c r="G19" s="325"/>
      <c r="H19" s="325"/>
      <c r="I19" s="325"/>
      <c r="J19" s="325"/>
      <c r="K19" s="325"/>
      <c r="L19" s="325"/>
      <c r="M19" s="325"/>
    </row>
    <row r="21" spans="1:13">
      <c r="A21" s="68" t="s">
        <v>74</v>
      </c>
      <c r="B21" s="68" t="s">
        <v>169</v>
      </c>
      <c r="C21" s="68" t="s">
        <v>170</v>
      </c>
    </row>
    <row r="22" spans="1:13">
      <c r="A22" s="327">
        <v>0</v>
      </c>
      <c r="B22" s="69">
        <v>6.2E-2</v>
      </c>
      <c r="C22" s="70">
        <f>A22*B22</f>
        <v>0</v>
      </c>
    </row>
    <row r="23" spans="1:13">
      <c r="A23" s="327"/>
      <c r="B23" s="71">
        <v>1.4500000000000001E-2</v>
      </c>
      <c r="C23" s="72">
        <f>A22*B23</f>
        <v>0</v>
      </c>
    </row>
    <row r="24" spans="1:13">
      <c r="B24" s="66"/>
      <c r="C24" s="67"/>
    </row>
    <row r="25" spans="1:13" ht="15">
      <c r="A25" s="325" t="s">
        <v>171</v>
      </c>
      <c r="B25" s="325"/>
      <c r="C25" s="325"/>
      <c r="D25" s="325"/>
      <c r="E25" s="325"/>
      <c r="F25" s="325"/>
      <c r="G25" s="325"/>
      <c r="H25" s="325"/>
      <c r="I25" s="325"/>
      <c r="J25" s="325"/>
      <c r="K25" s="325"/>
      <c r="L25" s="325"/>
      <c r="M25" s="325"/>
    </row>
    <row r="26" spans="1:13">
      <c r="B26" s="66"/>
      <c r="C26" s="67"/>
    </row>
    <row r="27" spans="1:13">
      <c r="A27" s="73" t="s">
        <v>172</v>
      </c>
      <c r="C27" s="66" t="s">
        <v>173</v>
      </c>
    </row>
    <row r="28" spans="1:13">
      <c r="A28" s="74" t="s">
        <v>174</v>
      </c>
      <c r="C28" s="42">
        <v>2014</v>
      </c>
    </row>
    <row r="29" spans="1:13">
      <c r="A29" s="74" t="s">
        <v>175</v>
      </c>
      <c r="C29" s="42">
        <v>2015</v>
      </c>
    </row>
    <row r="30" spans="1:13">
      <c r="A30" s="74" t="s">
        <v>175</v>
      </c>
      <c r="C30" s="42">
        <v>2016</v>
      </c>
    </row>
    <row r="31" spans="1:13">
      <c r="A31" s="74" t="s">
        <v>175</v>
      </c>
      <c r="C31" s="42">
        <v>2017</v>
      </c>
    </row>
    <row r="32" spans="1:13">
      <c r="A32" s="75" t="s">
        <v>176</v>
      </c>
      <c r="C32" s="42">
        <v>2018</v>
      </c>
    </row>
    <row r="33" spans="1:13">
      <c r="B33" s="76"/>
      <c r="C33" s="67"/>
    </row>
    <row r="34" spans="1:13" ht="15">
      <c r="A34" s="325" t="s">
        <v>177</v>
      </c>
      <c r="B34" s="325"/>
      <c r="C34" s="325"/>
      <c r="D34" s="325"/>
      <c r="E34" s="325"/>
      <c r="F34" s="325"/>
      <c r="G34" s="325"/>
      <c r="H34" s="325"/>
      <c r="I34" s="325"/>
      <c r="J34" s="325"/>
      <c r="K34" s="325"/>
      <c r="L34" s="325"/>
      <c r="M34" s="325"/>
    </row>
    <row r="35" spans="1:13">
      <c r="B35" s="76"/>
      <c r="C35" s="67"/>
    </row>
    <row r="36" spans="1:13">
      <c r="C36" s="77" t="s">
        <v>91</v>
      </c>
      <c r="D36" s="77" t="s">
        <v>178</v>
      </c>
    </row>
    <row r="37" spans="1:13">
      <c r="A37" s="73" t="s">
        <v>172</v>
      </c>
      <c r="C37" s="77">
        <v>2013</v>
      </c>
      <c r="D37" s="77">
        <v>0.23</v>
      </c>
    </row>
    <row r="38" spans="1:13">
      <c r="A38" s="77" t="s">
        <v>179</v>
      </c>
      <c r="C38" s="77">
        <v>2014</v>
      </c>
      <c r="D38" s="77">
        <v>0.22</v>
      </c>
    </row>
    <row r="39" spans="1:13">
      <c r="A39" s="77" t="s">
        <v>82</v>
      </c>
      <c r="C39" s="77">
        <v>2015</v>
      </c>
      <c r="D39" s="77">
        <v>0.24</v>
      </c>
    </row>
    <row r="40" spans="1:13">
      <c r="A40" s="77" t="s">
        <v>180</v>
      </c>
      <c r="C40" s="77">
        <v>2016</v>
      </c>
      <c r="D40" s="77">
        <v>0.24</v>
      </c>
    </row>
    <row r="41" spans="1:13">
      <c r="A41" s="77" t="s">
        <v>181</v>
      </c>
      <c r="C41" s="77">
        <v>2017</v>
      </c>
      <c r="D41" s="77">
        <v>0.24</v>
      </c>
    </row>
    <row r="42" spans="1:13">
      <c r="A42" s="75" t="s">
        <v>176</v>
      </c>
      <c r="C42" s="77">
        <v>2018</v>
      </c>
      <c r="D42" s="77">
        <v>0.24</v>
      </c>
    </row>
    <row r="43" spans="1:13">
      <c r="B43" s="66"/>
      <c r="C43" s="67"/>
    </row>
    <row r="44" spans="1:13" ht="15.75" customHeight="1">
      <c r="A44" s="325" t="s">
        <v>182</v>
      </c>
      <c r="B44" s="325"/>
      <c r="C44" s="325"/>
      <c r="D44" s="325"/>
      <c r="E44" s="325"/>
      <c r="F44" s="325"/>
      <c r="G44" s="325"/>
      <c r="H44" s="325"/>
      <c r="I44" s="325"/>
      <c r="J44" s="325"/>
      <c r="K44" s="325"/>
      <c r="L44" s="325"/>
      <c r="M44" s="325"/>
    </row>
    <row r="46" spans="1:13">
      <c r="D46" s="324" t="s">
        <v>183</v>
      </c>
      <c r="E46" s="324"/>
      <c r="F46" s="324"/>
    </row>
    <row r="47" spans="1:13">
      <c r="A47" s="79"/>
      <c r="B47" s="68" t="s">
        <v>72</v>
      </c>
      <c r="C47" s="80" t="s">
        <v>73</v>
      </c>
      <c r="D47" s="80" t="s">
        <v>184</v>
      </c>
      <c r="E47" s="80" t="s">
        <v>185</v>
      </c>
      <c r="F47" s="80" t="s">
        <v>186</v>
      </c>
      <c r="G47" s="80" t="s">
        <v>187</v>
      </c>
      <c r="K47" s="76"/>
    </row>
    <row r="48" spans="1:13">
      <c r="A48" s="81">
        <v>1</v>
      </c>
      <c r="B48" s="81"/>
      <c r="C48" s="82"/>
      <c r="D48" s="83"/>
      <c r="E48" s="84"/>
      <c r="F48" s="84"/>
      <c r="G48" s="82"/>
      <c r="M48" s="42"/>
    </row>
    <row r="49" spans="1:13">
      <c r="A49" s="83">
        <v>2</v>
      </c>
      <c r="B49" s="39" t="s">
        <v>93</v>
      </c>
      <c r="C49" s="50" t="s">
        <v>188</v>
      </c>
      <c r="D49" s="50" t="s">
        <v>189</v>
      </c>
      <c r="E49" s="83">
        <v>1</v>
      </c>
      <c r="F49" s="85">
        <v>2080</v>
      </c>
      <c r="G49" s="50" t="s">
        <v>190</v>
      </c>
      <c r="L49" s="42"/>
      <c r="M49" s="42"/>
    </row>
    <row r="50" spans="1:13">
      <c r="A50" s="83">
        <v>3</v>
      </c>
      <c r="B50" s="39" t="s">
        <v>75</v>
      </c>
      <c r="C50" s="50" t="s">
        <v>191</v>
      </c>
      <c r="D50" s="50" t="s">
        <v>192</v>
      </c>
      <c r="E50" s="83">
        <v>26</v>
      </c>
      <c r="F50" s="85">
        <v>80</v>
      </c>
      <c r="G50" s="50" t="s">
        <v>193</v>
      </c>
      <c r="L50" s="42"/>
      <c r="M50" s="42"/>
    </row>
    <row r="51" spans="1:13">
      <c r="A51" s="83">
        <v>4</v>
      </c>
      <c r="B51" s="39" t="s">
        <v>194</v>
      </c>
      <c r="C51" s="50" t="s">
        <v>192</v>
      </c>
      <c r="D51" s="50" t="s">
        <v>188</v>
      </c>
      <c r="E51" s="83">
        <v>2080</v>
      </c>
      <c r="F51" s="85">
        <v>1</v>
      </c>
      <c r="G51" s="50" t="s">
        <v>195</v>
      </c>
      <c r="L51" s="42"/>
      <c r="M51" s="42"/>
    </row>
    <row r="52" spans="1:13">
      <c r="A52" s="83">
        <v>5</v>
      </c>
      <c r="B52" s="39" t="s">
        <v>196</v>
      </c>
      <c r="C52" s="50" t="s">
        <v>197</v>
      </c>
      <c r="D52" s="50" t="s">
        <v>198</v>
      </c>
      <c r="E52" s="83">
        <v>12</v>
      </c>
      <c r="F52" s="85">
        <f>2080/12</f>
        <v>173.33333333333334</v>
      </c>
      <c r="G52" s="50" t="s">
        <v>199</v>
      </c>
      <c r="L52" s="42"/>
      <c r="M52" s="42"/>
    </row>
    <row r="53" spans="1:13">
      <c r="A53" s="83">
        <v>6</v>
      </c>
      <c r="B53" s="39" t="s">
        <v>200</v>
      </c>
      <c r="C53" s="50" t="s">
        <v>198</v>
      </c>
      <c r="D53" s="50" t="s">
        <v>201</v>
      </c>
      <c r="E53" s="83">
        <v>0</v>
      </c>
      <c r="F53" s="85">
        <v>0</v>
      </c>
      <c r="G53" s="50" t="s">
        <v>202</v>
      </c>
      <c r="L53" s="42"/>
      <c r="M53" s="42"/>
    </row>
    <row r="54" spans="1:13">
      <c r="A54" s="83">
        <v>7</v>
      </c>
      <c r="B54" s="39" t="s">
        <v>203</v>
      </c>
      <c r="C54" s="50" t="s">
        <v>189</v>
      </c>
      <c r="D54" s="50" t="s">
        <v>204</v>
      </c>
      <c r="E54" s="83">
        <v>0</v>
      </c>
      <c r="F54" s="85">
        <v>0</v>
      </c>
      <c r="G54" s="50" t="s">
        <v>205</v>
      </c>
      <c r="L54" s="42"/>
      <c r="M54" s="42"/>
    </row>
    <row r="55" spans="1:13">
      <c r="A55" s="83">
        <v>8</v>
      </c>
      <c r="B55" s="39" t="s">
        <v>206</v>
      </c>
      <c r="C55" s="50" t="s">
        <v>201</v>
      </c>
      <c r="D55" s="50" t="s">
        <v>197</v>
      </c>
      <c r="E55" s="83">
        <v>24</v>
      </c>
      <c r="F55" s="85">
        <f>2080/24</f>
        <v>86.666666666666671</v>
      </c>
      <c r="G55" s="50" t="s">
        <v>207</v>
      </c>
      <c r="L55" s="42"/>
      <c r="M55" s="42"/>
    </row>
    <row r="56" spans="1:13">
      <c r="A56" s="83">
        <v>9</v>
      </c>
      <c r="B56" s="39" t="s">
        <v>208</v>
      </c>
      <c r="C56" s="50" t="s">
        <v>204</v>
      </c>
      <c r="D56" s="50" t="s">
        <v>209</v>
      </c>
      <c r="E56" s="83">
        <v>0</v>
      </c>
      <c r="F56" s="85">
        <v>0</v>
      </c>
      <c r="G56" s="50" t="s">
        <v>210</v>
      </c>
      <c r="L56" s="42"/>
      <c r="M56" s="42"/>
    </row>
    <row r="57" spans="1:13">
      <c r="A57" s="83">
        <v>10</v>
      </c>
      <c r="B57" s="39" t="s">
        <v>211</v>
      </c>
      <c r="C57" s="50" t="s">
        <v>212</v>
      </c>
      <c r="D57" s="50" t="s">
        <v>191</v>
      </c>
      <c r="E57" s="83">
        <v>52</v>
      </c>
      <c r="F57" s="85">
        <v>40</v>
      </c>
      <c r="G57" s="50" t="s">
        <v>213</v>
      </c>
      <c r="L57" s="86"/>
      <c r="M57" s="86"/>
    </row>
    <row r="58" spans="1:13">
      <c r="A58" s="76"/>
      <c r="B58" s="76"/>
      <c r="C58" s="76"/>
      <c r="D58" s="76"/>
      <c r="E58" s="87"/>
      <c r="F58" s="87"/>
    </row>
    <row r="59" spans="1:13" ht="15">
      <c r="A59" s="325" t="s">
        <v>214</v>
      </c>
      <c r="B59" s="325"/>
      <c r="C59" s="325"/>
      <c r="D59" s="325"/>
      <c r="E59" s="325"/>
      <c r="F59" s="325"/>
      <c r="G59" s="325"/>
      <c r="H59" s="325"/>
      <c r="I59" s="325"/>
      <c r="J59" s="325"/>
      <c r="K59" s="325"/>
      <c r="L59" s="325"/>
      <c r="M59" s="325"/>
    </row>
    <row r="60" spans="1:13">
      <c r="A60" s="76"/>
      <c r="B60" s="76"/>
      <c r="C60" s="76"/>
      <c r="D60" s="76"/>
      <c r="E60" s="87"/>
      <c r="F60" s="87"/>
    </row>
    <row r="61" spans="1:13">
      <c r="B61" s="324" t="s">
        <v>215</v>
      </c>
      <c r="C61" s="324"/>
      <c r="D61" s="324"/>
      <c r="E61" s="324"/>
      <c r="F61" s="324"/>
      <c r="G61" s="324"/>
      <c r="H61" s="324"/>
      <c r="I61" s="88"/>
      <c r="J61" s="88"/>
    </row>
    <row r="62" spans="1:13">
      <c r="A62" s="89"/>
      <c r="B62" s="89">
        <v>2014</v>
      </c>
      <c r="C62" s="89">
        <f t="shared" ref="C62:H62" si="0">B62+1</f>
        <v>2015</v>
      </c>
      <c r="D62" s="89">
        <f t="shared" si="0"/>
        <v>2016</v>
      </c>
      <c r="E62" s="89">
        <f t="shared" si="0"/>
        <v>2017</v>
      </c>
      <c r="F62" s="89">
        <f t="shared" si="0"/>
        <v>2018</v>
      </c>
      <c r="G62" s="89">
        <f t="shared" si="0"/>
        <v>2019</v>
      </c>
      <c r="H62" s="89">
        <f t="shared" si="0"/>
        <v>2020</v>
      </c>
      <c r="I62" s="90"/>
      <c r="J62" s="90"/>
    </row>
    <row r="63" spans="1:13">
      <c r="A63" s="91">
        <v>1</v>
      </c>
      <c r="B63" s="91">
        <v>2</v>
      </c>
      <c r="C63" s="91">
        <v>3</v>
      </c>
      <c r="D63" s="91">
        <v>4</v>
      </c>
      <c r="E63" s="91">
        <v>5</v>
      </c>
      <c r="F63" s="91">
        <v>6</v>
      </c>
      <c r="G63" s="91">
        <v>7</v>
      </c>
      <c r="H63" s="91">
        <v>8</v>
      </c>
      <c r="I63" s="90"/>
      <c r="J63" s="90"/>
    </row>
    <row r="64" spans="1:13">
      <c r="A64" s="92">
        <v>1</v>
      </c>
      <c r="B64" s="93">
        <v>41636</v>
      </c>
      <c r="C64" s="93">
        <f t="shared" ref="C64:H64" si="1">B89+14</f>
        <v>42000</v>
      </c>
      <c r="D64" s="93">
        <f t="shared" si="1"/>
        <v>42364</v>
      </c>
      <c r="E64" s="93">
        <f t="shared" si="1"/>
        <v>42728</v>
      </c>
      <c r="F64" s="93">
        <f t="shared" si="1"/>
        <v>43092</v>
      </c>
      <c r="G64" s="93">
        <f t="shared" si="1"/>
        <v>43456</v>
      </c>
      <c r="H64" s="93">
        <f t="shared" si="1"/>
        <v>43820</v>
      </c>
      <c r="I64" s="94"/>
      <c r="J64" s="94"/>
    </row>
    <row r="65" spans="1:10">
      <c r="A65" s="92">
        <f t="shared" ref="A65:A89" si="2">A64+1</f>
        <v>2</v>
      </c>
      <c r="B65" s="93">
        <f t="shared" ref="B65:B89" si="3">B64+14</f>
        <v>41650</v>
      </c>
      <c r="C65" s="93">
        <f t="shared" ref="C65:C89" si="4">C64+14</f>
        <v>42014</v>
      </c>
      <c r="D65" s="93">
        <f t="shared" ref="D65:D89" si="5">D64+14</f>
        <v>42378</v>
      </c>
      <c r="E65" s="93">
        <f t="shared" ref="E65:E89" si="6">E64+14</f>
        <v>42742</v>
      </c>
      <c r="F65" s="93">
        <f t="shared" ref="F65:F89" si="7">F64+14</f>
        <v>43106</v>
      </c>
      <c r="G65" s="93">
        <f t="shared" ref="G65:G89" si="8">G64+14</f>
        <v>43470</v>
      </c>
      <c r="H65" s="93">
        <f t="shared" ref="H65:H89" si="9">H64+14</f>
        <v>43834</v>
      </c>
      <c r="I65" s="94"/>
      <c r="J65" s="94"/>
    </row>
    <row r="66" spans="1:10">
      <c r="A66" s="92">
        <f t="shared" si="2"/>
        <v>3</v>
      </c>
      <c r="B66" s="93">
        <f t="shared" si="3"/>
        <v>41664</v>
      </c>
      <c r="C66" s="93">
        <f t="shared" si="4"/>
        <v>42028</v>
      </c>
      <c r="D66" s="93">
        <f t="shared" si="5"/>
        <v>42392</v>
      </c>
      <c r="E66" s="93">
        <f t="shared" si="6"/>
        <v>42756</v>
      </c>
      <c r="F66" s="93">
        <f t="shared" si="7"/>
        <v>43120</v>
      </c>
      <c r="G66" s="93">
        <f t="shared" si="8"/>
        <v>43484</v>
      </c>
      <c r="H66" s="93">
        <f t="shared" si="9"/>
        <v>43848</v>
      </c>
      <c r="I66" s="94"/>
      <c r="J66" s="94"/>
    </row>
    <row r="67" spans="1:10">
      <c r="A67" s="92">
        <f t="shared" si="2"/>
        <v>4</v>
      </c>
      <c r="B67" s="93">
        <f t="shared" si="3"/>
        <v>41678</v>
      </c>
      <c r="C67" s="93">
        <f t="shared" si="4"/>
        <v>42042</v>
      </c>
      <c r="D67" s="93">
        <f t="shared" si="5"/>
        <v>42406</v>
      </c>
      <c r="E67" s="93">
        <f t="shared" si="6"/>
        <v>42770</v>
      </c>
      <c r="F67" s="93">
        <f t="shared" si="7"/>
        <v>43134</v>
      </c>
      <c r="G67" s="93">
        <f t="shared" si="8"/>
        <v>43498</v>
      </c>
      <c r="H67" s="93">
        <f t="shared" si="9"/>
        <v>43862</v>
      </c>
      <c r="I67" s="94"/>
      <c r="J67" s="94"/>
    </row>
    <row r="68" spans="1:10">
      <c r="A68" s="92">
        <f t="shared" si="2"/>
        <v>5</v>
      </c>
      <c r="B68" s="93">
        <f t="shared" si="3"/>
        <v>41692</v>
      </c>
      <c r="C68" s="93">
        <f t="shared" si="4"/>
        <v>42056</v>
      </c>
      <c r="D68" s="93">
        <f t="shared" si="5"/>
        <v>42420</v>
      </c>
      <c r="E68" s="93">
        <f t="shared" si="6"/>
        <v>42784</v>
      </c>
      <c r="F68" s="93">
        <f t="shared" si="7"/>
        <v>43148</v>
      </c>
      <c r="G68" s="93">
        <f t="shared" si="8"/>
        <v>43512</v>
      </c>
      <c r="H68" s="93">
        <f t="shared" si="9"/>
        <v>43876</v>
      </c>
      <c r="I68" s="94"/>
      <c r="J68" s="94"/>
    </row>
    <row r="69" spans="1:10">
      <c r="A69" s="92">
        <f t="shared" si="2"/>
        <v>6</v>
      </c>
      <c r="B69" s="93">
        <f t="shared" si="3"/>
        <v>41706</v>
      </c>
      <c r="C69" s="93">
        <f t="shared" si="4"/>
        <v>42070</v>
      </c>
      <c r="D69" s="93">
        <f t="shared" si="5"/>
        <v>42434</v>
      </c>
      <c r="E69" s="93">
        <f t="shared" si="6"/>
        <v>42798</v>
      </c>
      <c r="F69" s="93">
        <f t="shared" si="7"/>
        <v>43162</v>
      </c>
      <c r="G69" s="93">
        <f t="shared" si="8"/>
        <v>43526</v>
      </c>
      <c r="H69" s="93">
        <f t="shared" si="9"/>
        <v>43890</v>
      </c>
      <c r="I69" s="94"/>
      <c r="J69" s="94"/>
    </row>
    <row r="70" spans="1:10">
      <c r="A70" s="92">
        <f t="shared" si="2"/>
        <v>7</v>
      </c>
      <c r="B70" s="93">
        <f t="shared" si="3"/>
        <v>41720</v>
      </c>
      <c r="C70" s="93">
        <f t="shared" si="4"/>
        <v>42084</v>
      </c>
      <c r="D70" s="93">
        <f t="shared" si="5"/>
        <v>42448</v>
      </c>
      <c r="E70" s="93">
        <f t="shared" si="6"/>
        <v>42812</v>
      </c>
      <c r="F70" s="93">
        <f t="shared" si="7"/>
        <v>43176</v>
      </c>
      <c r="G70" s="93">
        <f t="shared" si="8"/>
        <v>43540</v>
      </c>
      <c r="H70" s="93">
        <f t="shared" si="9"/>
        <v>43904</v>
      </c>
      <c r="I70" s="94"/>
      <c r="J70" s="94"/>
    </row>
    <row r="71" spans="1:10">
      <c r="A71" s="92">
        <f t="shared" si="2"/>
        <v>8</v>
      </c>
      <c r="B71" s="93">
        <f t="shared" si="3"/>
        <v>41734</v>
      </c>
      <c r="C71" s="93">
        <f t="shared" si="4"/>
        <v>42098</v>
      </c>
      <c r="D71" s="93">
        <f t="shared" si="5"/>
        <v>42462</v>
      </c>
      <c r="E71" s="93">
        <f t="shared" si="6"/>
        <v>42826</v>
      </c>
      <c r="F71" s="93">
        <f t="shared" si="7"/>
        <v>43190</v>
      </c>
      <c r="G71" s="93">
        <f t="shared" si="8"/>
        <v>43554</v>
      </c>
      <c r="H71" s="93">
        <f t="shared" si="9"/>
        <v>43918</v>
      </c>
      <c r="I71" s="94"/>
      <c r="J71" s="94"/>
    </row>
    <row r="72" spans="1:10">
      <c r="A72" s="92">
        <f t="shared" si="2"/>
        <v>9</v>
      </c>
      <c r="B72" s="93">
        <f t="shared" si="3"/>
        <v>41748</v>
      </c>
      <c r="C72" s="93">
        <f t="shared" si="4"/>
        <v>42112</v>
      </c>
      <c r="D72" s="93">
        <f t="shared" si="5"/>
        <v>42476</v>
      </c>
      <c r="E72" s="93">
        <f t="shared" si="6"/>
        <v>42840</v>
      </c>
      <c r="F72" s="93">
        <f t="shared" si="7"/>
        <v>43204</v>
      </c>
      <c r="G72" s="93">
        <f t="shared" si="8"/>
        <v>43568</v>
      </c>
      <c r="H72" s="93">
        <f t="shared" si="9"/>
        <v>43932</v>
      </c>
      <c r="I72" s="94"/>
      <c r="J72" s="94"/>
    </row>
    <row r="73" spans="1:10">
      <c r="A73" s="92">
        <f t="shared" si="2"/>
        <v>10</v>
      </c>
      <c r="B73" s="93">
        <f t="shared" si="3"/>
        <v>41762</v>
      </c>
      <c r="C73" s="93">
        <f t="shared" si="4"/>
        <v>42126</v>
      </c>
      <c r="D73" s="93">
        <f t="shared" si="5"/>
        <v>42490</v>
      </c>
      <c r="E73" s="93">
        <f t="shared" si="6"/>
        <v>42854</v>
      </c>
      <c r="F73" s="93">
        <f t="shared" si="7"/>
        <v>43218</v>
      </c>
      <c r="G73" s="93">
        <f t="shared" si="8"/>
        <v>43582</v>
      </c>
      <c r="H73" s="93">
        <f t="shared" si="9"/>
        <v>43946</v>
      </c>
      <c r="I73" s="94"/>
      <c r="J73" s="94"/>
    </row>
    <row r="74" spans="1:10">
      <c r="A74" s="92">
        <f t="shared" si="2"/>
        <v>11</v>
      </c>
      <c r="B74" s="93">
        <f t="shared" si="3"/>
        <v>41776</v>
      </c>
      <c r="C74" s="93">
        <f t="shared" si="4"/>
        <v>42140</v>
      </c>
      <c r="D74" s="93">
        <f t="shared" si="5"/>
        <v>42504</v>
      </c>
      <c r="E74" s="93">
        <f t="shared" si="6"/>
        <v>42868</v>
      </c>
      <c r="F74" s="93">
        <f t="shared" si="7"/>
        <v>43232</v>
      </c>
      <c r="G74" s="93">
        <f t="shared" si="8"/>
        <v>43596</v>
      </c>
      <c r="H74" s="93">
        <f t="shared" si="9"/>
        <v>43960</v>
      </c>
      <c r="I74" s="94"/>
      <c r="J74" s="94"/>
    </row>
    <row r="75" spans="1:10">
      <c r="A75" s="92">
        <f t="shared" si="2"/>
        <v>12</v>
      </c>
      <c r="B75" s="93">
        <f t="shared" si="3"/>
        <v>41790</v>
      </c>
      <c r="C75" s="93">
        <f t="shared" si="4"/>
        <v>42154</v>
      </c>
      <c r="D75" s="93">
        <f t="shared" si="5"/>
        <v>42518</v>
      </c>
      <c r="E75" s="93">
        <f t="shared" si="6"/>
        <v>42882</v>
      </c>
      <c r="F75" s="93">
        <f t="shared" si="7"/>
        <v>43246</v>
      </c>
      <c r="G75" s="93">
        <f t="shared" si="8"/>
        <v>43610</v>
      </c>
      <c r="H75" s="93">
        <f t="shared" si="9"/>
        <v>43974</v>
      </c>
      <c r="I75" s="94"/>
      <c r="J75" s="94"/>
    </row>
    <row r="76" spans="1:10">
      <c r="A76" s="92">
        <f t="shared" si="2"/>
        <v>13</v>
      </c>
      <c r="B76" s="93">
        <f t="shared" si="3"/>
        <v>41804</v>
      </c>
      <c r="C76" s="93">
        <f t="shared" si="4"/>
        <v>42168</v>
      </c>
      <c r="D76" s="93">
        <f t="shared" si="5"/>
        <v>42532</v>
      </c>
      <c r="E76" s="93">
        <f t="shared" si="6"/>
        <v>42896</v>
      </c>
      <c r="F76" s="93">
        <f t="shared" si="7"/>
        <v>43260</v>
      </c>
      <c r="G76" s="93">
        <f t="shared" si="8"/>
        <v>43624</v>
      </c>
      <c r="H76" s="93">
        <f t="shared" si="9"/>
        <v>43988</v>
      </c>
      <c r="I76" s="94"/>
      <c r="J76" s="94"/>
    </row>
    <row r="77" spans="1:10">
      <c r="A77" s="92">
        <f t="shared" si="2"/>
        <v>14</v>
      </c>
      <c r="B77" s="93">
        <f t="shared" si="3"/>
        <v>41818</v>
      </c>
      <c r="C77" s="93">
        <f t="shared" si="4"/>
        <v>42182</v>
      </c>
      <c r="D77" s="93">
        <f t="shared" si="5"/>
        <v>42546</v>
      </c>
      <c r="E77" s="93">
        <f t="shared" si="6"/>
        <v>42910</v>
      </c>
      <c r="F77" s="93">
        <f t="shared" si="7"/>
        <v>43274</v>
      </c>
      <c r="G77" s="93">
        <f t="shared" si="8"/>
        <v>43638</v>
      </c>
      <c r="H77" s="93">
        <f t="shared" si="9"/>
        <v>44002</v>
      </c>
      <c r="I77" s="94"/>
      <c r="J77" s="94"/>
    </row>
    <row r="78" spans="1:10">
      <c r="A78" s="92">
        <f t="shared" si="2"/>
        <v>15</v>
      </c>
      <c r="B78" s="93">
        <f t="shared" si="3"/>
        <v>41832</v>
      </c>
      <c r="C78" s="93">
        <f t="shared" si="4"/>
        <v>42196</v>
      </c>
      <c r="D78" s="93">
        <f t="shared" si="5"/>
        <v>42560</v>
      </c>
      <c r="E78" s="93">
        <f t="shared" si="6"/>
        <v>42924</v>
      </c>
      <c r="F78" s="93">
        <f t="shared" si="7"/>
        <v>43288</v>
      </c>
      <c r="G78" s="93">
        <f t="shared" si="8"/>
        <v>43652</v>
      </c>
      <c r="H78" s="93">
        <f t="shared" si="9"/>
        <v>44016</v>
      </c>
      <c r="I78" s="94"/>
      <c r="J78" s="94"/>
    </row>
    <row r="79" spans="1:10">
      <c r="A79" s="92">
        <f t="shared" si="2"/>
        <v>16</v>
      </c>
      <c r="B79" s="93">
        <f t="shared" si="3"/>
        <v>41846</v>
      </c>
      <c r="C79" s="93">
        <f t="shared" si="4"/>
        <v>42210</v>
      </c>
      <c r="D79" s="93">
        <f t="shared" si="5"/>
        <v>42574</v>
      </c>
      <c r="E79" s="93">
        <f t="shared" si="6"/>
        <v>42938</v>
      </c>
      <c r="F79" s="93">
        <f t="shared" si="7"/>
        <v>43302</v>
      </c>
      <c r="G79" s="93">
        <f t="shared" si="8"/>
        <v>43666</v>
      </c>
      <c r="H79" s="93">
        <f t="shared" si="9"/>
        <v>44030</v>
      </c>
      <c r="I79" s="94"/>
      <c r="J79" s="94"/>
    </row>
    <row r="80" spans="1:10">
      <c r="A80" s="92">
        <f t="shared" si="2"/>
        <v>17</v>
      </c>
      <c r="B80" s="93">
        <f t="shared" si="3"/>
        <v>41860</v>
      </c>
      <c r="C80" s="93">
        <f t="shared" si="4"/>
        <v>42224</v>
      </c>
      <c r="D80" s="93">
        <f t="shared" si="5"/>
        <v>42588</v>
      </c>
      <c r="E80" s="93">
        <f t="shared" si="6"/>
        <v>42952</v>
      </c>
      <c r="F80" s="93">
        <f t="shared" si="7"/>
        <v>43316</v>
      </c>
      <c r="G80" s="93">
        <f t="shared" si="8"/>
        <v>43680</v>
      </c>
      <c r="H80" s="93">
        <f t="shared" si="9"/>
        <v>44044</v>
      </c>
      <c r="I80" s="94"/>
      <c r="J80" s="94"/>
    </row>
    <row r="81" spans="1:13">
      <c r="A81" s="92">
        <f t="shared" si="2"/>
        <v>18</v>
      </c>
      <c r="B81" s="93">
        <f t="shared" si="3"/>
        <v>41874</v>
      </c>
      <c r="C81" s="93">
        <f t="shared" si="4"/>
        <v>42238</v>
      </c>
      <c r="D81" s="93">
        <f t="shared" si="5"/>
        <v>42602</v>
      </c>
      <c r="E81" s="93">
        <f t="shared" si="6"/>
        <v>42966</v>
      </c>
      <c r="F81" s="93">
        <f t="shared" si="7"/>
        <v>43330</v>
      </c>
      <c r="G81" s="93">
        <f t="shared" si="8"/>
        <v>43694</v>
      </c>
      <c r="H81" s="93">
        <f t="shared" si="9"/>
        <v>44058</v>
      </c>
      <c r="I81" s="94"/>
      <c r="J81" s="94"/>
    </row>
    <row r="82" spans="1:13">
      <c r="A82" s="92">
        <f t="shared" si="2"/>
        <v>19</v>
      </c>
      <c r="B82" s="93">
        <f t="shared" si="3"/>
        <v>41888</v>
      </c>
      <c r="C82" s="93">
        <f t="shared" si="4"/>
        <v>42252</v>
      </c>
      <c r="D82" s="93">
        <f t="shared" si="5"/>
        <v>42616</v>
      </c>
      <c r="E82" s="93">
        <f t="shared" si="6"/>
        <v>42980</v>
      </c>
      <c r="F82" s="93">
        <f t="shared" si="7"/>
        <v>43344</v>
      </c>
      <c r="G82" s="93">
        <f t="shared" si="8"/>
        <v>43708</v>
      </c>
      <c r="H82" s="93">
        <f t="shared" si="9"/>
        <v>44072</v>
      </c>
      <c r="I82" s="94"/>
      <c r="J82" s="94"/>
    </row>
    <row r="83" spans="1:13">
      <c r="A83" s="92">
        <f t="shared" si="2"/>
        <v>20</v>
      </c>
      <c r="B83" s="93">
        <f t="shared" si="3"/>
        <v>41902</v>
      </c>
      <c r="C83" s="93">
        <f t="shared" si="4"/>
        <v>42266</v>
      </c>
      <c r="D83" s="93">
        <f t="shared" si="5"/>
        <v>42630</v>
      </c>
      <c r="E83" s="93">
        <f t="shared" si="6"/>
        <v>42994</v>
      </c>
      <c r="F83" s="93">
        <f t="shared" si="7"/>
        <v>43358</v>
      </c>
      <c r="G83" s="93">
        <f t="shared" si="8"/>
        <v>43722</v>
      </c>
      <c r="H83" s="93">
        <f t="shared" si="9"/>
        <v>44086</v>
      </c>
      <c r="I83" s="94"/>
      <c r="J83" s="94"/>
    </row>
    <row r="84" spans="1:13">
      <c r="A84" s="92">
        <f t="shared" si="2"/>
        <v>21</v>
      </c>
      <c r="B84" s="93">
        <f t="shared" si="3"/>
        <v>41916</v>
      </c>
      <c r="C84" s="93">
        <f t="shared" si="4"/>
        <v>42280</v>
      </c>
      <c r="D84" s="93">
        <f t="shared" si="5"/>
        <v>42644</v>
      </c>
      <c r="E84" s="93">
        <f t="shared" si="6"/>
        <v>43008</v>
      </c>
      <c r="F84" s="93">
        <f t="shared" si="7"/>
        <v>43372</v>
      </c>
      <c r="G84" s="93">
        <f t="shared" si="8"/>
        <v>43736</v>
      </c>
      <c r="H84" s="93">
        <f t="shared" si="9"/>
        <v>44100</v>
      </c>
      <c r="I84" s="94"/>
      <c r="J84" s="94"/>
    </row>
    <row r="85" spans="1:13">
      <c r="A85" s="92">
        <f t="shared" si="2"/>
        <v>22</v>
      </c>
      <c r="B85" s="93">
        <f t="shared" si="3"/>
        <v>41930</v>
      </c>
      <c r="C85" s="93">
        <f t="shared" si="4"/>
        <v>42294</v>
      </c>
      <c r="D85" s="93">
        <f t="shared" si="5"/>
        <v>42658</v>
      </c>
      <c r="E85" s="93">
        <f t="shared" si="6"/>
        <v>43022</v>
      </c>
      <c r="F85" s="93">
        <f t="shared" si="7"/>
        <v>43386</v>
      </c>
      <c r="G85" s="93">
        <f t="shared" si="8"/>
        <v>43750</v>
      </c>
      <c r="H85" s="93">
        <f t="shared" si="9"/>
        <v>44114</v>
      </c>
      <c r="I85" s="94"/>
      <c r="J85" s="94"/>
    </row>
    <row r="86" spans="1:13">
      <c r="A86" s="92">
        <f t="shared" si="2"/>
        <v>23</v>
      </c>
      <c r="B86" s="93">
        <f t="shared" si="3"/>
        <v>41944</v>
      </c>
      <c r="C86" s="93">
        <f t="shared" si="4"/>
        <v>42308</v>
      </c>
      <c r="D86" s="93">
        <f t="shared" si="5"/>
        <v>42672</v>
      </c>
      <c r="E86" s="93">
        <f t="shared" si="6"/>
        <v>43036</v>
      </c>
      <c r="F86" s="93">
        <f t="shared" si="7"/>
        <v>43400</v>
      </c>
      <c r="G86" s="93">
        <f t="shared" si="8"/>
        <v>43764</v>
      </c>
      <c r="H86" s="93">
        <f t="shared" si="9"/>
        <v>44128</v>
      </c>
      <c r="I86" s="94"/>
      <c r="J86" s="94"/>
    </row>
    <row r="87" spans="1:13">
      <c r="A87" s="92">
        <f t="shared" si="2"/>
        <v>24</v>
      </c>
      <c r="B87" s="93">
        <f t="shared" si="3"/>
        <v>41958</v>
      </c>
      <c r="C87" s="93">
        <f t="shared" si="4"/>
        <v>42322</v>
      </c>
      <c r="D87" s="93">
        <f t="shared" si="5"/>
        <v>42686</v>
      </c>
      <c r="E87" s="93">
        <f t="shared" si="6"/>
        <v>43050</v>
      </c>
      <c r="F87" s="93">
        <f t="shared" si="7"/>
        <v>43414</v>
      </c>
      <c r="G87" s="93">
        <f t="shared" si="8"/>
        <v>43778</v>
      </c>
      <c r="H87" s="93">
        <f t="shared" si="9"/>
        <v>44142</v>
      </c>
      <c r="I87" s="94"/>
      <c r="J87" s="94"/>
    </row>
    <row r="88" spans="1:13">
      <c r="A88" s="92">
        <f t="shared" si="2"/>
        <v>25</v>
      </c>
      <c r="B88" s="93">
        <f t="shared" si="3"/>
        <v>41972</v>
      </c>
      <c r="C88" s="93">
        <f t="shared" si="4"/>
        <v>42336</v>
      </c>
      <c r="D88" s="93">
        <f t="shared" si="5"/>
        <v>42700</v>
      </c>
      <c r="E88" s="93">
        <f t="shared" si="6"/>
        <v>43064</v>
      </c>
      <c r="F88" s="93">
        <f t="shared" si="7"/>
        <v>43428</v>
      </c>
      <c r="G88" s="93">
        <f t="shared" si="8"/>
        <v>43792</v>
      </c>
      <c r="H88" s="93">
        <f t="shared" si="9"/>
        <v>44156</v>
      </c>
      <c r="I88" s="94"/>
      <c r="J88" s="94"/>
    </row>
    <row r="89" spans="1:13">
      <c r="A89" s="92">
        <f t="shared" si="2"/>
        <v>26</v>
      </c>
      <c r="B89" s="93">
        <f t="shared" si="3"/>
        <v>41986</v>
      </c>
      <c r="C89" s="93">
        <f t="shared" si="4"/>
        <v>42350</v>
      </c>
      <c r="D89" s="93">
        <f t="shared" si="5"/>
        <v>42714</v>
      </c>
      <c r="E89" s="93">
        <f t="shared" si="6"/>
        <v>43078</v>
      </c>
      <c r="F89" s="93">
        <f t="shared" si="7"/>
        <v>43442</v>
      </c>
      <c r="G89" s="93">
        <f t="shared" si="8"/>
        <v>43806</v>
      </c>
      <c r="H89" s="93">
        <f t="shared" si="9"/>
        <v>44170</v>
      </c>
      <c r="I89" s="94"/>
      <c r="J89" s="94"/>
    </row>
    <row r="92" spans="1:13" ht="15">
      <c r="A92" s="325" t="s">
        <v>216</v>
      </c>
      <c r="B92" s="325"/>
      <c r="C92" s="325"/>
      <c r="D92" s="325"/>
      <c r="E92" s="325"/>
      <c r="F92" s="325"/>
      <c r="G92" s="325"/>
      <c r="H92" s="325"/>
      <c r="I92" s="325"/>
      <c r="J92" s="325"/>
      <c r="K92" s="325"/>
      <c r="L92" s="325"/>
      <c r="M92" s="325"/>
    </row>
    <row r="93" spans="1:13">
      <c r="D93" s="95"/>
      <c r="E93" s="95"/>
      <c r="F93" s="95"/>
      <c r="G93" s="95"/>
      <c r="H93" s="95"/>
      <c r="I93" s="95"/>
      <c r="J93" s="95"/>
    </row>
    <row r="94" spans="1:13">
      <c r="A94" s="73" t="s">
        <v>172</v>
      </c>
      <c r="C94" s="65" t="s">
        <v>217</v>
      </c>
      <c r="F94" s="95"/>
      <c r="G94" s="95"/>
      <c r="H94" s="95"/>
      <c r="I94" s="95"/>
      <c r="J94" s="95"/>
    </row>
    <row r="95" spans="1:13">
      <c r="A95" s="74" t="s">
        <v>218</v>
      </c>
      <c r="C95" s="65" t="s">
        <v>79</v>
      </c>
      <c r="F95" s="96" t="s">
        <v>219</v>
      </c>
      <c r="G95" s="95"/>
      <c r="H95" s="95"/>
      <c r="I95" s="95"/>
      <c r="J95" s="95"/>
    </row>
    <row r="96" spans="1:13">
      <c r="A96" s="74" t="s">
        <v>175</v>
      </c>
      <c r="C96" s="65" t="s">
        <v>80</v>
      </c>
      <c r="F96" s="96" t="s">
        <v>219</v>
      </c>
      <c r="G96" s="95"/>
      <c r="H96" s="95"/>
      <c r="I96" s="95"/>
      <c r="J96" s="95"/>
    </row>
    <row r="97" spans="1:13">
      <c r="A97" s="74" t="s">
        <v>175</v>
      </c>
      <c r="C97" s="65" t="s">
        <v>220</v>
      </c>
      <c r="F97" s="96" t="s">
        <v>219</v>
      </c>
      <c r="G97" s="95"/>
      <c r="H97" s="95"/>
      <c r="I97" s="95"/>
      <c r="J97" s="95"/>
    </row>
    <row r="98" spans="1:13">
      <c r="A98" s="74" t="s">
        <v>175</v>
      </c>
      <c r="C98" s="65" t="s">
        <v>221</v>
      </c>
      <c r="F98" s="96" t="s">
        <v>219</v>
      </c>
      <c r="G98" s="95"/>
      <c r="H98" s="95"/>
      <c r="I98" s="95"/>
      <c r="J98" s="95"/>
    </row>
    <row r="99" spans="1:13">
      <c r="A99" s="74" t="s">
        <v>175</v>
      </c>
      <c r="C99" s="65" t="s">
        <v>222</v>
      </c>
      <c r="F99" s="96" t="s">
        <v>219</v>
      </c>
      <c r="G99" s="95"/>
      <c r="H99" s="95"/>
      <c r="I99" s="95"/>
      <c r="J99" s="95"/>
    </row>
    <row r="100" spans="1:13">
      <c r="A100" s="74" t="s">
        <v>175</v>
      </c>
      <c r="C100" s="65" t="s">
        <v>78</v>
      </c>
      <c r="F100" s="96" t="s">
        <v>219</v>
      </c>
      <c r="G100" s="95"/>
      <c r="H100" s="95"/>
      <c r="I100" s="95"/>
      <c r="J100" s="95"/>
    </row>
    <row r="101" spans="1:13">
      <c r="A101" s="74" t="s">
        <v>175</v>
      </c>
      <c r="C101" s="65" t="s">
        <v>223</v>
      </c>
      <c r="F101" s="96" t="s">
        <v>219</v>
      </c>
      <c r="G101" s="95"/>
      <c r="H101" s="95"/>
      <c r="I101" s="95"/>
      <c r="J101" s="95"/>
    </row>
    <row r="102" spans="1:13">
      <c r="A102" s="75" t="s">
        <v>176</v>
      </c>
      <c r="C102" s="65" t="s">
        <v>224</v>
      </c>
      <c r="F102" s="96" t="s">
        <v>219</v>
      </c>
      <c r="G102" s="95"/>
      <c r="H102" s="95"/>
      <c r="I102" s="95"/>
      <c r="J102" s="95"/>
    </row>
    <row r="104" spans="1:13" ht="15">
      <c r="A104" s="325" t="s">
        <v>225</v>
      </c>
      <c r="B104" s="325"/>
      <c r="C104" s="325"/>
      <c r="D104" s="325"/>
      <c r="E104" s="325"/>
      <c r="F104" s="325"/>
      <c r="G104" s="325"/>
      <c r="H104" s="325"/>
      <c r="I104" s="325"/>
      <c r="J104" s="325"/>
      <c r="K104" s="325"/>
      <c r="L104" s="325"/>
      <c r="M104" s="325"/>
    </row>
    <row r="106" spans="1:13">
      <c r="A106" s="73" t="s">
        <v>172</v>
      </c>
      <c r="E106" s="97"/>
    </row>
    <row r="107" spans="1:13">
      <c r="A107" s="74" t="s">
        <v>226</v>
      </c>
      <c r="C107" s="65" t="s">
        <v>196</v>
      </c>
    </row>
    <row r="108" spans="1:13">
      <c r="A108" s="74" t="s">
        <v>175</v>
      </c>
      <c r="C108" s="65" t="s">
        <v>200</v>
      </c>
    </row>
    <row r="109" spans="1:13">
      <c r="A109" s="74" t="s">
        <v>175</v>
      </c>
      <c r="C109" s="65" t="s">
        <v>227</v>
      </c>
    </row>
    <row r="110" spans="1:13">
      <c r="A110" s="74" t="s">
        <v>175</v>
      </c>
      <c r="C110" s="65" t="s">
        <v>206</v>
      </c>
    </row>
    <row r="111" spans="1:13">
      <c r="A111" s="74" t="s">
        <v>175</v>
      </c>
      <c r="C111" s="65" t="s">
        <v>228</v>
      </c>
    </row>
    <row r="112" spans="1:13">
      <c r="A112" s="74" t="s">
        <v>175</v>
      </c>
      <c r="C112" s="65" t="s">
        <v>229</v>
      </c>
    </row>
    <row r="113" spans="1:13">
      <c r="A113" s="74" t="s">
        <v>175</v>
      </c>
      <c r="C113" s="65" t="s">
        <v>230</v>
      </c>
    </row>
    <row r="114" spans="1:13">
      <c r="A114" s="74" t="s">
        <v>175</v>
      </c>
      <c r="C114" s="65" t="s">
        <v>208</v>
      </c>
    </row>
    <row r="115" spans="1:13">
      <c r="A115" s="75" t="s">
        <v>176</v>
      </c>
      <c r="C115" s="65" t="s">
        <v>211</v>
      </c>
    </row>
    <row r="117" spans="1:13" ht="18" customHeight="1">
      <c r="A117" s="322" t="s">
        <v>231</v>
      </c>
      <c r="B117" s="322"/>
      <c r="C117" s="322"/>
      <c r="D117" s="322"/>
      <c r="E117" s="322"/>
      <c r="F117" s="322"/>
      <c r="G117" s="322"/>
      <c r="H117" s="322"/>
      <c r="I117" s="322"/>
      <c r="J117" s="322"/>
      <c r="K117" s="322"/>
      <c r="L117" s="322"/>
      <c r="M117" s="322"/>
    </row>
    <row r="119" spans="1:13">
      <c r="A119" s="310" t="s">
        <v>183</v>
      </c>
      <c r="B119" s="310"/>
      <c r="C119" s="310"/>
      <c r="D119" s="310"/>
      <c r="E119" s="310"/>
      <c r="F119" s="310"/>
      <c r="G119" s="310"/>
      <c r="H119" s="310"/>
      <c r="I119" s="310"/>
      <c r="J119" s="310"/>
      <c r="K119" s="310"/>
    </row>
    <row r="120" spans="1:13">
      <c r="A120" s="99">
        <v>1</v>
      </c>
      <c r="B120" s="99">
        <v>2</v>
      </c>
      <c r="C120" s="99">
        <v>3</v>
      </c>
      <c r="D120" s="98">
        <v>4</v>
      </c>
      <c r="E120" s="100">
        <v>5</v>
      </c>
      <c r="F120" s="101"/>
      <c r="G120" s="101"/>
      <c r="H120" s="101"/>
      <c r="I120" s="101"/>
      <c r="J120" s="102"/>
    </row>
    <row r="121" spans="1:13">
      <c r="A121" s="80" t="s">
        <v>184</v>
      </c>
      <c r="B121" s="80" t="s">
        <v>185</v>
      </c>
      <c r="C121" s="80" t="s">
        <v>186</v>
      </c>
      <c r="D121" s="80" t="s">
        <v>187</v>
      </c>
      <c r="E121" s="103" t="s">
        <v>232</v>
      </c>
      <c r="F121" s="104"/>
      <c r="G121" s="104"/>
      <c r="H121" s="104"/>
      <c r="I121" s="104"/>
      <c r="J121" s="105"/>
    </row>
    <row r="122" spans="1:13">
      <c r="A122" s="50" t="str">
        <f>$C$54</f>
        <v>Annually (1)</v>
      </c>
      <c r="B122" s="83">
        <f>$E$49</f>
        <v>1</v>
      </c>
      <c r="C122" s="85">
        <f>$F$49</f>
        <v>2080</v>
      </c>
      <c r="D122" s="50" t="str">
        <f>$G$49</f>
        <v>annually</v>
      </c>
      <c r="E122" s="106" t="e">
        <f>IF(D135=0,"N/A",CONCATENATE("Working full-time at current rate of pay (",DOLLAR(D204,0)," annually), borrower's YTD earnings would need to reflect ",DOLLAR(D231,0)," as the total amount of base earnings from ",MONTH(C143),"/",DAY(C143),"/",YEAR(C143)," to ",MONTH(D143),"/",DAY(D143),"/",YEAR(D143)," (excluding bonus, commissions, differential, incentive, overtime, etc.)."))</f>
        <v>#REF!</v>
      </c>
      <c r="F122" s="104"/>
      <c r="G122" s="104"/>
      <c r="H122" s="104"/>
      <c r="I122" s="104"/>
      <c r="J122" s="107"/>
    </row>
    <row r="123" spans="1:13">
      <c r="A123" s="108" t="str">
        <f>$C$51</f>
        <v>Bi-Weekly (26)</v>
      </c>
      <c r="B123" s="83">
        <f>$E$50</f>
        <v>26</v>
      </c>
      <c r="C123" s="85">
        <f>$F$50</f>
        <v>80</v>
      </c>
      <c r="D123" s="50" t="str">
        <f>$G$50</f>
        <v>bi-weekly</v>
      </c>
      <c r="E123" s="106" t="e">
        <f>IF(D135=0,"N/A",CONCATENATE("Working full-time at current rate of pay (",DOLLAR(D204,0)," bi-weekly), borrower's YTD earnings would need to reflect ",DOLLAR(D231,0)," as the total amount of base earnings from ",MONTH(C143),"/",DAY(C143),"/",YEAR(C143)," to ",MONTH(D143),"/",DAY(D143),"/",YEAR(D143)," (excluding bonus, commissions, differential, incentive, overtime, etc.)."))</f>
        <v>#REF!</v>
      </c>
      <c r="F123" s="104"/>
      <c r="G123" s="104"/>
      <c r="H123" s="104"/>
      <c r="I123" s="104"/>
      <c r="J123" s="107"/>
    </row>
    <row r="124" spans="1:13">
      <c r="A124" s="50" t="str">
        <f>$C$49</f>
        <v>Hourly (H)</v>
      </c>
      <c r="B124" s="83">
        <f>$E$51</f>
        <v>2080</v>
      </c>
      <c r="C124" s="85">
        <f>$F$51</f>
        <v>1</v>
      </c>
      <c r="D124" s="50" t="str">
        <f>$G$51</f>
        <v>hourly</v>
      </c>
      <c r="E124" s="106" t="e">
        <f>IF(D135=0,"N/A",CONCATENATE("Working full-time at current rate of pay (",DOLLAR(D204,2)," hourly), borrower's YTD earnings would need to reflect ",DOLLAR(D231,0)," as the total amount of base earnings from ",MONTH(C143),"/",DAY(C143),"/",YEAR(C143)," to ",MONTH(D143),"/",DAY(D143),"/",YEAR(D143)," (excluding bonus, commissions, differential, incentive, overtime, etc.)."))</f>
        <v>#REF!</v>
      </c>
      <c r="F124" s="104"/>
      <c r="G124" s="104"/>
      <c r="H124" s="104"/>
      <c r="I124" s="104"/>
      <c r="J124" s="107"/>
    </row>
    <row r="125" spans="1:13">
      <c r="A125" s="50" t="str">
        <f>$C$53</f>
        <v>Monthly (12)</v>
      </c>
      <c r="B125" s="83">
        <f>$E$52</f>
        <v>12</v>
      </c>
      <c r="C125" s="85">
        <f>$F$52</f>
        <v>173.33333333333334</v>
      </c>
      <c r="D125" s="50" t="str">
        <f>$G$52</f>
        <v>monthly</v>
      </c>
      <c r="E125" s="106" t="e">
        <f>IF(D135=0,"N/A",CONCATENATE("Working full-time at current rate of pay (",DOLLAR(D204,0)," monthly), borrower's YTD earnings would need to reflect ",DOLLAR(D231,0)," as the total amount of base earnings from ",MONTH(C143),"/",DAY(C143),"/",YEAR(C143)," to ",MONTH(D143),"/",DAY(D143),"/",YEAR(D143)," (excluding bonus, commissions, differential, incentive, overtime, etc.)."))</f>
        <v>#REF!</v>
      </c>
      <c r="F125" s="104"/>
      <c r="G125" s="104"/>
      <c r="H125" s="104"/>
      <c r="I125" s="104"/>
      <c r="J125" s="107"/>
    </row>
    <row r="126" spans="1:13">
      <c r="A126" s="50" t="str">
        <f>$C$55</f>
        <v>Part-Time</v>
      </c>
      <c r="B126" s="83">
        <f>$E$53</f>
        <v>0</v>
      </c>
      <c r="C126" s="85">
        <f>$F$53</f>
        <v>0</v>
      </c>
      <c r="D126" s="50" t="str">
        <f>$G$53</f>
        <v>part-time</v>
      </c>
      <c r="E126" s="106" t="e">
        <f>IF(D135=0,"N/A",CONCATENATE("Working Part-Time at averaged monthly pay, borrower's YTD earnings would need to reflect approximately ",DOLLAR(D231,0)," as the total amount of base earnings from ",MONTH(C143),"/",DAY(C143),"/",YEAR(C143)," to ",MONTH(D143),"/",DAY(D143),"/",YEAR(D143)," (excluding bonus, commissions, differential, incentive, overtime, etc.)."))</f>
        <v>#REF!</v>
      </c>
      <c r="F126" s="104"/>
      <c r="G126" s="104"/>
      <c r="H126" s="104"/>
      <c r="I126" s="104"/>
      <c r="J126" s="107"/>
    </row>
    <row r="127" spans="1:13">
      <c r="A127" s="50" t="str">
        <f>$C$56</f>
        <v>Seasonal</v>
      </c>
      <c r="B127" s="83">
        <f>$E$54</f>
        <v>0</v>
      </c>
      <c r="C127" s="85">
        <f>$F$54</f>
        <v>0</v>
      </c>
      <c r="D127" s="50" t="str">
        <f>$G$54</f>
        <v>seasonal</v>
      </c>
      <c r="E127" s="106" t="e">
        <f>IF(D135=0,"N/A",CONCATENATE("Working Seasonal at averaged monthly pay, borrower's YTD earnings would need to reflect approximately ",DOLLAR(D231,0)," as the total amount of base earnings from ",MONTH(C143),"/",DAY(C143),"/",YEAR(C143)," to ",MONTH(D143),"/",DAY(D143),"/",YEAR(D143)," (excluding bonus, commissions, differential, incentive, overtime, etc.)."))</f>
        <v>#REF!</v>
      </c>
      <c r="F127" s="104"/>
      <c r="G127" s="104"/>
      <c r="H127" s="104"/>
      <c r="I127" s="104"/>
      <c r="J127" s="107"/>
    </row>
    <row r="128" spans="1:13">
      <c r="A128" s="50" t="str">
        <f>$C$52</f>
        <v>Semi-Monthly (24)</v>
      </c>
      <c r="B128" s="83">
        <f>$E$55</f>
        <v>24</v>
      </c>
      <c r="C128" s="85">
        <f>$F$55</f>
        <v>86.666666666666671</v>
      </c>
      <c r="D128" s="50" t="str">
        <f>$G$55</f>
        <v>semi-monthly</v>
      </c>
      <c r="E128" s="106" t="e">
        <f>IF(D135=0,"N/A",CONCATENATE("Working full-time at current rate of pay (",DOLLAR(D204,2)," semi-monthly), borrower's YTD earnings would need to reflect ",DOLLAR(D231,0)," as the total amount of base earnings from ",MONTH(C143),"/",DAY(C143),"/",YEAR(C143)," to ",MONTH(D143),"/",DAY(D143),"/",YEAR(D143)," (excluding bonus, commissions, differential, incentive, overtime, etc.)."))</f>
        <v>#REF!</v>
      </c>
      <c r="F128" s="104"/>
      <c r="G128" s="104"/>
      <c r="H128" s="104"/>
      <c r="I128" s="104"/>
      <c r="J128" s="107"/>
    </row>
    <row r="129" spans="1:13">
      <c r="A129" s="50" t="str">
        <f>$C$57</f>
        <v>Varies / Averaged</v>
      </c>
      <c r="B129" s="83">
        <f>$E$56</f>
        <v>0</v>
      </c>
      <c r="C129" s="85">
        <f>$F$56</f>
        <v>0</v>
      </c>
      <c r="D129" s="50" t="str">
        <f>$G$56</f>
        <v>varies</v>
      </c>
      <c r="E129" s="106" t="e">
        <f>IF(D135=0,"N/A",CONCATENATE("Based on calculated averaged monthly earnings, borrower's YTD earnings should reflect approximately ",DOLLAR(D231,0)," as the total amount of base income earned from ",MONTH(C143),"/",DAY(C143),"/",YEAR(C143)," to ",MONTH(D143),"/",DAY(D143),"/",YEAR(D143)," (excluding bonus, commissions, differential, incentive, overtime, etc.)."))</f>
        <v>#REF!</v>
      </c>
      <c r="F129" s="104"/>
      <c r="G129" s="104"/>
      <c r="H129" s="104"/>
      <c r="I129" s="104"/>
      <c r="J129" s="107"/>
    </row>
    <row r="130" spans="1:13">
      <c r="A130" s="50" t="str">
        <f>$C$50</f>
        <v>Weekly (52)</v>
      </c>
      <c r="B130" s="83">
        <f>$E$57</f>
        <v>52</v>
      </c>
      <c r="C130" s="85">
        <f>$F$57</f>
        <v>40</v>
      </c>
      <c r="D130" s="50" t="str">
        <f>$G$57</f>
        <v>weekly</v>
      </c>
      <c r="E130" s="106" t="e">
        <f>IF(D135=0,"N/A",CONCATENATE("Working full-time at current rate of pay (",DOLLAR(D204,2)," weekly), borrower's YTD earnings would need to reflect ",DOLLAR(D231,0)," as the total amount of base earnings from ",MONTH(C143),"/",DAY(C143),"/",YEAR(C143)," to ",MONTH(D143),"/",DAY(D143),"/",YEAR(D143)," (excluding bonus, commissions, differential, incentive, overtime, etc.)."))</f>
        <v>#REF!</v>
      </c>
      <c r="F130" s="104"/>
      <c r="G130" s="104"/>
      <c r="H130" s="104"/>
      <c r="I130" s="104"/>
      <c r="J130" s="107"/>
    </row>
    <row r="132" spans="1:13">
      <c r="A132" s="65" t="s">
        <v>233</v>
      </c>
      <c r="D132" s="109" t="e">
        <f>IF(#REF!="","",#REF!)</f>
        <v>#REF!</v>
      </c>
      <c r="F132" s="110"/>
      <c r="G132" s="111" t="s">
        <v>234</v>
      </c>
      <c r="H132" s="110"/>
      <c r="I132" s="110"/>
      <c r="J132" s="110"/>
    </row>
    <row r="133" spans="1:13">
      <c r="A133" s="65" t="s">
        <v>235</v>
      </c>
      <c r="D133" s="112" t="e">
        <f>IF(OR(#REF!=0,#REF!=""),0,#REF!)</f>
        <v>#REF!</v>
      </c>
      <c r="F133" s="110"/>
      <c r="G133" s="111" t="s">
        <v>236</v>
      </c>
      <c r="H133" s="110"/>
      <c r="I133" s="110"/>
      <c r="J133" s="110"/>
    </row>
    <row r="134" spans="1:13">
      <c r="A134" s="65" t="s">
        <v>237</v>
      </c>
      <c r="D134" s="112" t="e">
        <f>IF(D135=A126,"Hourly Rate of Pay (part-time)","Rate of Pay")</f>
        <v>#REF!</v>
      </c>
      <c r="F134" s="110"/>
      <c r="G134" s="110"/>
      <c r="H134" s="110"/>
      <c r="I134" s="110"/>
      <c r="J134" s="110"/>
    </row>
    <row r="135" spans="1:13">
      <c r="A135" s="65" t="s">
        <v>238</v>
      </c>
      <c r="D135" s="113" t="e">
        <f>#REF!</f>
        <v>#REF!</v>
      </c>
      <c r="F135" s="110"/>
      <c r="G135" s="111" t="s">
        <v>239</v>
      </c>
      <c r="H135" s="110"/>
      <c r="I135" s="110"/>
      <c r="J135" s="110"/>
    </row>
    <row r="136" spans="1:13">
      <c r="A136" s="65" t="s">
        <v>240</v>
      </c>
      <c r="D136" s="114" t="e">
        <f>#REF!</f>
        <v>#REF!</v>
      </c>
      <c r="E136" s="63" t="e">
        <f>AND(D135="Hourly (H)",D227&lt;D136)</f>
        <v>#REF!</v>
      </c>
      <c r="F136" s="110"/>
      <c r="G136" s="111" t="s">
        <v>241</v>
      </c>
      <c r="H136" s="110"/>
      <c r="I136" s="110"/>
      <c r="J136" s="110"/>
    </row>
    <row r="137" spans="1:13">
      <c r="A137" s="65" t="s">
        <v>242</v>
      </c>
      <c r="D137" s="112" t="e">
        <f>IF(OR(D133=0,D135=0),"",IF(D135="Hourly (H)",(D133*D136)*52,D133*VLOOKUP(D135,A122:E130,2,FALSE())))</f>
        <v>#REF!</v>
      </c>
      <c r="F137" s="110"/>
      <c r="G137" s="111" t="s">
        <v>243</v>
      </c>
      <c r="H137" s="110"/>
      <c r="I137" s="110"/>
      <c r="J137" s="110"/>
    </row>
    <row r="138" spans="1:13">
      <c r="A138" s="65" t="s">
        <v>244</v>
      </c>
      <c r="D138" s="115" t="e">
        <f>IF(OR(D133=0,D135=0),0,IF(OR(D135=A126,D135=A127,D135=A129),J146,ROUND(D137/12,0)))</f>
        <v>#REF!</v>
      </c>
      <c r="F138" s="110"/>
      <c r="G138" s="111" t="s">
        <v>245</v>
      </c>
      <c r="H138" s="110"/>
      <c r="I138" s="110"/>
      <c r="J138" s="110"/>
    </row>
    <row r="139" spans="1:13">
      <c r="A139" s="65" t="s">
        <v>246</v>
      </c>
      <c r="D139" s="65" t="b">
        <f>FALSE()</f>
        <v>0</v>
      </c>
      <c r="F139" s="110"/>
      <c r="G139" s="111" t="s">
        <v>247</v>
      </c>
      <c r="H139" s="110"/>
      <c r="I139" s="110"/>
      <c r="J139" s="110"/>
    </row>
    <row r="141" spans="1:13">
      <c r="A141" s="320" t="s">
        <v>248</v>
      </c>
      <c r="B141" s="320"/>
      <c r="C141" s="320"/>
      <c r="D141" s="320"/>
      <c r="E141" s="320"/>
      <c r="F141" s="320"/>
      <c r="G141" s="320"/>
      <c r="H141" s="320" t="s">
        <v>249</v>
      </c>
      <c r="I141" s="320"/>
      <c r="J141" s="320"/>
      <c r="K141" s="320" t="s">
        <v>250</v>
      </c>
      <c r="L141" s="320"/>
      <c r="M141" s="320"/>
    </row>
    <row r="142" spans="1:13">
      <c r="A142" s="116" t="s">
        <v>251</v>
      </c>
      <c r="B142" s="116" t="s">
        <v>91</v>
      </c>
      <c r="C142" s="116" t="s">
        <v>76</v>
      </c>
      <c r="D142" s="116" t="s">
        <v>77</v>
      </c>
      <c r="E142" s="116" t="s">
        <v>36</v>
      </c>
      <c r="F142" s="116" t="s">
        <v>68</v>
      </c>
      <c r="G142" s="116" t="s">
        <v>1</v>
      </c>
      <c r="H142" s="116" t="s">
        <v>74</v>
      </c>
      <c r="I142" s="116" t="s">
        <v>68</v>
      </c>
      <c r="J142" s="116" t="s">
        <v>36</v>
      </c>
      <c r="K142" s="116" t="s">
        <v>252</v>
      </c>
      <c r="L142" s="116" t="s">
        <v>253</v>
      </c>
      <c r="M142" s="116" t="s">
        <v>254</v>
      </c>
    </row>
    <row r="143" spans="1:13">
      <c r="A143" s="117" t="b">
        <f>TRUE()</f>
        <v>1</v>
      </c>
      <c r="B143" s="118" t="e">
        <f>#REF!</f>
        <v>#REF!</v>
      </c>
      <c r="C143" s="119" t="e">
        <f>#REF!</f>
        <v>#REF!</v>
      </c>
      <c r="D143" s="119" t="e">
        <f>#REF!</f>
        <v>#REF!</v>
      </c>
      <c r="E143" s="120" t="e">
        <f>IF(#REF!="",0,#REF!)</f>
        <v>#REF!</v>
      </c>
      <c r="F143" s="121" t="e">
        <f>IF(OR(D143="",E143="",E143=0),"",ROUND((((D143-C143)+1)/365)*12,1))</f>
        <v>#REF!</v>
      </c>
      <c r="G143" s="122" t="e">
        <f>IF(OR(D143="",E143="",E143=0),"",ROUND(E143/F143,0))</f>
        <v>#REF!</v>
      </c>
      <c r="H143" s="122" t="e">
        <f>IF(A143=TRUE(),E143,0)</f>
        <v>#REF!</v>
      </c>
      <c r="I143" s="123" t="e">
        <f>IF(A143=TRUE(),F143,0)</f>
        <v>#REF!</v>
      </c>
      <c r="J143" s="122" t="e">
        <f>IF(OR(A143=FALSE(),H143=0,I143=0),0,ROUND(H143/I143,0))</f>
        <v>#REF!</v>
      </c>
      <c r="K143" s="121" t="e">
        <f>IF(OR(G143="",G143=0,G144="",G144=0),100,IF(G143&gt;G144,((G143-G144)/G144)*100,((G144-G143)/G144)*100))</f>
        <v>#REF!</v>
      </c>
      <c r="L143" s="81" t="e">
        <f>IF(G143&gt;G144,"Increase","Decrease")</f>
        <v>#REF!</v>
      </c>
      <c r="M143" s="81" t="e">
        <f>IF(AND(A143=TRUE(),E143&gt;0),TRUE(),FALSE())</f>
        <v>#REF!</v>
      </c>
    </row>
    <row r="144" spans="1:13">
      <c r="A144" s="39" t="b">
        <f>TRUE()</f>
        <v>1</v>
      </c>
      <c r="B144" s="124" t="e">
        <f>#REF!</f>
        <v>#REF!</v>
      </c>
      <c r="C144" s="125" t="e">
        <f>#REF!</f>
        <v>#REF!</v>
      </c>
      <c r="D144" s="126" t="e">
        <f>#REF!</f>
        <v>#REF!</v>
      </c>
      <c r="E144" s="120" t="e">
        <f>IF(#REF!="",0,#REF!)</f>
        <v>#REF!</v>
      </c>
      <c r="F144" s="121" t="e">
        <f>IF(OR(E144="",E144=0),"",ROUND((((D144-C144)+1)/365)*12,1))</f>
        <v>#REF!</v>
      </c>
      <c r="G144" s="127" t="e">
        <f>IF(OR(E144="",E144=0),"",ROUND(E144/F144,0))</f>
        <v>#REF!</v>
      </c>
      <c r="H144" s="122" t="e">
        <f>IF(A144=TRUE(),E144,0)</f>
        <v>#REF!</v>
      </c>
      <c r="I144" s="123" t="e">
        <f>IF(A144=TRUE(),F144,0)</f>
        <v>#REF!</v>
      </c>
      <c r="J144" s="122" t="e">
        <f>IF(OR(A144=FALSE(),H144=0,I144=0),0,ROUND(H144/I144,0))</f>
        <v>#REF!</v>
      </c>
      <c r="K144" s="121" t="e">
        <f>IF(OR(G144="",G144=0,G145="",G145=0),100,IF(G144&gt;G145,((G144-G145)/G145)*100,((G145-G144)/G145)*100))</f>
        <v>#REF!</v>
      </c>
      <c r="L144" s="81" t="e">
        <f>IF(G144&gt;G145,"Increase","Decrease")</f>
        <v>#REF!</v>
      </c>
      <c r="M144" s="81" t="e">
        <f>IF(AND(A144=TRUE(),E144&gt;0),TRUE(),FALSE())</f>
        <v>#REF!</v>
      </c>
    </row>
    <row r="145" spans="1:13">
      <c r="A145" s="39" t="b">
        <f>FALSE()</f>
        <v>0</v>
      </c>
      <c r="B145" s="124" t="e">
        <f>#REF!</f>
        <v>#REF!</v>
      </c>
      <c r="C145" s="125" t="e">
        <f>#REF!</f>
        <v>#REF!</v>
      </c>
      <c r="D145" s="126" t="e">
        <f>#REF!</f>
        <v>#REF!</v>
      </c>
      <c r="E145" s="120" t="e">
        <f>IF(#REF!="",0,#REF!)</f>
        <v>#REF!</v>
      </c>
      <c r="F145" s="121" t="e">
        <f>IF(OR(E145="",E145=0),"",ROUND((((D145-C145)+1)/365)*12,1))</f>
        <v>#REF!</v>
      </c>
      <c r="G145" s="127" t="e">
        <f>IF(OR(E145="",E145=0),"",ROUND(E145/F145,0))</f>
        <v>#REF!</v>
      </c>
      <c r="H145" s="122">
        <f>IF(A145=TRUE(),E145,0)</f>
        <v>0</v>
      </c>
      <c r="I145" s="123">
        <f>IF(A145=TRUE(),F145,0)</f>
        <v>0</v>
      </c>
      <c r="J145" s="122">
        <f>IF(OR(A145=FALSE(),H145=0,I145=0),0,ROUND(H145/I145,0))</f>
        <v>0</v>
      </c>
      <c r="K145" s="121" t="e">
        <f>IF(OR(G143="",G143=0,G145="",G145=0),100,IF(G143&gt;G145,((G143-G145)/G145)*100,((G145-G143)/G145)*100))</f>
        <v>#REF!</v>
      </c>
      <c r="L145" s="81" t="e">
        <f>IF(G143&gt;G145,"Increase","Decrease")</f>
        <v>#REF!</v>
      </c>
      <c r="M145" s="81" t="e">
        <f>IF(AND(A145=TRUE(),E145&gt;0),TRUE(),FALSE())</f>
        <v>#REF!</v>
      </c>
    </row>
    <row r="146" spans="1:13">
      <c r="A146" s="78" t="s">
        <v>255</v>
      </c>
      <c r="B146" s="128"/>
      <c r="C146" s="129"/>
      <c r="D146" s="129"/>
      <c r="E146" s="130" t="e">
        <f>SUM(E143:E145)</f>
        <v>#REF!</v>
      </c>
      <c r="F146" s="131" t="e">
        <f>SUM(F143:F145)</f>
        <v>#REF!</v>
      </c>
      <c r="G146" s="41" t="e">
        <f>IF(AND(D133=0,D135=0),0,IF(D139=TRUE(),D138,IF(OR(D135=A126,D135=A127,D135=A129,F143=FALSE(),F144=FALSE(),F145=FALSE()),J146,IF(D139=FALSE(),MIN(D138,G143),J146))))</f>
        <v>#REF!</v>
      </c>
      <c r="H146" s="127" t="e">
        <f>IF(SUM(E143:E145)=0,0,SUM(H143:H145))</f>
        <v>#REF!</v>
      </c>
      <c r="I146" s="47" t="e">
        <f>IF(SUM(F143:F145)=0,0,SUM(I143:I145))</f>
        <v>#REF!</v>
      </c>
      <c r="J146" s="127" t="e">
        <f>IF(I146=0,0,ROUND(H146/I146,0))</f>
        <v>#REF!</v>
      </c>
      <c r="K146" s="129"/>
      <c r="L146" s="129"/>
      <c r="M146" s="129"/>
    </row>
    <row r="148" spans="1:13">
      <c r="A148" s="65" t="s">
        <v>256</v>
      </c>
      <c r="D148" s="63" t="e">
        <f>IF(OR(D227=0,D227&gt;=40),"",CONCATENATE("(actual = ",D227," hrs)"))</f>
        <v>#REF!</v>
      </c>
    </row>
    <row r="150" spans="1:13">
      <c r="A150" s="323" t="s">
        <v>257</v>
      </c>
      <c r="B150" s="323"/>
      <c r="C150" s="323"/>
      <c r="D150" s="323"/>
      <c r="E150" s="323"/>
    </row>
    <row r="151" spans="1:13">
      <c r="A151" s="318" t="s">
        <v>246</v>
      </c>
      <c r="B151" s="318"/>
      <c r="C151" s="318"/>
      <c r="D151" s="39" t="b">
        <f>IF(D139=TRUE(),TRUE(),FALSE())</f>
        <v>0</v>
      </c>
      <c r="E151" s="132" t="e">
        <f>IF(AND(D151=TRUE(),D153=FALSE(),D154=FALSE()),D138,0)</f>
        <v>#REF!</v>
      </c>
    </row>
    <row r="152" spans="1:13">
      <c r="A152" s="318" t="s">
        <v>258</v>
      </c>
      <c r="B152" s="318"/>
      <c r="C152" s="318"/>
      <c r="D152" s="38" t="e">
        <f>IF(AND(D151=FALSE(),E179&lt;10%,F179=" Decrease"),TRUE(),FALSE())</f>
        <v>#REF!</v>
      </c>
      <c r="E152" s="132" t="e">
        <f>IF(D152=TRUE(),G143,0)</f>
        <v>#REF!</v>
      </c>
    </row>
    <row r="153" spans="1:13">
      <c r="A153" s="318" t="s">
        <v>259</v>
      </c>
      <c r="B153" s="318"/>
      <c r="C153" s="318"/>
      <c r="D153" s="39" t="b">
        <f>IF(AND(D151=FALSE(),E177&gt;10%,F177=" Decrease"),TRUE(),FALSE())</f>
        <v>0</v>
      </c>
      <c r="E153" s="132" t="e">
        <f>IF(AND(D151=FALSE(),D153=TRUE(),D154=FALSE()),G143,0)</f>
        <v>#REF!</v>
      </c>
    </row>
    <row r="154" spans="1:13">
      <c r="A154" s="318" t="s">
        <v>260</v>
      </c>
      <c r="B154" s="318"/>
      <c r="C154" s="318"/>
      <c r="D154" s="38" t="e">
        <f>IF(OR(D151=TRUE(),D153=TRUE()),FALSE(),IF(OR(D135=A126,D135=A127,D135=A129),TRUE(),FALSE()))</f>
        <v>#REF!</v>
      </c>
      <c r="E154" s="132" t="e">
        <f>IF(AND(D151=FALSE(),D153=FALSE(),D154=TRUE()),J146,0)</f>
        <v>#REF!</v>
      </c>
    </row>
    <row r="155" spans="1:13">
      <c r="A155" s="133" t="s">
        <v>261</v>
      </c>
      <c r="B155" s="133"/>
      <c r="C155" s="133"/>
      <c r="D155" s="133" t="e">
        <f>IF(AND(D151=FALSE(),D153=FALSE(),D154=FALSE()),TRUE(),FALSE())</f>
        <v>#REF!</v>
      </c>
      <c r="E155" s="134" t="e">
        <f>IF(D155=TRUE(),G146,0)</f>
        <v>#REF!</v>
      </c>
    </row>
    <row r="156" spans="1:13">
      <c r="A156" s="321" t="s">
        <v>262</v>
      </c>
      <c r="B156" s="321"/>
      <c r="C156" s="321"/>
      <c r="D156" s="321"/>
      <c r="E156" s="135" t="e">
        <f>VLOOKUP(TRUE(),D151:E155,2,FALSE())</f>
        <v>#N/A</v>
      </c>
    </row>
    <row r="158" spans="1:13">
      <c r="A158" s="65" t="s">
        <v>263</v>
      </c>
      <c r="D158" s="63" t="e">
        <f>IF(OR(D139=TRUE(),E143=0),"",IF(D153=TRUE(),"YTD average monthly earnings reflect greater than 10% reduction",IF(G143&lt;D138,CONCATENATE("NOTE: YTD earnings reflect borrower is averaging ",D227," hours weekly."),"")))</f>
        <v>#REF!</v>
      </c>
      <c r="G158" s="111" t="s">
        <v>264</v>
      </c>
    </row>
    <row r="160" spans="1:13">
      <c r="A160" s="314" t="s">
        <v>81</v>
      </c>
      <c r="B160" s="314"/>
      <c r="C160" s="314"/>
      <c r="D160" s="314"/>
      <c r="E160" s="314"/>
      <c r="F160" s="314"/>
      <c r="G160" s="314"/>
      <c r="H160" s="314"/>
      <c r="I160" s="314"/>
      <c r="J160" s="314"/>
      <c r="K160" s="314"/>
      <c r="L160" s="314"/>
      <c r="M160" s="314"/>
    </row>
    <row r="162" spans="1:13">
      <c r="A162" s="116" t="s">
        <v>265</v>
      </c>
      <c r="B162" s="116" t="s">
        <v>91</v>
      </c>
      <c r="C162" s="116" t="s">
        <v>266</v>
      </c>
      <c r="D162" s="116" t="s">
        <v>82</v>
      </c>
      <c r="E162" s="116" t="s">
        <v>267</v>
      </c>
      <c r="F162" s="116" t="s">
        <v>268</v>
      </c>
      <c r="G162" s="116" t="s">
        <v>36</v>
      </c>
      <c r="H162" s="116" t="s">
        <v>68</v>
      </c>
      <c r="I162" s="116"/>
      <c r="J162" s="116"/>
      <c r="K162" s="116" t="s">
        <v>84</v>
      </c>
    </row>
    <row r="163" spans="1:13">
      <c r="A163" s="137" t="b">
        <f>FALSE()</f>
        <v>0</v>
      </c>
      <c r="B163" s="83" t="e">
        <f>#REF!</f>
        <v>#REF!</v>
      </c>
      <c r="C163" s="138" t="e">
        <f>#REF!</f>
        <v>#REF!</v>
      </c>
      <c r="D163" s="48" t="e">
        <f>#REF!</f>
        <v>#REF!</v>
      </c>
      <c r="E163" s="139" t="e">
        <f>#REF!</f>
        <v>#REF!</v>
      </c>
      <c r="F163" s="130" t="e">
        <f>IF(OR(A163=FALSE(),C163=0,E163=0),0,E163*VLOOKUP(B163,$C$37:$D$42,2))</f>
        <v>#REF!</v>
      </c>
      <c r="G163" s="130" t="e">
        <f>IF(AND(C163&lt;&gt;0,D163&lt;&gt;0),0,IF(D163&lt;&gt;0,C163-D163,C163-F163))</f>
        <v>#REF!</v>
      </c>
      <c r="H163" s="131" t="e">
        <f>#REF!</f>
        <v>#REF!</v>
      </c>
      <c r="I163" s="131"/>
      <c r="J163" s="131"/>
      <c r="K163" s="130" t="str">
        <f>IF(A163=FALSE(),"",IF(AND(D163&gt;0,E163&gt;0),"Error Dep &amp; Buss",IF(OR(H163=0,H163=""),0,ROUND(G163/H163,0))))</f>
        <v/>
      </c>
    </row>
    <row r="164" spans="1:13">
      <c r="A164" s="39" t="b">
        <f>FALSE()</f>
        <v>0</v>
      </c>
      <c r="B164" s="83" t="e">
        <f>#REF!</f>
        <v>#REF!</v>
      </c>
      <c r="C164" s="138" t="e">
        <f>#REF!</f>
        <v>#REF!</v>
      </c>
      <c r="D164" s="48" t="e">
        <f>#REF!</f>
        <v>#REF!</v>
      </c>
      <c r="E164" s="139" t="e">
        <f>#REF!</f>
        <v>#REF!</v>
      </c>
      <c r="F164" s="130" t="e">
        <f>IF(OR(A164=FALSE(),C164=0,E164=0),0,E164*VLOOKUP(B163,$C$37:$D$42,2))</f>
        <v>#REF!</v>
      </c>
      <c r="G164" s="130" t="e">
        <f>IF(AND(C164&lt;&gt;0,D164&lt;&gt;0),0,IF(D164&lt;&gt;0,C164-D164,C164-F164))</f>
        <v>#REF!</v>
      </c>
      <c r="H164" s="131" t="e">
        <f>#REF!</f>
        <v>#REF!</v>
      </c>
      <c r="I164" s="131"/>
      <c r="J164" s="131"/>
      <c r="K164" s="130" t="str">
        <f>IF(A164=FALSE(),"",IF(AND(D164&gt;0,E164&gt;0),"Error Dep &amp; Buss",IF(OR(H164=0,H164=""),0,ROUND(G164/H164,0))))</f>
        <v/>
      </c>
    </row>
    <row r="165" spans="1:13">
      <c r="A165" s="78" t="s">
        <v>255</v>
      </c>
      <c r="B165" s="128"/>
      <c r="C165" s="129"/>
      <c r="D165" s="129"/>
      <c r="E165" s="139" t="e">
        <f>SUM(E163:E164)</f>
        <v>#REF!</v>
      </c>
      <c r="F165" s="130" t="e">
        <f>SUM(F163:F164)</f>
        <v>#REF!</v>
      </c>
      <c r="G165" s="130" t="e">
        <f>SUM(G163:G164)</f>
        <v>#REF!</v>
      </c>
      <c r="H165" s="131" t="e">
        <f>SUM(H163:H164)</f>
        <v>#REF!</v>
      </c>
      <c r="I165" s="131"/>
      <c r="J165" s="131"/>
      <c r="K165" s="130">
        <f>IF(ISERROR(G165/H165),0,IF(AND(A163=TRUE(),A164=TRUE()),ROUND(G165/H165,0),IF(AND(A163=TRUE(),A164=FALSE()),K163,IF(AND(A163=FALSE(),A164=TRUE()),K164,0))))</f>
        <v>0</v>
      </c>
    </row>
    <row r="167" spans="1:13">
      <c r="A167" s="65" t="s">
        <v>269</v>
      </c>
      <c r="D167" s="65" t="b">
        <f>FALSE()</f>
        <v>0</v>
      </c>
      <c r="G167" s="111" t="s">
        <v>270</v>
      </c>
    </row>
    <row r="169" spans="1:13">
      <c r="A169" s="314" t="s">
        <v>271</v>
      </c>
      <c r="B169" s="314"/>
      <c r="C169" s="314"/>
      <c r="D169" s="314"/>
      <c r="E169" s="314"/>
      <c r="F169" s="314"/>
      <c r="G169" s="314"/>
      <c r="H169" s="314"/>
      <c r="I169" s="314"/>
      <c r="J169" s="314"/>
      <c r="K169" s="314"/>
      <c r="L169" s="314"/>
      <c r="M169" s="314"/>
    </row>
    <row r="171" spans="1:13">
      <c r="A171" s="65" t="s">
        <v>272</v>
      </c>
      <c r="D171" s="115" t="e">
        <f>G146</f>
        <v>#REF!</v>
      </c>
      <c r="F171" s="63" t="e">
        <f>IF(OR(D135=A126,D135=A127,D135=A129),CONCATENATE("total average earnings for the past ",I146," months"),"(lower of Current Rate or YTD avg, or explanation provided)")</f>
        <v>#REF!</v>
      </c>
    </row>
    <row r="172" spans="1:13">
      <c r="A172" s="65" t="s">
        <v>273</v>
      </c>
      <c r="D172" s="115">
        <f>IF(K165=0,0,IF(D167=TRUE(),K165,0))</f>
        <v>0</v>
      </c>
    </row>
    <row r="173" spans="1:13">
      <c r="A173" s="65" t="s">
        <v>274</v>
      </c>
      <c r="D173" s="115" t="e">
        <f>#REF!</f>
        <v>#REF!</v>
      </c>
    </row>
    <row r="174" spans="1:13">
      <c r="A174" s="65" t="s">
        <v>275</v>
      </c>
      <c r="D174" s="115" t="e">
        <f>(D171+D173)-D172</f>
        <v>#REF!</v>
      </c>
    </row>
    <row r="176" spans="1:13">
      <c r="A176" s="319" t="s">
        <v>276</v>
      </c>
      <c r="B176" s="319"/>
      <c r="C176" s="319"/>
      <c r="D176" s="319"/>
      <c r="E176" s="319"/>
      <c r="F176" s="319"/>
      <c r="G176" s="319"/>
      <c r="H176" s="319"/>
      <c r="I176" s="319"/>
      <c r="J176" s="319"/>
      <c r="K176" s="319"/>
      <c r="L176" s="319"/>
      <c r="M176" s="319"/>
    </row>
    <row r="177" spans="1:13">
      <c r="B177" s="112"/>
      <c r="C177" s="140"/>
      <c r="D177" s="40"/>
    </row>
    <row r="178" spans="1:13">
      <c r="A178" s="316"/>
      <c r="B178" s="316"/>
      <c r="C178" s="141" t="s">
        <v>277</v>
      </c>
      <c r="D178" s="142" t="s">
        <v>278</v>
      </c>
      <c r="E178" s="142" t="s">
        <v>279</v>
      </c>
      <c r="F178" s="143" t="s">
        <v>2</v>
      </c>
      <c r="G178" s="142" t="s">
        <v>280</v>
      </c>
      <c r="H178" s="317" t="s">
        <v>232</v>
      </c>
      <c r="I178" s="317"/>
      <c r="J178" s="317"/>
      <c r="K178" s="317"/>
      <c r="L178" s="317"/>
    </row>
    <row r="179" spans="1:13">
      <c r="A179" s="318" t="e">
        <f>CONCATENATE(" Total ",B143," YTD")</f>
        <v>#REF!</v>
      </c>
      <c r="B179" s="318"/>
      <c r="C179" s="41" t="e">
        <f>IF(OR(G143=0,G143=""),0,G143)</f>
        <v>#REF!</v>
      </c>
      <c r="D179" s="41" t="e">
        <f>ABS(C179-C180)</f>
        <v>#REF!</v>
      </c>
      <c r="E179" s="144" t="e">
        <f>IF(C180=0,100%,D179/C180)</f>
        <v>#REF!</v>
      </c>
      <c r="F179" s="145" t="e">
        <f>IF(C179&gt;C180," Increase"," Decrease")</f>
        <v>#REF!</v>
      </c>
      <c r="G179" s="146" t="e">
        <f>IF((C180+(C180*E179))=C179,"PASS","FAIL")</f>
        <v>#REF!</v>
      </c>
      <c r="H179" s="318" t="e">
        <f>IF(OR(C179=0,C179="")," ",CONCATENATE(B144," to ",B143," = ",TEXT(E179,"###.0%"),F179))</f>
        <v>#REF!</v>
      </c>
      <c r="I179" s="318"/>
      <c r="J179" s="318"/>
      <c r="K179" s="318"/>
      <c r="L179" s="318"/>
    </row>
    <row r="180" spans="1:13">
      <c r="A180" s="318" t="e">
        <f>CONCATENATE(" Total ",B144)</f>
        <v>#REF!</v>
      </c>
      <c r="B180" s="318"/>
      <c r="C180" s="41" t="e">
        <f>IF(OR(G144=0,G144=""),0,G144)</f>
        <v>#REF!</v>
      </c>
      <c r="D180" s="41" t="e">
        <f>ABS(C180-C181)</f>
        <v>#REF!</v>
      </c>
      <c r="E180" s="144" t="e">
        <f>IF(C181=0,100%,D180/C181)</f>
        <v>#REF!</v>
      </c>
      <c r="F180" s="145" t="e">
        <f>IF(C180&gt;C181," Increase"," Decrease")</f>
        <v>#REF!</v>
      </c>
      <c r="G180" s="146" t="e">
        <f>IF((C181+(C181*E180))=C180,"PASS","FAIL")</f>
        <v>#REF!</v>
      </c>
      <c r="H180" s="318" t="e">
        <f>IF(OR(C180=0,C180="")," ",CONCATENATE(B145," to ",B144," = ",TEXT(E180,"###.0%"),F180))</f>
        <v>#REF!</v>
      </c>
      <c r="I180" s="318"/>
      <c r="J180" s="318"/>
      <c r="K180" s="318"/>
      <c r="L180" s="318"/>
    </row>
    <row r="181" spans="1:13">
      <c r="A181" s="318" t="e">
        <f>CONCATENATE(" Total ",B145)</f>
        <v>#REF!</v>
      </c>
      <c r="B181" s="318"/>
      <c r="C181" s="41" t="e">
        <f>IF(OR(G145=0,G145=""),0,G145)</f>
        <v>#REF!</v>
      </c>
      <c r="D181" s="41" t="e">
        <f>ABS(C179-C181)</f>
        <v>#REF!</v>
      </c>
      <c r="E181" s="144" t="e">
        <f>IF(C181=0,100%,D181/C181)</f>
        <v>#REF!</v>
      </c>
      <c r="F181" s="145" t="e">
        <f>IF(C181&gt;C182," Increase"," Decrease")</f>
        <v>#REF!</v>
      </c>
      <c r="G181" s="146" t="e">
        <f>IF((C181+(C181*E181))=C179,"PASS","FAIL")</f>
        <v>#REF!</v>
      </c>
      <c r="H181" s="318" t="e">
        <f>IF(OR(C181=0,C181="")," ",CONCATENATE(B145," to ",B143," = ",TEXT(E181,"###.0%"),F181))</f>
        <v>#REF!</v>
      </c>
      <c r="I181" s="318"/>
      <c r="J181" s="318"/>
      <c r="K181" s="318"/>
      <c r="L181" s="318"/>
    </row>
    <row r="182" spans="1:13">
      <c r="C182" s="42"/>
    </row>
    <row r="183" spans="1:13">
      <c r="C183" s="42" t="e">
        <f>IF(AND(C179&gt;0,C180&gt;0,C181&gt;0),TRUE(),FALSE())</f>
        <v>#REF!</v>
      </c>
      <c r="D183" s="63" t="e">
        <f>CONCATENATE("Variances in earnings:  ",H180,"  &amp;  ",H179)</f>
        <v>#REF!</v>
      </c>
    </row>
    <row r="184" spans="1:13">
      <c r="C184" s="42" t="e">
        <f>IF(AND(C179&gt;0,C180&gt;0,C181=0),TRUE(),FALSE())</f>
        <v>#REF!</v>
      </c>
      <c r="D184" s="63" t="e">
        <f>CONCATENATE("Variances in earnings:  ",H180)</f>
        <v>#REF!</v>
      </c>
    </row>
    <row r="185" spans="1:13">
      <c r="C185" s="42" t="e">
        <f>IF(AND(C179&gt;0,C180=0,C181&gt;0),TRUE(),FALSE())</f>
        <v>#REF!</v>
      </c>
      <c r="D185" s="63" t="e">
        <f>CONCATENATE("Variances in earnings:  ",H181)</f>
        <v>#REF!</v>
      </c>
    </row>
    <row r="186" spans="1:13">
      <c r="C186" s="42" t="e">
        <f>IF(AND(C180=0,C181=0,C182=0),TRUE(),FALSE())</f>
        <v>#REF!</v>
      </c>
      <c r="D186" s="65" t="s">
        <v>281</v>
      </c>
    </row>
    <row r="188" spans="1:13">
      <c r="A188" s="319" t="s">
        <v>282</v>
      </c>
      <c r="B188" s="319"/>
      <c r="C188" s="319"/>
      <c r="D188" s="319"/>
      <c r="E188" s="319"/>
      <c r="F188" s="319"/>
      <c r="G188" s="319"/>
      <c r="H188" s="319"/>
      <c r="I188" s="319"/>
      <c r="J188" s="319"/>
      <c r="K188" s="319"/>
      <c r="L188" s="319"/>
      <c r="M188" s="319"/>
    </row>
    <row r="190" spans="1:13">
      <c r="A190" s="65" t="s">
        <v>283</v>
      </c>
      <c r="D190" s="66" t="e">
        <f>D143</f>
        <v>#REF!</v>
      </c>
    </row>
    <row r="191" spans="1:13">
      <c r="A191" s="65" t="s">
        <v>284</v>
      </c>
      <c r="D191" s="66" t="e">
        <f>IF(D190="","",EOMONTH(DATE(YEAR(D190),1,1),2))</f>
        <v>#REF!</v>
      </c>
    </row>
    <row r="192" spans="1:13">
      <c r="A192" s="65" t="s">
        <v>285</v>
      </c>
      <c r="D192" s="66" t="e">
        <f>IF(D190&lt;D191,TRUE(),FALSE())</f>
        <v>#REF!</v>
      </c>
    </row>
    <row r="194" spans="1:10">
      <c r="A194" s="63" t="e">
        <f>CONCATENATE(" Total earnings (",B143," YTD)")</f>
        <v>#REF!</v>
      </c>
      <c r="D194" s="112" t="e">
        <f>E143</f>
        <v>#REF!</v>
      </c>
      <c r="F194" s="64">
        <f ca="1">EOMONTH(DATE(YEAR(TODAY()),1,1),2)</f>
        <v>46112</v>
      </c>
    </row>
    <row r="195" spans="1:10">
      <c r="A195" s="63" t="e">
        <f>CONCATENATE(" Total earnings (",B144,")")</f>
        <v>#REF!</v>
      </c>
      <c r="D195" s="112" t="e">
        <f>IF(D192=TRUE(),E144,0)</f>
        <v>#REF!</v>
      </c>
      <c r="F195" s="63">
        <f>EOMONTH("01/01/2016",2)</f>
        <v>42460</v>
      </c>
      <c r="G195" s="66">
        <f>F195</f>
        <v>42460</v>
      </c>
    </row>
    <row r="196" spans="1:10">
      <c r="A196" s="65" t="s">
        <v>286</v>
      </c>
      <c r="D196" s="112" t="e">
        <f>D194+D195</f>
        <v>#REF!</v>
      </c>
    </row>
    <row r="198" spans="1:10">
      <c r="A198" s="63" t="e">
        <f>CONCATENATE(" Months included (",B143," YTD)")</f>
        <v>#REF!</v>
      </c>
      <c r="D198" s="147" t="e">
        <f>IF(F143="",0,F143)</f>
        <v>#REF!</v>
      </c>
    </row>
    <row r="199" spans="1:10">
      <c r="A199" s="63" t="e">
        <f>CONCATENATE(" Months included (",B144,")")</f>
        <v>#REF!</v>
      </c>
      <c r="D199" s="147" t="e">
        <f>IF(D192=TRUE(),F144,0)</f>
        <v>#REF!</v>
      </c>
    </row>
    <row r="200" spans="1:10">
      <c r="A200" s="65" t="s">
        <v>287</v>
      </c>
      <c r="D200" s="147" t="e">
        <f>D198+D199</f>
        <v>#REF!</v>
      </c>
    </row>
    <row r="202" spans="1:10">
      <c r="A202" s="65" t="s">
        <v>286</v>
      </c>
      <c r="D202" s="115" t="e">
        <f>IF(OR(A143=FALSE(),E143=""),0,D196)</f>
        <v>#REF!</v>
      </c>
      <c r="F202" s="115"/>
      <c r="G202" s="111" t="s">
        <v>288</v>
      </c>
    </row>
    <row r="203" spans="1:10">
      <c r="A203" s="65" t="s">
        <v>289</v>
      </c>
      <c r="D203" s="147" t="e">
        <f>IF(OR(A143=FALSE(),E143="",E143=0,F143=0),0,D200)</f>
        <v>#REF!</v>
      </c>
      <c r="F203" s="140"/>
      <c r="G203" s="111" t="s">
        <v>290</v>
      </c>
    </row>
    <row r="204" spans="1:10">
      <c r="A204" s="65" t="s">
        <v>235</v>
      </c>
      <c r="D204" s="148" t="e">
        <f>D133</f>
        <v>#REF!</v>
      </c>
      <c r="F204" s="112"/>
      <c r="G204" s="111" t="s">
        <v>236</v>
      </c>
      <c r="H204" s="149"/>
      <c r="I204" s="149"/>
      <c r="J204" s="149"/>
    </row>
    <row r="205" spans="1:10">
      <c r="A205" s="65" t="s">
        <v>291</v>
      </c>
      <c r="D205" s="112" t="e">
        <f>IF(OR(D202=0,D203=0,),0,D202/D203)</f>
        <v>#REF!</v>
      </c>
      <c r="F205" s="112"/>
      <c r="G205" s="111" t="s">
        <v>292</v>
      </c>
      <c r="H205" s="149"/>
      <c r="I205" s="149"/>
      <c r="J205" s="149"/>
    </row>
    <row r="206" spans="1:10">
      <c r="A206" s="65" t="s">
        <v>293</v>
      </c>
      <c r="D206" s="112" t="e">
        <f>H146</f>
        <v>#REF!</v>
      </c>
      <c r="F206" s="112"/>
      <c r="G206" s="111" t="s">
        <v>294</v>
      </c>
      <c r="H206" s="149"/>
      <c r="I206" s="149"/>
      <c r="J206" s="149"/>
    </row>
    <row r="207" spans="1:10">
      <c r="D207" s="112"/>
      <c r="F207" s="112"/>
      <c r="G207" s="149"/>
      <c r="H207" s="149"/>
      <c r="I207" s="149"/>
      <c r="J207" s="149"/>
    </row>
    <row r="208" spans="1:10">
      <c r="A208" s="65" t="s">
        <v>295</v>
      </c>
      <c r="D208" s="112"/>
      <c r="F208" s="112"/>
      <c r="G208" s="149"/>
      <c r="H208" s="149"/>
      <c r="I208" s="149"/>
      <c r="J208" s="149"/>
    </row>
    <row r="209" spans="1:10">
      <c r="A209" s="150" t="s">
        <v>296</v>
      </c>
      <c r="D209" s="112" t="e">
        <f>D205</f>
        <v>#REF!</v>
      </c>
      <c r="F209" s="112"/>
      <c r="G209" s="149"/>
      <c r="H209" s="149"/>
      <c r="I209" s="149"/>
      <c r="J209" s="149"/>
    </row>
    <row r="210" spans="1:10">
      <c r="A210" s="150" t="s">
        <v>297</v>
      </c>
      <c r="D210" s="112" t="e">
        <f>D209*12</f>
        <v>#REF!</v>
      </c>
      <c r="F210" s="112"/>
      <c r="G210" s="149"/>
      <c r="H210" s="149"/>
      <c r="I210" s="149"/>
      <c r="J210" s="149"/>
    </row>
    <row r="211" spans="1:10">
      <c r="A211" s="150" t="s">
        <v>298</v>
      </c>
      <c r="D211" s="112" t="e">
        <f>D210/52</f>
        <v>#REF!</v>
      </c>
      <c r="F211" s="112"/>
      <c r="G211" s="149"/>
      <c r="H211" s="149"/>
      <c r="I211" s="149"/>
      <c r="J211" s="149"/>
    </row>
    <row r="212" spans="1:10">
      <c r="A212" s="150" t="s">
        <v>299</v>
      </c>
      <c r="D212" s="112" t="e">
        <f>D133</f>
        <v>#REF!</v>
      </c>
      <c r="F212" s="112"/>
      <c r="G212" s="149"/>
      <c r="H212" s="149"/>
      <c r="I212" s="149"/>
      <c r="J212" s="149"/>
    </row>
    <row r="213" spans="1:10">
      <c r="A213" s="150" t="s">
        <v>300</v>
      </c>
      <c r="D213" s="112" t="e">
        <f>IF(D212=0,0,IF(D139=TRUE(),40,IF(AND(D139=FALSE(),D212&gt;0,D135="Hourly (H)",E143=0),40,IF((D211/D212)&gt;40,40,D211/D212))))</f>
        <v>#REF!</v>
      </c>
      <c r="E213" s="63" t="e">
        <f>IF(AND(#REF!="Hourly (H)",#REF!=D213),TRUE(),FALSE())</f>
        <v>#REF!</v>
      </c>
      <c r="F213" s="112"/>
      <c r="G213" s="149"/>
      <c r="H213" s="149"/>
      <c r="I213" s="149"/>
      <c r="J213" s="149"/>
    </row>
    <row r="214" spans="1:10">
      <c r="A214" s="150" t="s">
        <v>301</v>
      </c>
      <c r="D214" s="113" t="e">
        <f>IF(D135="Hourly (H)",D213,"N/A")</f>
        <v>#REF!</v>
      </c>
      <c r="F214" s="112"/>
      <c r="G214" s="149"/>
      <c r="H214" s="149"/>
      <c r="I214" s="149"/>
      <c r="J214" s="149"/>
    </row>
    <row r="215" spans="1:10">
      <c r="A215" s="150" t="s">
        <v>302</v>
      </c>
      <c r="D215" s="112" t="e">
        <f>IF(D212=0,"Weekly",IF(OR(D135&lt;&gt;"Hourly (H)",(D211/D212)&gt;40),"Weekly","Average Weekly"))</f>
        <v>#REF!</v>
      </c>
      <c r="F215" s="112"/>
      <c r="G215" s="149"/>
      <c r="H215" s="149"/>
      <c r="I215" s="149"/>
      <c r="J215" s="149"/>
    </row>
    <row r="216" spans="1:10">
      <c r="D216" s="112"/>
      <c r="F216" s="112"/>
      <c r="G216" s="149"/>
      <c r="H216" s="149"/>
      <c r="I216" s="149"/>
      <c r="J216" s="149"/>
    </row>
    <row r="217" spans="1:10">
      <c r="A217" s="63" t="e">
        <f>CONCATENATE(" Total days (",B143," YTD)")</f>
        <v>#REF!</v>
      </c>
      <c r="D217" s="112" t="e">
        <f>IF(D143="",0,(D143-C143)+1)</f>
        <v>#REF!</v>
      </c>
      <c r="F217" s="112"/>
      <c r="G217" s="111" t="s">
        <v>303</v>
      </c>
      <c r="H217" s="149"/>
      <c r="I217" s="149"/>
      <c r="J217" s="149"/>
    </row>
    <row r="218" spans="1:10">
      <c r="A218" s="63" t="e">
        <f>CONCATENATE(" Total days (",B144,")")</f>
        <v>#REF!</v>
      </c>
      <c r="D218" s="112" t="e">
        <f>IF(D192=TRUE(),(D144-C144)+1,0)</f>
        <v>#REF!</v>
      </c>
      <c r="F218" s="112"/>
      <c r="G218" s="111" t="s">
        <v>303</v>
      </c>
      <c r="H218" s="149"/>
      <c r="I218" s="149"/>
      <c r="J218" s="149"/>
    </row>
    <row r="219" spans="1:10">
      <c r="A219" s="65" t="s">
        <v>304</v>
      </c>
      <c r="D219" s="112" t="e">
        <f>SUM(D217:D218)</f>
        <v>#REF!</v>
      </c>
      <c r="F219" s="112"/>
      <c r="G219" s="111" t="s">
        <v>305</v>
      </c>
      <c r="H219" s="149"/>
      <c r="I219" s="149"/>
      <c r="J219" s="149"/>
    </row>
    <row r="220" spans="1:10">
      <c r="D220" s="112"/>
      <c r="F220" s="112"/>
      <c r="G220" s="149"/>
      <c r="H220" s="149"/>
      <c r="I220" s="149"/>
      <c r="J220" s="149"/>
    </row>
    <row r="221" spans="1:10">
      <c r="A221" s="63" t="e">
        <f>CONCATENATE(" Total weeks (",B143," YTD)")</f>
        <v>#REF!</v>
      </c>
      <c r="D221" s="112" t="e">
        <f>ROUND(D217/7,0)</f>
        <v>#REF!</v>
      </c>
      <c r="F221" s="112"/>
      <c r="G221" s="111" t="s">
        <v>306</v>
      </c>
      <c r="H221" s="149"/>
      <c r="I221" s="149"/>
      <c r="J221" s="149"/>
    </row>
    <row r="222" spans="1:10">
      <c r="A222" s="63" t="e">
        <f>CONCATENATE(" Total weeks (",B144,")")</f>
        <v>#REF!</v>
      </c>
      <c r="D222" s="112" t="e">
        <f>IF(D192=TRUE(),ROUND(D218/7,0),0)</f>
        <v>#REF!</v>
      </c>
      <c r="F222" s="112"/>
      <c r="G222" s="111" t="s">
        <v>306</v>
      </c>
      <c r="H222" s="149"/>
      <c r="I222" s="149"/>
      <c r="J222" s="149"/>
    </row>
    <row r="223" spans="1:10">
      <c r="A223" s="65" t="s">
        <v>307</v>
      </c>
      <c r="D223" s="112" t="e">
        <f>SUM(D221:D222)</f>
        <v>#REF!</v>
      </c>
      <c r="F223" s="112"/>
      <c r="G223" s="111" t="s">
        <v>308</v>
      </c>
      <c r="H223" s="149"/>
      <c r="I223" s="149"/>
      <c r="J223" s="149"/>
    </row>
    <row r="224" spans="1:10">
      <c r="D224" s="112"/>
      <c r="F224" s="112"/>
      <c r="G224" s="149"/>
      <c r="H224" s="149"/>
      <c r="I224" s="149"/>
      <c r="J224" s="149"/>
    </row>
    <row r="225" spans="1:11">
      <c r="A225" s="65" t="s">
        <v>309</v>
      </c>
      <c r="D225" s="112" t="e">
        <f>(D205*12)/52</f>
        <v>#REF!</v>
      </c>
      <c r="F225" s="112"/>
      <c r="G225" s="111" t="s">
        <v>310</v>
      </c>
      <c r="H225" s="149"/>
      <c r="I225" s="149"/>
      <c r="J225" s="149"/>
    </row>
    <row r="226" spans="1:11">
      <c r="A226" s="65" t="s">
        <v>311</v>
      </c>
      <c r="D226" s="112" t="e">
        <f>IF(OR(D135=0,D225=0),0,IF(OR(D135=A126,D135=A127,D135=A129),D133,D133/VLOOKUP(D135,A122:E130,3)))</f>
        <v>#REF!</v>
      </c>
      <c r="F226" s="112"/>
      <c r="G226" s="111" t="s">
        <v>312</v>
      </c>
      <c r="H226" s="149"/>
      <c r="I226" s="149"/>
      <c r="J226" s="149"/>
    </row>
    <row r="227" spans="1:11">
      <c r="A227" s="65" t="s">
        <v>313</v>
      </c>
      <c r="D227" s="147" t="e">
        <f>IF(D226=0,0,ROUND(D225/D226,1))</f>
        <v>#REF!</v>
      </c>
      <c r="E227" s="112"/>
      <c r="F227" s="112"/>
      <c r="G227" s="111" t="s">
        <v>314</v>
      </c>
      <c r="K227" s="112"/>
    </row>
    <row r="229" spans="1:11">
      <c r="A229" s="65" t="s">
        <v>315</v>
      </c>
      <c r="D229" s="148" t="e">
        <f>IF(OR(D135=A126,D135=A127,D135=A129),J146,D138)</f>
        <v>#REF!</v>
      </c>
      <c r="G229" s="111" t="s">
        <v>316</v>
      </c>
    </row>
    <row r="230" spans="1:11">
      <c r="A230" s="65" t="s">
        <v>289</v>
      </c>
      <c r="D230" s="148" t="e">
        <f>IF(OR(E143="",E143=0,A143=FALSE()),"",ROUND((((D143-C143)+1)/365)*12,1))</f>
        <v>#REF!</v>
      </c>
      <c r="F230" s="63" t="e">
        <f>VLOOKUP(D135,D49:G57,4)</f>
        <v>#REF!</v>
      </c>
      <c r="G230" s="111" t="s">
        <v>317</v>
      </c>
    </row>
    <row r="231" spans="1:11">
      <c r="A231" s="65" t="s">
        <v>318</v>
      </c>
      <c r="D231" s="112" t="e">
        <f>IF(OR(D229=0,D229="",D230=0,D230=""),0,ROUND(D229*D230,0))</f>
        <v>#REF!</v>
      </c>
      <c r="G231" s="111" t="s">
        <v>319</v>
      </c>
    </row>
    <row r="232" spans="1:11">
      <c r="B232" s="112"/>
      <c r="C232" s="140"/>
      <c r="D232" s="40"/>
    </row>
    <row r="233" spans="1:11">
      <c r="A233" s="314" t="s">
        <v>320</v>
      </c>
      <c r="B233" s="314"/>
      <c r="C233" s="314"/>
      <c r="D233" s="314"/>
      <c r="E233" s="314"/>
      <c r="F233" s="314"/>
      <c r="G233" s="314"/>
      <c r="H233" s="314"/>
      <c r="I233" s="314"/>
      <c r="J233" s="314"/>
      <c r="K233" s="314"/>
    </row>
    <row r="234" spans="1:11">
      <c r="B234" s="112"/>
      <c r="C234" s="140"/>
      <c r="D234" s="40"/>
    </row>
    <row r="235" spans="1:11">
      <c r="A235" s="65" t="s">
        <v>321</v>
      </c>
      <c r="B235" s="112"/>
      <c r="C235" s="140"/>
      <c r="D235" s="63" t="e">
        <f>VLOOKUP(TRUE(),C183:D186,2,FALSE())</f>
        <v>#N/A</v>
      </c>
    </row>
    <row r="236" spans="1:11">
      <c r="B236" s="112"/>
      <c r="C236" s="140"/>
    </row>
    <row r="237" spans="1:11">
      <c r="A237" s="65" t="s">
        <v>322</v>
      </c>
      <c r="B237" s="112"/>
      <c r="C237" s="140"/>
      <c r="D237" s="63" t="e">
        <f>IF(AND(D238=FALSE(),D239=FALSE(),D240=FALSE(),D241=FALSE(),D242=FALSE(),D243=FALSE()),TRUE(),FALSE())</f>
        <v>#REF!</v>
      </c>
      <c r="E237" s="65" t="s">
        <v>323</v>
      </c>
    </row>
    <row r="238" spans="1:11">
      <c r="A238" s="150" t="s">
        <v>324</v>
      </c>
      <c r="B238" s="112"/>
      <c r="C238" s="140"/>
      <c r="D238" s="65" t="b">
        <f>IF(D139=TRUE(),TRUE(),FALSE())</f>
        <v>0</v>
      </c>
      <c r="E238" s="65" t="s">
        <v>325</v>
      </c>
    </row>
    <row r="239" spans="1:11">
      <c r="A239" s="150" t="s">
        <v>0</v>
      </c>
      <c r="B239" s="112"/>
      <c r="C239" s="140"/>
      <c r="D239" s="63" t="e">
        <f>IF(AND(D139=FALSE(),D138&gt;0,D171&gt;0,D171=D138),TRUE(),FALSE())</f>
        <v>#REF!</v>
      </c>
      <c r="E239" s="65" t="s">
        <v>326</v>
      </c>
    </row>
    <row r="240" spans="1:11">
      <c r="A240" s="150" t="s">
        <v>327</v>
      </c>
      <c r="B240" s="112"/>
      <c r="C240" s="140"/>
      <c r="D240" s="63" t="e">
        <f>IF(AND(D139&lt;&gt;FALSE(),D171&lt;D138),TRUE(),FALSE())</f>
        <v>#REF!</v>
      </c>
      <c r="E240" s="65" t="s">
        <v>328</v>
      </c>
    </row>
    <row r="241" spans="1:13">
      <c r="A241" s="150" t="s">
        <v>329</v>
      </c>
      <c r="B241" s="112"/>
      <c r="C241" s="140"/>
      <c r="D241" s="63" t="e">
        <f>IF(AND(M143=TRUE(),M144=TRUE(),M145=TRUE(),OR(D135="Part-Time",D135="Varies",D135="Varies / Averaged",D135="Seasonal")),TRUE(),FALSE())</f>
        <v>#REF!</v>
      </c>
      <c r="E241" s="63" t="e">
        <f>CONCATENATE("Total qualifying income determined with earnings from YTD ",B143,", Year ",B144,", and Year ",B145,".")</f>
        <v>#REF!</v>
      </c>
    </row>
    <row r="242" spans="1:13">
      <c r="A242" s="150" t="s">
        <v>330</v>
      </c>
      <c r="B242" s="112"/>
      <c r="C242" s="140"/>
      <c r="D242" s="63" t="e">
        <f>IF(AND(M143=TRUE(),M144=TRUE(),M145=FALSE(),OR(D135="Part-Time",D135="Varies",D135="Varies / Averaged",D135="Seasonal")),TRUE(),FALSE())</f>
        <v>#REF!</v>
      </c>
      <c r="E242" s="63" t="e">
        <f>CONCATENATE("Total qualifying income determined with earnings from YTD ",B143,", and Year ",B144,".")</f>
        <v>#REF!</v>
      </c>
    </row>
    <row r="243" spans="1:13">
      <c r="A243" s="150" t="s">
        <v>331</v>
      </c>
      <c r="B243" s="112"/>
      <c r="C243" s="140"/>
      <c r="D243" s="63" t="e">
        <f>IF(AND(M143=TRUE(),M144=FALSE(),M145=FALSE(),D205&gt;=J146,OR(D135="Part-Time",D135="Varies",D135="Varies / Averaged",D135="Seasonal")),TRUE(),FALSE())</f>
        <v>#REF!</v>
      </c>
      <c r="E243" s="63" t="e">
        <f>CONCATENATE("Total qualifying income determined with earnings from YTD ",B143,".")</f>
        <v>#REF!</v>
      </c>
    </row>
    <row r="244" spans="1:13">
      <c r="B244" s="112"/>
      <c r="C244" s="140"/>
    </row>
    <row r="245" spans="1:13">
      <c r="A245" s="65" t="s">
        <v>332</v>
      </c>
      <c r="D245" s="63" t="str">
        <f>IF(ISERROR(J146),"Total qualifying income to be determined.",VLOOKUP(TRUE(),D237:E243,2,FALSE()))</f>
        <v>Total qualifying income to be determined.</v>
      </c>
    </row>
    <row r="247" spans="1:13">
      <c r="A247" s="65" t="s">
        <v>333</v>
      </c>
      <c r="D247" s="63" t="str">
        <f>IF(ISERROR(J146),"Average weekly hours worked to be determined.",IF(AND(E143=0,E144=0,E145=0),"Average weekly hours worked to be determined.",IF(OR(D133=0,D133="",D135=A127,D135=A129),"Average weekly hours worked vary.",CONCATENATE("YTD earnings, at current rate of pay, reflect borrower is working an average of ",TEXT(D227,"##.0")," hours weekly."))))</f>
        <v>Average weekly hours worked to be determined.</v>
      </c>
    </row>
    <row r="249" spans="1:13">
      <c r="A249" s="65" t="s">
        <v>334</v>
      </c>
      <c r="D249" s="63" t="e">
        <f>IF(OR(ISERROR(J146),C143="",D231=0),"Expected amount of YTD earnings to be determined.",VLOOKUP(D135,A122:E130,5,FALSE()))</f>
        <v>#REF!</v>
      </c>
    </row>
    <row r="251" spans="1:13">
      <c r="A251" s="65" t="s">
        <v>335</v>
      </c>
      <c r="B251" s="112"/>
      <c r="C251" s="140"/>
      <c r="D251" s="63" t="e">
        <f>IF(OR(ISERROR(J146),F146=0),"Total Average Base Earnings and period covered to be determined.",CONCATENATE("Total Average Base Earnings For The Past ",Data_Income!I146," Months = ",DOLLAR(ROUND(J146,0),2)))</f>
        <v>#REF!</v>
      </c>
    </row>
    <row r="252" spans="1:13">
      <c r="B252" s="112"/>
      <c r="C252" s="140"/>
      <c r="D252" s="40"/>
    </row>
    <row r="253" spans="1:13" ht="18" customHeight="1">
      <c r="A253" s="322" t="s">
        <v>336</v>
      </c>
      <c r="B253" s="322"/>
      <c r="C253" s="322"/>
      <c r="D253" s="322"/>
      <c r="E253" s="322"/>
      <c r="F253" s="322"/>
      <c r="G253" s="322"/>
      <c r="H253" s="322"/>
      <c r="I253" s="322"/>
      <c r="J253" s="322"/>
      <c r="K253" s="322"/>
      <c r="L253" s="322"/>
      <c r="M253" s="322"/>
    </row>
    <row r="254" spans="1:13">
      <c r="B254" s="112"/>
      <c r="C254" s="140"/>
      <c r="D254" s="40"/>
    </row>
    <row r="255" spans="1:13">
      <c r="A255" s="314" t="s">
        <v>183</v>
      </c>
      <c r="B255" s="314"/>
      <c r="C255" s="314"/>
      <c r="D255" s="314"/>
      <c r="E255" s="314"/>
      <c r="F255" s="314"/>
      <c r="G255" s="314"/>
      <c r="H255" s="314"/>
      <c r="I255" s="314"/>
      <c r="J255" s="314"/>
      <c r="K255" s="314"/>
    </row>
    <row r="256" spans="1:13">
      <c r="A256" s="151">
        <v>1</v>
      </c>
      <c r="B256" s="151">
        <v>2</v>
      </c>
      <c r="C256" s="151">
        <v>3</v>
      </c>
      <c r="D256" s="136">
        <v>4</v>
      </c>
      <c r="E256" s="152">
        <v>5</v>
      </c>
      <c r="F256" s="153"/>
      <c r="G256" s="153"/>
      <c r="H256" s="153"/>
      <c r="I256" s="153"/>
      <c r="J256" s="153"/>
      <c r="K256" s="154"/>
    </row>
    <row r="257" spans="1:11">
      <c r="A257" s="80" t="s">
        <v>184</v>
      </c>
      <c r="B257" s="80" t="s">
        <v>185</v>
      </c>
      <c r="C257" s="80" t="s">
        <v>186</v>
      </c>
      <c r="D257" s="80" t="s">
        <v>187</v>
      </c>
      <c r="E257" s="103" t="s">
        <v>232</v>
      </c>
      <c r="F257" s="104"/>
      <c r="G257" s="104"/>
      <c r="H257" s="104"/>
      <c r="I257" s="104"/>
      <c r="J257" s="104"/>
      <c r="K257" s="105"/>
    </row>
    <row r="258" spans="1:11">
      <c r="A258" s="50" t="str">
        <f>$C$54</f>
        <v>Annually (1)</v>
      </c>
      <c r="B258" s="83">
        <f>$E$49</f>
        <v>1</v>
      </c>
      <c r="C258" s="85">
        <f>$F$49</f>
        <v>2080</v>
      </c>
      <c r="D258" s="50" t="str">
        <f>$G$49</f>
        <v>annually</v>
      </c>
      <c r="E258" s="106" t="e">
        <f>IF(D271=0,"N/A",CONCATENATE("Working full-time at current rate of pay (",DOLLAR(D333,0)," annually), borrower's YTD earnings would need to reflect ",DOLLAR(D360,0)," as the total amount of base earnings from ",MONTH(C279),"/",DAY(C279),"/",YEAR(C279)," to ",MONTH(D279),"/",DAY(D279),"/",YEAR(D279)," (excluding bonus, commissions, differential, incentive, overtime, etc.)."))</f>
        <v>#REF!</v>
      </c>
      <c r="F258" s="104"/>
      <c r="G258" s="104"/>
      <c r="H258" s="104"/>
      <c r="I258" s="104"/>
      <c r="J258" s="104"/>
      <c r="K258" s="107"/>
    </row>
    <row r="259" spans="1:11">
      <c r="A259" s="108" t="str">
        <f>$C$51</f>
        <v>Bi-Weekly (26)</v>
      </c>
      <c r="B259" s="83">
        <f>$E$50</f>
        <v>26</v>
      </c>
      <c r="C259" s="85">
        <f>$F$50</f>
        <v>80</v>
      </c>
      <c r="D259" s="50" t="str">
        <f>$G$50</f>
        <v>bi-weekly</v>
      </c>
      <c r="E259" s="106" t="e">
        <f>IF(D271=0,"N/A",CONCATENATE("Working full-time at current rate of pay (",DOLLAR(D333,0)," bi-weekly), borrower's YTD earnings would need to reflect ",DOLLAR(D360,0)," as the total amount of base earnings from ",MONTH(C279),"/",DAY(C279),"/",YEAR(C279)," to ",MONTH(D279),"/",DAY(D279),"/",YEAR(D279)," (excluding bonus, commissions, differential, incentive, overtime, etc.)."))</f>
        <v>#REF!</v>
      </c>
      <c r="F259" s="104"/>
      <c r="G259" s="104"/>
      <c r="H259" s="104"/>
      <c r="I259" s="104"/>
      <c r="J259" s="104"/>
      <c r="K259" s="107"/>
    </row>
    <row r="260" spans="1:11">
      <c r="A260" s="50" t="str">
        <f>$C$49</f>
        <v>Hourly (H)</v>
      </c>
      <c r="B260" s="83">
        <f>$E$51</f>
        <v>2080</v>
      </c>
      <c r="C260" s="85">
        <f>$F$51</f>
        <v>1</v>
      </c>
      <c r="D260" s="50" t="str">
        <f>$G$51</f>
        <v>hourly</v>
      </c>
      <c r="E260" s="106" t="e">
        <f>IF(D271=0,"N/A",CONCATENATE("Working full-time at current rate of pay (",DOLLAR(D333,2)," hourly), borrower's YTD earnings would need to reflect ",DOLLAR(D360,0)," as the total amount of base earnings from ",MONTH(C279),"/",DAY(C279),"/",YEAR(C279)," to ",MONTH(D279),"/",DAY(D279),"/",YEAR(D279)," (excluding bonus, commissions, differential, incentive, overtime, etc.)."))</f>
        <v>#REF!</v>
      </c>
      <c r="F260" s="104"/>
      <c r="G260" s="104"/>
      <c r="H260" s="104"/>
      <c r="I260" s="104"/>
      <c r="J260" s="104"/>
      <c r="K260" s="107"/>
    </row>
    <row r="261" spans="1:11">
      <c r="A261" s="50" t="str">
        <f>$C$53</f>
        <v>Monthly (12)</v>
      </c>
      <c r="B261" s="83">
        <f>$E$52</f>
        <v>12</v>
      </c>
      <c r="C261" s="85">
        <f>$F$52</f>
        <v>173.33333333333334</v>
      </c>
      <c r="D261" s="50" t="str">
        <f>$G$52</f>
        <v>monthly</v>
      </c>
      <c r="E261" s="106" t="e">
        <f>IF(D271=0,"N/A",CONCATENATE("Working full-time at current rate of pay (",DOLLAR(D333,0)," monthly), borrower's YTD earnings would need to reflect ",DOLLAR(D360,0)," as the total amount of base earnings from ",MONTH(C279),"/",DAY(C279),"/",YEAR(C279)," to ",MONTH(D279),"/",DAY(D279),"/",YEAR(D279)," (excluding bonus, commissions, differential, incentive, overtime, etc.)."))</f>
        <v>#REF!</v>
      </c>
      <c r="F261" s="104"/>
      <c r="G261" s="104"/>
      <c r="H261" s="104"/>
      <c r="I261" s="104"/>
      <c r="J261" s="104"/>
      <c r="K261" s="107"/>
    </row>
    <row r="262" spans="1:11">
      <c r="A262" s="50" t="str">
        <f>$C$55</f>
        <v>Part-Time</v>
      </c>
      <c r="B262" s="83">
        <f>$E$53</f>
        <v>0</v>
      </c>
      <c r="C262" s="85">
        <f>$F$53</f>
        <v>0</v>
      </c>
      <c r="D262" s="50" t="str">
        <f>$G$53</f>
        <v>part-time</v>
      </c>
      <c r="E262" s="106" t="e">
        <f>IF(D271=0,"N/A",CONCATENATE("Working Part-Time at averaged monthly pay, borrower's YTD earnings would need to reflect approximately ",DOLLAR(D360,0)," as the total amount of base earnings from ",MONTH(C279),"/",DAY(C279),"/",YEAR(C279)," to ",MONTH(D279),"/",DAY(D279),"/",YEAR(D279)," (excluding bonus, commissions, differential, incentive, overtime, etc.)."))</f>
        <v>#REF!</v>
      </c>
      <c r="F262" s="104"/>
      <c r="G262" s="104"/>
      <c r="H262" s="104"/>
      <c r="I262" s="104"/>
      <c r="J262" s="104"/>
      <c r="K262" s="107"/>
    </row>
    <row r="263" spans="1:11">
      <c r="A263" s="50" t="str">
        <f>$C$56</f>
        <v>Seasonal</v>
      </c>
      <c r="B263" s="83">
        <f>$E$54</f>
        <v>0</v>
      </c>
      <c r="C263" s="85">
        <f>$F$54</f>
        <v>0</v>
      </c>
      <c r="D263" s="50" t="str">
        <f>$G$54</f>
        <v>seasonal</v>
      </c>
      <c r="E263" s="106" t="e">
        <f>IF(D271=0,"N/A",CONCATENATE("Working Seasonal at averaged monthly pay, borrower's YTD earnings would need to reflect approximately ",DOLLAR(D360,0)," as the total amount of base earnings from ",MONTH(C279),"/",DAY(C279),"/",YEAR(C279)," to ",MONTH(D279),"/",DAY(D279),"/",YEAR(D279)," (excluding bonus, commissions, differential, incentive, overtime, etc.)."))</f>
        <v>#REF!</v>
      </c>
      <c r="F263" s="104"/>
      <c r="G263" s="104"/>
      <c r="H263" s="104"/>
      <c r="I263" s="104"/>
      <c r="J263" s="104"/>
      <c r="K263" s="107"/>
    </row>
    <row r="264" spans="1:11">
      <c r="A264" s="50" t="str">
        <f>$C$52</f>
        <v>Semi-Monthly (24)</v>
      </c>
      <c r="B264" s="83">
        <f>$E$55</f>
        <v>24</v>
      </c>
      <c r="C264" s="85">
        <f>$F$55</f>
        <v>86.666666666666671</v>
      </c>
      <c r="D264" s="50" t="str">
        <f>$G$55</f>
        <v>semi-monthly</v>
      </c>
      <c r="E264" s="106" t="e">
        <f>IF(D271=0,"N/A",CONCATENATE("Working full-time at current rate of pay (",DOLLAR(D333,2)," semi-monthly), borrower's YTD earnings would need to reflect ",DOLLAR(D360,0)," as the total amount of base earnings from ",MONTH(C279),"/",DAY(C279),"/",YEAR(C279)," to ",MONTH(D279),"/",DAY(D279),"/",YEAR(D279)," (excluding bonus, commissions, differential, incentive, overtime, etc.)."))</f>
        <v>#REF!</v>
      </c>
      <c r="F264" s="104"/>
      <c r="G264" s="104"/>
      <c r="H264" s="104"/>
      <c r="I264" s="104"/>
      <c r="J264" s="104"/>
      <c r="K264" s="107"/>
    </row>
    <row r="265" spans="1:11">
      <c r="A265" s="50" t="str">
        <f>$C$57</f>
        <v>Varies / Averaged</v>
      </c>
      <c r="B265" s="83">
        <f>$E$56</f>
        <v>0</v>
      </c>
      <c r="C265" s="85">
        <f>$F$56</f>
        <v>0</v>
      </c>
      <c r="D265" s="50" t="str">
        <f>$G$56</f>
        <v>varies</v>
      </c>
      <c r="E265" s="106" t="e">
        <f>IF(D271=0,"N/A",CONCATENATE("Based on calculated averaged monthly earnings, borrower's YTD earnings should reflect approximately ",DOLLAR(D360,0)," as the total amount of base income earned from ",MONTH(C279),"/",DAY(C279),"/",YEAR(C279)," to ",MONTH(D279),"/",DAY(D279),"/",YEAR(D279)," (excluding bonus, commissions, differential, incentive, overtime, etc.)."))</f>
        <v>#REF!</v>
      </c>
      <c r="F265" s="104"/>
      <c r="G265" s="104"/>
      <c r="H265" s="104"/>
      <c r="I265" s="104"/>
      <c r="J265" s="104"/>
      <c r="K265" s="107"/>
    </row>
    <row r="266" spans="1:11">
      <c r="A266" s="50" t="str">
        <f>$C$50</f>
        <v>Weekly (52)</v>
      </c>
      <c r="B266" s="83">
        <f>$E$57</f>
        <v>52</v>
      </c>
      <c r="C266" s="85">
        <f>$F$57</f>
        <v>40</v>
      </c>
      <c r="D266" s="50" t="str">
        <f>$G$57</f>
        <v>weekly</v>
      </c>
      <c r="E266" s="106" t="e">
        <f>IF(D271=0,"N/A",CONCATENATE("Working full-time at current rate of pay (",DOLLAR(D333,2)," weekly), borrower's YTD earnings would need to reflect ",DOLLAR(D360,0)," as the total amount of base earnings from ",MONTH(C279),"/",DAY(C279),"/",YEAR(C279)," to ",MONTH(D279),"/",DAY(D279),"/",YEAR(D279)," (excluding bonus, commissions, differential, incentive, overtime, etc.)."))</f>
        <v>#REF!</v>
      </c>
      <c r="F266" s="104"/>
      <c r="G266" s="104"/>
      <c r="H266" s="104"/>
      <c r="I266" s="104"/>
      <c r="J266" s="104"/>
      <c r="K266" s="107"/>
    </row>
    <row r="268" spans="1:11">
      <c r="A268" s="65" t="s">
        <v>233</v>
      </c>
      <c r="D268" s="109" t="e">
        <f>#REF!</f>
        <v>#REF!</v>
      </c>
      <c r="F268" s="110"/>
      <c r="G268" s="111" t="s">
        <v>234</v>
      </c>
      <c r="H268" s="110"/>
      <c r="I268" s="110"/>
      <c r="J268" s="110"/>
    </row>
    <row r="269" spans="1:11">
      <c r="A269" s="65" t="s">
        <v>235</v>
      </c>
      <c r="D269" s="112" t="e">
        <f>IF(OR(#REF!="",#REF!=0),0,#REF!)</f>
        <v>#REF!</v>
      </c>
      <c r="F269" s="110"/>
      <c r="G269" s="111" t="s">
        <v>236</v>
      </c>
      <c r="H269" s="110"/>
      <c r="I269" s="110"/>
      <c r="J269" s="110"/>
    </row>
    <row r="270" spans="1:11">
      <c r="A270" s="65" t="s">
        <v>237</v>
      </c>
      <c r="D270" s="112" t="e">
        <f>IF(D271=A262,"Hourly Rate of Pay (part-time)","Rate of Pay")</f>
        <v>#REF!</v>
      </c>
      <c r="F270" s="110"/>
      <c r="G270" s="110"/>
      <c r="H270" s="110"/>
      <c r="I270" s="110"/>
      <c r="J270" s="110"/>
    </row>
    <row r="271" spans="1:11">
      <c r="A271" s="65" t="s">
        <v>238</v>
      </c>
      <c r="D271" s="113" t="e">
        <f>#REF!</f>
        <v>#REF!</v>
      </c>
      <c r="F271" s="110"/>
      <c r="G271" s="111" t="s">
        <v>239</v>
      </c>
      <c r="H271" s="110"/>
      <c r="I271" s="110"/>
      <c r="J271" s="110"/>
    </row>
    <row r="272" spans="1:11">
      <c r="A272" s="65" t="s">
        <v>240</v>
      </c>
      <c r="D272" s="112" t="e">
        <f>#REF!</f>
        <v>#REF!</v>
      </c>
      <c r="F272" s="110"/>
      <c r="G272" s="111" t="s">
        <v>241</v>
      </c>
      <c r="H272" s="110"/>
      <c r="I272" s="110"/>
      <c r="J272" s="110"/>
    </row>
    <row r="273" spans="1:15">
      <c r="A273" s="65" t="s">
        <v>242</v>
      </c>
      <c r="D273" s="112" t="e">
        <f>IF(OR(D269=0,D271=0),"",IF(D271="Hourly (H)",(D269*D272)*52,D269*VLOOKUP(D271,A258:E266,2,FALSE())))</f>
        <v>#REF!</v>
      </c>
      <c r="F273" s="110"/>
      <c r="G273" s="111" t="s">
        <v>243</v>
      </c>
      <c r="H273" s="110"/>
      <c r="I273" s="110"/>
      <c r="J273" s="110"/>
    </row>
    <row r="274" spans="1:15">
      <c r="A274" s="65" t="s">
        <v>244</v>
      </c>
      <c r="D274" s="115" t="e">
        <f>IF(OR(D269=0,D271=0),0,IF(OR(D271=A262,D271=A263,D271=A265),J282,ROUND(D273/12,0)))</f>
        <v>#REF!</v>
      </c>
      <c r="F274" s="110"/>
      <c r="G274" s="111" t="s">
        <v>245</v>
      </c>
      <c r="H274" s="110"/>
      <c r="I274" s="110"/>
      <c r="J274" s="110"/>
    </row>
    <row r="275" spans="1:15">
      <c r="A275" s="65" t="s">
        <v>246</v>
      </c>
      <c r="D275" s="65" t="b">
        <f>TRUE()</f>
        <v>1</v>
      </c>
      <c r="F275" s="110"/>
      <c r="G275" s="111" t="s">
        <v>247</v>
      </c>
      <c r="H275" s="110"/>
      <c r="I275" s="110"/>
      <c r="J275" s="110"/>
    </row>
    <row r="277" spans="1:15">
      <c r="A277" s="320" t="s">
        <v>248</v>
      </c>
      <c r="B277" s="320"/>
      <c r="C277" s="320"/>
      <c r="D277" s="320"/>
      <c r="E277" s="320"/>
      <c r="F277" s="320"/>
      <c r="G277" s="320"/>
      <c r="H277" s="320" t="s">
        <v>249</v>
      </c>
      <c r="I277" s="320"/>
      <c r="J277" s="320"/>
      <c r="K277" s="320" t="s">
        <v>250</v>
      </c>
      <c r="L277" s="320"/>
      <c r="M277" s="320"/>
    </row>
    <row r="278" spans="1:15">
      <c r="A278" s="116" t="s">
        <v>251</v>
      </c>
      <c r="B278" s="116" t="s">
        <v>91</v>
      </c>
      <c r="C278" s="116" t="s">
        <v>76</v>
      </c>
      <c r="D278" s="116" t="s">
        <v>77</v>
      </c>
      <c r="E278" s="116" t="s">
        <v>36</v>
      </c>
      <c r="F278" s="116" t="s">
        <v>68</v>
      </c>
      <c r="G278" s="116" t="s">
        <v>1</v>
      </c>
      <c r="H278" s="116" t="s">
        <v>74</v>
      </c>
      <c r="I278" s="116" t="s">
        <v>68</v>
      </c>
      <c r="J278" s="116" t="s">
        <v>36</v>
      </c>
      <c r="K278" s="116" t="s">
        <v>252</v>
      </c>
      <c r="L278" s="116" t="s">
        <v>253</v>
      </c>
      <c r="M278" s="116" t="s">
        <v>254</v>
      </c>
    </row>
    <row r="279" spans="1:15">
      <c r="A279" s="117" t="b">
        <f>TRUE()</f>
        <v>1</v>
      </c>
      <c r="B279" s="118" t="e">
        <f>#REF!</f>
        <v>#REF!</v>
      </c>
      <c r="C279" s="119" t="e">
        <f>#REF!</f>
        <v>#REF!</v>
      </c>
      <c r="D279" s="119" t="e">
        <f>#REF!</f>
        <v>#REF!</v>
      </c>
      <c r="E279" s="120" t="e">
        <f>#REF!</f>
        <v>#REF!</v>
      </c>
      <c r="F279" s="121" t="e">
        <f>IF(OR(E279="",E279=0),"",ROUND((((D279-C279)+1)/365)*12,1))</f>
        <v>#REF!</v>
      </c>
      <c r="G279" s="122" t="e">
        <f>IF(OR(E279="",E279="",E279=0),"",ROUND(E279/F279,0))</f>
        <v>#REF!</v>
      </c>
      <c r="H279" s="122" t="e">
        <f>IF(A279=TRUE(),E279,0)</f>
        <v>#REF!</v>
      </c>
      <c r="I279" s="123" t="e">
        <f>IF(A279=TRUE(),F279,0)</f>
        <v>#REF!</v>
      </c>
      <c r="J279" s="122" t="e">
        <f>IF(OR(A279=FALSE(),H279=0,I279=0),0,ROUND(H279/I279,0))</f>
        <v>#REF!</v>
      </c>
      <c r="K279" s="121" t="e">
        <f>IF(OR(G279="",G279=0,G280="",G280=0),100,IF(G279&gt;G280,((G279-G280)/G280)*100,((G280-G279)/G280)*100))</f>
        <v>#REF!</v>
      </c>
      <c r="L279" s="81" t="e">
        <f>IF(G279&gt;G280,"Increase","Decrease")</f>
        <v>#REF!</v>
      </c>
      <c r="M279" s="81" t="e">
        <f>IF(AND(A279=TRUE(),E279&gt;0),TRUE(),FALSE())</f>
        <v>#REF!</v>
      </c>
    </row>
    <row r="280" spans="1:15">
      <c r="A280" s="39" t="b">
        <f>TRUE()</f>
        <v>1</v>
      </c>
      <c r="B280" s="118" t="e">
        <f>#REF!</f>
        <v>#REF!</v>
      </c>
      <c r="C280" s="119" t="e">
        <f>#REF!</f>
        <v>#REF!</v>
      </c>
      <c r="D280" s="119" t="e">
        <f>#REF!</f>
        <v>#REF!</v>
      </c>
      <c r="E280" s="120" t="e">
        <f>#REF!</f>
        <v>#REF!</v>
      </c>
      <c r="F280" s="121" t="e">
        <f>IF(OR(E280="",E280=0),"",ROUND((((D280-C280)+1)/365)*12,1))</f>
        <v>#REF!</v>
      </c>
      <c r="G280" s="122" t="e">
        <f>IF(OR(E280="",E280="",E280=0),"",ROUND(E280/F280,0))</f>
        <v>#REF!</v>
      </c>
      <c r="H280" s="122" t="e">
        <f>IF(A280=TRUE(),E280,0)</f>
        <v>#REF!</v>
      </c>
      <c r="I280" s="123" t="e">
        <f>IF(A280=TRUE(),F280,0)</f>
        <v>#REF!</v>
      </c>
      <c r="J280" s="122" t="e">
        <f>IF(OR(A280=FALSE(),H280=0,I280=0),0,ROUND(H280/I280,0))</f>
        <v>#REF!</v>
      </c>
      <c r="K280" s="121" t="e">
        <f>IF(OR(G280="",G280=0,G281="",G281=0),100,IF(G280&gt;G281,((G280-G281)/G281)*100,((G281-G280)/G281)*100))</f>
        <v>#REF!</v>
      </c>
      <c r="L280" s="81" t="e">
        <f>IF(G280&gt;G281,"Increase","Decrease")</f>
        <v>#REF!</v>
      </c>
      <c r="M280" s="81" t="e">
        <f>IF(AND(A280=TRUE(),E280&gt;0),TRUE(),FALSE())</f>
        <v>#REF!</v>
      </c>
    </row>
    <row r="281" spans="1:15">
      <c r="A281" s="39" t="b">
        <f>FALSE()</f>
        <v>0</v>
      </c>
      <c r="B281" s="118" t="e">
        <f>#REF!</f>
        <v>#REF!</v>
      </c>
      <c r="C281" s="119" t="e">
        <f>#REF!</f>
        <v>#REF!</v>
      </c>
      <c r="D281" s="119" t="e">
        <f>#REF!</f>
        <v>#REF!</v>
      </c>
      <c r="E281" s="120" t="e">
        <f>#REF!</f>
        <v>#REF!</v>
      </c>
      <c r="F281" s="121" t="e">
        <f>IF(OR(E281="",E281=0),"",ROUND((((D281-C281)+1)/365)*12,1))</f>
        <v>#REF!</v>
      </c>
      <c r="G281" s="122" t="e">
        <f>IF(OR(E281="",E281="",E281=0),"",ROUND(E281/F281,0))</f>
        <v>#REF!</v>
      </c>
      <c r="H281" s="122">
        <f>IF(A281=TRUE(),E281,0)</f>
        <v>0</v>
      </c>
      <c r="I281" s="123">
        <f>IF(A281=TRUE(),F281,0)</f>
        <v>0</v>
      </c>
      <c r="J281" s="122">
        <f>IF(OR(A281=FALSE(),H281=0,I281=0),0,ROUND(H281/I281,0))</f>
        <v>0</v>
      </c>
      <c r="K281" s="121" t="e">
        <f>IF(OR(G279="",G279=0,G281="",G281=0),100,IF(G279&gt;G281,((G279-G281)/G281)*100,((G281-G279)/G281)*100))</f>
        <v>#REF!</v>
      </c>
      <c r="L281" s="81" t="e">
        <f>IF(G279&gt;G281,"Increase","Decrease")</f>
        <v>#REF!</v>
      </c>
      <c r="M281" s="81" t="e">
        <f>IF(AND(A281=TRUE(),E281&gt;0),TRUE(),FALSE())</f>
        <v>#REF!</v>
      </c>
    </row>
    <row r="282" spans="1:15">
      <c r="A282" s="78" t="s">
        <v>255</v>
      </c>
      <c r="B282" s="128"/>
      <c r="C282" s="129"/>
      <c r="D282" s="129"/>
      <c r="E282" s="130" t="e">
        <f>SUM(E279:E281)</f>
        <v>#REF!</v>
      </c>
      <c r="F282" s="131" t="e">
        <f>SUM(F279:F281)</f>
        <v>#REF!</v>
      </c>
      <c r="G282" s="41" t="e">
        <f>IF(AND(D269=0,D271=0),0,IF(D275=TRUE(),D274,IF(OR(D271=A262,D271=A263,D271=A265,F279=FALSE(),F280=FALSE(),F281=FALSE()),J282,IF(D275=FALSE(),MIN(D274,G279),J282))))</f>
        <v>#REF!</v>
      </c>
      <c r="H282" s="127" t="e">
        <f>IF(SUM(E279:E281)=0,0,ROUND(SUM(H279:H281),0))</f>
        <v>#REF!</v>
      </c>
      <c r="I282" s="47" t="e">
        <f>IF(SUM(F279:F281)=0,0,ROUND(SUM(I279:I281),1))</f>
        <v>#REF!</v>
      </c>
      <c r="J282" s="127" t="e">
        <f>IF(I282=0,0,ROUND(H282/I282,0))</f>
        <v>#REF!</v>
      </c>
      <c r="K282" s="129"/>
      <c r="L282" s="129"/>
      <c r="M282" s="129"/>
      <c r="O282" s="65" t="s">
        <v>337</v>
      </c>
    </row>
    <row r="284" spans="1:15">
      <c r="A284" s="65" t="s">
        <v>256</v>
      </c>
      <c r="D284" s="63" t="e">
        <f>IF(OR(D356=0,D356&gt;=40),"",CONCATENATE("(actual = ",D356," hrs)"))</f>
        <v>#REF!</v>
      </c>
    </row>
    <row r="286" spans="1:15">
      <c r="A286" s="323" t="s">
        <v>257</v>
      </c>
      <c r="B286" s="323"/>
      <c r="C286" s="323"/>
      <c r="D286" s="323"/>
      <c r="E286" s="323"/>
    </row>
    <row r="287" spans="1:15">
      <c r="A287" s="318" t="s">
        <v>246</v>
      </c>
      <c r="B287" s="318"/>
      <c r="C287" s="318"/>
      <c r="D287" s="39" t="b">
        <f>IF(D275=TRUE(),TRUE(),FALSE())</f>
        <v>1</v>
      </c>
      <c r="E287" s="132" t="e">
        <f>IF(AND(D287=TRUE(),D289=FALSE(),D290=FALSE()),D274,0)</f>
        <v>#REF!</v>
      </c>
      <c r="G287" s="110"/>
    </row>
    <row r="288" spans="1:15">
      <c r="A288" s="318" t="s">
        <v>258</v>
      </c>
      <c r="B288" s="318"/>
      <c r="C288" s="318"/>
      <c r="D288" s="39" t="e">
        <f>IF(AND(D287=FALSE(),E308&lt;10%,F308=" Decrease"),TRUE(),FALSE())</f>
        <v>#REF!</v>
      </c>
      <c r="E288" s="132" t="e">
        <f>IF(D288=TRUE(),G279,0)</f>
        <v>#REF!</v>
      </c>
      <c r="G288" s="110"/>
    </row>
    <row r="289" spans="1:11">
      <c r="A289" s="318" t="s">
        <v>259</v>
      </c>
      <c r="B289" s="318"/>
      <c r="C289" s="318"/>
      <c r="D289" s="39" t="e">
        <f>IF(AND(D287=FALSE(),E308&gt;10%,F308=" Decrease"),TRUE(),FALSE())</f>
        <v>#REF!</v>
      </c>
      <c r="E289" s="132" t="e">
        <f>IF(AND(D287=FALSE(),D289=TRUE(),D290=FALSE()),G279,0)</f>
        <v>#REF!</v>
      </c>
      <c r="G289" s="110"/>
    </row>
    <row r="290" spans="1:11">
      <c r="A290" s="318" t="s">
        <v>260</v>
      </c>
      <c r="B290" s="318"/>
      <c r="C290" s="318"/>
      <c r="D290" s="39" t="e">
        <f>IF(OR(D287=TRUE(),D288=TRUE(),D289=TRUE()),FALSE(),IF(OR(D271=A262,D271=A263,D271=A265),TRUE(),FALSE()))</f>
        <v>#REF!</v>
      </c>
      <c r="E290" s="132" t="e">
        <f>IF(AND(D287=FALSE(),D289=FALSE(),D290=TRUE()),J282,0)</f>
        <v>#REF!</v>
      </c>
    </row>
    <row r="291" spans="1:11">
      <c r="A291" s="133" t="s">
        <v>261</v>
      </c>
      <c r="B291" s="133"/>
      <c r="C291" s="133"/>
      <c r="D291" s="133" t="e">
        <f>IF(AND(D287=FALSE(),D288=FALSE(),D289=FALSE(),D290=FALSE()),TRUE(),FALSE())</f>
        <v>#REF!</v>
      </c>
      <c r="E291" s="134" t="e">
        <f>IF(D291=TRUE(),G282,0)</f>
        <v>#REF!</v>
      </c>
    </row>
    <row r="292" spans="1:11">
      <c r="A292" s="321" t="s">
        <v>262</v>
      </c>
      <c r="B292" s="321"/>
      <c r="C292" s="321"/>
      <c r="D292" s="321"/>
      <c r="E292" s="135" t="e">
        <f>VLOOKUP(TRUE(),D287:E291,2,FALSE())</f>
        <v>#REF!</v>
      </c>
    </row>
    <row r="294" spans="1:11">
      <c r="A294" s="65" t="s">
        <v>263</v>
      </c>
      <c r="D294" s="63" t="e">
        <f>IF(OR(D275=TRUE(),E279=0),"",IF(D289=TRUE(),"YTD average monthly earnings reflect greater than 10% reduction",IF(G279&lt;D274,CONCATENATE("NOTE: YTD earnings reflect borrower is averaging ",D356," hours weekly."),"")))</f>
        <v>#REF!</v>
      </c>
      <c r="G294" s="110"/>
      <c r="I294" s="111" t="s">
        <v>264</v>
      </c>
    </row>
    <row r="296" spans="1:11">
      <c r="A296" s="314" t="s">
        <v>81</v>
      </c>
      <c r="B296" s="314"/>
      <c r="C296" s="314"/>
      <c r="D296" s="314"/>
      <c r="E296" s="314"/>
      <c r="F296" s="314"/>
      <c r="G296" s="314"/>
      <c r="H296" s="314"/>
      <c r="I296" s="314"/>
      <c r="J296" s="314"/>
      <c r="K296" s="314"/>
    </row>
    <row r="298" spans="1:11">
      <c r="A298" s="116" t="s">
        <v>265</v>
      </c>
      <c r="B298" s="116" t="s">
        <v>91</v>
      </c>
      <c r="C298" s="116" t="s">
        <v>266</v>
      </c>
      <c r="D298" s="116" t="s">
        <v>82</v>
      </c>
      <c r="E298" s="116" t="s">
        <v>267</v>
      </c>
      <c r="F298" s="116" t="s">
        <v>268</v>
      </c>
      <c r="G298" s="116" t="s">
        <v>36</v>
      </c>
      <c r="H298" s="116" t="s">
        <v>68</v>
      </c>
      <c r="I298" s="116"/>
      <c r="J298" s="116"/>
      <c r="K298" s="116" t="s">
        <v>84</v>
      </c>
    </row>
    <row r="299" spans="1:11">
      <c r="A299" s="137" t="b">
        <f>FALSE()</f>
        <v>0</v>
      </c>
      <c r="B299" s="83" t="e">
        <f>#REF!</f>
        <v>#REF!</v>
      </c>
      <c r="C299" s="138" t="e">
        <f>#REF!</f>
        <v>#REF!</v>
      </c>
      <c r="D299" s="48" t="e">
        <f>#REF!</f>
        <v>#REF!</v>
      </c>
      <c r="E299" s="139" t="e">
        <f>#REF!</f>
        <v>#REF!</v>
      </c>
      <c r="F299" s="130" t="e">
        <f>IF(OR(A299=FALSE(),C299=0,E299=0),0,E299*VLOOKUP(B299,$C$37:$D$42,2))</f>
        <v>#REF!</v>
      </c>
      <c r="G299" s="130" t="e">
        <f>IF(AND(C299&lt;&gt;0,D299&lt;&gt;0),0,IF(D299&lt;&gt;0,C299-D299,C299-F299))</f>
        <v>#REF!</v>
      </c>
      <c r="H299" s="131" t="e">
        <f>#REF!</f>
        <v>#REF!</v>
      </c>
      <c r="I299" s="131"/>
      <c r="J299" s="131"/>
      <c r="K299" s="130" t="str">
        <f>IF(A299=FALSE(),"",IF(AND(D299&gt;0,E299&gt;0),"Error Dep &amp; Buss",IF(OR(H299=0,H299=""),0,ROUND(G299/H299,0))))</f>
        <v/>
      </c>
    </row>
    <row r="300" spans="1:11">
      <c r="A300" s="39" t="b">
        <f>FALSE()</f>
        <v>0</v>
      </c>
      <c r="B300" s="83" t="e">
        <f>#REF!</f>
        <v>#REF!</v>
      </c>
      <c r="C300" s="138" t="e">
        <f>#REF!</f>
        <v>#REF!</v>
      </c>
      <c r="D300" s="48" t="e">
        <f>#REF!</f>
        <v>#REF!</v>
      </c>
      <c r="E300" s="139" t="e">
        <f>#REF!</f>
        <v>#REF!</v>
      </c>
      <c r="F300" s="130" t="e">
        <f>IF(OR(A300=FALSE(),C300=0,E300=0),0,E300*VLOOKUP(B300,$C$37:$D$42,2))</f>
        <v>#REF!</v>
      </c>
      <c r="G300" s="130" t="e">
        <f>IF(AND(C300&lt;&gt;0,D300&lt;&gt;0),0,IF(D300&lt;&gt;0,C300-D300,C300-F300))</f>
        <v>#REF!</v>
      </c>
      <c r="H300" s="131" t="e">
        <f>#REF!</f>
        <v>#REF!</v>
      </c>
      <c r="I300" s="131"/>
      <c r="J300" s="131"/>
      <c r="K300" s="130" t="str">
        <f>IF(A300=FALSE(),"",IF(AND(D300&gt;0,E300&gt;0),"Error Dep &amp; Buss",IF(OR(H300=0,H300=""),0,ROUND(G300/H300,0))))</f>
        <v/>
      </c>
    </row>
    <row r="301" spans="1:11">
      <c r="A301" s="78" t="s">
        <v>255</v>
      </c>
      <c r="B301" s="128"/>
      <c r="C301" s="129"/>
      <c r="D301" s="129"/>
      <c r="E301" s="139" t="e">
        <f>SUM(E299:E300)</f>
        <v>#REF!</v>
      </c>
      <c r="F301" s="130" t="e">
        <f>SUM(F299:F300)</f>
        <v>#REF!</v>
      </c>
      <c r="G301" s="130" t="e">
        <f>SUM(G299:G300)</f>
        <v>#REF!</v>
      </c>
      <c r="H301" s="131" t="e">
        <f>SUM(H299:H300)</f>
        <v>#REF!</v>
      </c>
      <c r="I301" s="131"/>
      <c r="J301" s="131"/>
      <c r="K301" s="130">
        <f>IF(ISERROR(G301/H301),0,IF(AND(A299=TRUE(),A300=TRUE()),ROUND(G301/H301,0),IF(AND(A299=TRUE(),A300=FALSE()),K299,IF(AND(A299=FALSE(),A300=TRUE()),K300,0))))</f>
        <v>0</v>
      </c>
    </row>
    <row r="302" spans="1:11">
      <c r="B302" s="112"/>
      <c r="C302" s="140"/>
      <c r="D302" s="40"/>
    </row>
    <row r="303" spans="1:11">
      <c r="A303" s="65" t="s">
        <v>269</v>
      </c>
      <c r="D303" s="65" t="b">
        <f>TRUE()</f>
        <v>1</v>
      </c>
      <c r="G303" s="111" t="s">
        <v>270</v>
      </c>
    </row>
    <row r="305" spans="1:13">
      <c r="A305" s="319" t="s">
        <v>276</v>
      </c>
      <c r="B305" s="319"/>
      <c r="C305" s="319"/>
      <c r="D305" s="319"/>
      <c r="E305" s="319"/>
      <c r="F305" s="319"/>
      <c r="G305" s="319"/>
      <c r="H305" s="319"/>
      <c r="I305" s="319"/>
      <c r="J305" s="319"/>
      <c r="K305" s="319"/>
      <c r="L305" s="319"/>
      <c r="M305" s="319"/>
    </row>
    <row r="306" spans="1:13">
      <c r="B306" s="112"/>
      <c r="C306" s="140"/>
      <c r="D306" s="40"/>
    </row>
    <row r="307" spans="1:13">
      <c r="A307" s="316"/>
      <c r="B307" s="316"/>
      <c r="C307" s="141" t="s">
        <v>277</v>
      </c>
      <c r="D307" s="142" t="s">
        <v>278</v>
      </c>
      <c r="E307" s="142" t="s">
        <v>279</v>
      </c>
      <c r="F307" s="143" t="s">
        <v>2</v>
      </c>
      <c r="G307" s="142" t="s">
        <v>280</v>
      </c>
      <c r="H307" s="317" t="s">
        <v>232</v>
      </c>
      <c r="I307" s="317"/>
      <c r="J307" s="317"/>
      <c r="K307" s="317"/>
      <c r="L307" s="317"/>
    </row>
    <row r="308" spans="1:13">
      <c r="A308" s="318" t="e">
        <f>CONCATENATE(" Total ",B279," YTD")</f>
        <v>#REF!</v>
      </c>
      <c r="B308" s="318"/>
      <c r="C308" s="41" t="e">
        <f>IF(OR(G279=0,G279=""),0,G279)</f>
        <v>#REF!</v>
      </c>
      <c r="D308" s="41" t="e">
        <f>ABS(C308-C309)</f>
        <v>#REF!</v>
      </c>
      <c r="E308" s="144" t="e">
        <f>IF(C309=0,100%,D308/C309)</f>
        <v>#REF!</v>
      </c>
      <c r="F308" s="145" t="e">
        <f>IF(C308&gt;C309," Increase"," Decrease")</f>
        <v>#REF!</v>
      </c>
      <c r="G308" s="146" t="e">
        <f>IF((C309+(C309*E308))=C308,"PASS","FAIL")</f>
        <v>#REF!</v>
      </c>
      <c r="H308" s="318" t="e">
        <f>IF(C308=""," ",CONCATENATE(B280," to ",B279," = ",TEXT(E308,"###.0%"),F308))</f>
        <v>#REF!</v>
      </c>
      <c r="I308" s="318"/>
      <c r="J308" s="318"/>
      <c r="K308" s="318"/>
      <c r="L308" s="318"/>
    </row>
    <row r="309" spans="1:13">
      <c r="A309" s="318" t="e">
        <f>CONCATENATE(" Total ",B280)</f>
        <v>#REF!</v>
      </c>
      <c r="B309" s="318"/>
      <c r="C309" s="41" t="e">
        <f>IF(OR(G280=0,G280=""),0,G280)</f>
        <v>#REF!</v>
      </c>
      <c r="D309" s="41" t="e">
        <f>ABS(C309-C310)</f>
        <v>#REF!</v>
      </c>
      <c r="E309" s="144" t="e">
        <f>IF(C310=0,100%,D309/C310)</f>
        <v>#REF!</v>
      </c>
      <c r="F309" s="145" t="e">
        <f>IF(C309&gt;C310," Increase"," Decrease")</f>
        <v>#REF!</v>
      </c>
      <c r="G309" s="146" t="e">
        <f>IF((C310+(C310*E309))=C309,"PASS","FAIL")</f>
        <v>#REF!</v>
      </c>
      <c r="H309" s="318" t="e">
        <f>IF(C309=""," ",CONCATENATE(B281," to ",B280," = ",TEXT(E309,"###.0%"),F309))</f>
        <v>#REF!</v>
      </c>
      <c r="I309" s="318"/>
      <c r="J309" s="318"/>
      <c r="K309" s="318"/>
      <c r="L309" s="318"/>
    </row>
    <row r="310" spans="1:13">
      <c r="A310" s="318" t="e">
        <f>CONCATENATE(" Total ",B281)</f>
        <v>#REF!</v>
      </c>
      <c r="B310" s="318"/>
      <c r="C310" s="41" t="e">
        <f>IF(OR(G281=0,G281=""),0,G281)</f>
        <v>#REF!</v>
      </c>
      <c r="D310" s="41" t="e">
        <f>ABS(C308-C310)</f>
        <v>#REF!</v>
      </c>
      <c r="E310" s="144" t="e">
        <f>IF(C310=0,100%,D310/C310)</f>
        <v>#REF!</v>
      </c>
      <c r="F310" s="145" t="e">
        <f>IF(C310&gt;C311," Increase"," Decrease")</f>
        <v>#REF!</v>
      </c>
      <c r="G310" s="146" t="e">
        <f>IF((C310+(C310*E310))=C308,"PASS","FAIL")</f>
        <v>#REF!</v>
      </c>
      <c r="H310" s="318" t="e">
        <f>IF(C310=""," ",CONCATENATE(B281," to ",B279," = ",TEXT(E310,"###.0%"),F310))</f>
        <v>#REF!</v>
      </c>
      <c r="I310" s="318"/>
      <c r="J310" s="318"/>
      <c r="K310" s="318"/>
      <c r="L310" s="318"/>
    </row>
    <row r="311" spans="1:13">
      <c r="C311" s="42"/>
    </row>
    <row r="312" spans="1:13">
      <c r="C312" s="155" t="e">
        <f>IF(AND(C308&gt;=0,C309&gt;0,C310&gt;0),TRUE(),FALSE())</f>
        <v>#REF!</v>
      </c>
      <c r="D312" s="63" t="e">
        <f>CONCATENATE("Variances in earnings:  ",H309,"  &amp;  ",H308)</f>
        <v>#REF!</v>
      </c>
    </row>
    <row r="313" spans="1:13">
      <c r="C313" s="155" t="e">
        <f>IF(AND(C308&gt;0,C309&gt;0,C310&gt;=0),TRUE(),FALSE())</f>
        <v>#REF!</v>
      </c>
      <c r="D313" s="63" t="e">
        <f>CONCATENATE("Variances in earnings:  ",H308)</f>
        <v>#REF!</v>
      </c>
    </row>
    <row r="314" spans="1:13">
      <c r="C314" s="155" t="e">
        <f>IF(AND(C308&gt;0,C309&gt;=0,C310&gt;0),TRUE(),FALSE())</f>
        <v>#REF!</v>
      </c>
      <c r="D314" s="63" t="e">
        <f>CONCATENATE("Variances in earnings:  ",H309)</f>
        <v>#REF!</v>
      </c>
    </row>
    <row r="315" spans="1:13">
      <c r="C315" s="155" t="e">
        <f>IF(AND(C309=0,C310=0,C311=0),TRUE(),FALSE())</f>
        <v>#REF!</v>
      </c>
      <c r="D315" s="65" t="s">
        <v>281</v>
      </c>
    </row>
    <row r="317" spans="1:13">
      <c r="A317" s="319" t="s">
        <v>282</v>
      </c>
      <c r="B317" s="319"/>
      <c r="C317" s="319"/>
      <c r="D317" s="319"/>
      <c r="E317" s="319"/>
      <c r="F317" s="319"/>
      <c r="G317" s="319"/>
      <c r="H317" s="319"/>
      <c r="I317" s="319"/>
      <c r="J317" s="319"/>
      <c r="K317" s="319"/>
      <c r="L317" s="319"/>
      <c r="M317" s="319"/>
    </row>
    <row r="319" spans="1:13">
      <c r="A319" s="65" t="s">
        <v>338</v>
      </c>
      <c r="D319" s="66" t="e">
        <f>D279</f>
        <v>#REF!</v>
      </c>
    </row>
    <row r="320" spans="1:13">
      <c r="A320" s="65" t="s">
        <v>284</v>
      </c>
      <c r="D320" s="66" t="e">
        <f>IF(D319="","",EOMONTH(DATE(YEAR(D319),1,1),2))</f>
        <v>#REF!</v>
      </c>
    </row>
    <row r="321" spans="1:10">
      <c r="A321" s="65" t="s">
        <v>285</v>
      </c>
      <c r="D321" s="66" t="e">
        <f>IF(D319&lt;D320,TRUE(),FALSE())</f>
        <v>#REF!</v>
      </c>
    </row>
    <row r="323" spans="1:10">
      <c r="A323" s="63" t="e">
        <f>CONCATENATE(" Total earnings (",B279," YTD)")</f>
        <v>#REF!</v>
      </c>
      <c r="D323" s="112" t="e">
        <f>E279</f>
        <v>#REF!</v>
      </c>
      <c r="F323" s="64">
        <f ca="1">EOMONTH(DATE(YEAR(TODAY()),1,1),2)</f>
        <v>46112</v>
      </c>
    </row>
    <row r="324" spans="1:10">
      <c r="A324" s="63" t="e">
        <f>CONCATENATE(" Total earnings (",B280,")")</f>
        <v>#REF!</v>
      </c>
      <c r="D324" s="112" t="e">
        <f>IF(D321=TRUE(),E280,0)</f>
        <v>#REF!</v>
      </c>
      <c r="F324" s="63">
        <f>EOMONTH("01/01/2016",2)</f>
        <v>42460</v>
      </c>
      <c r="G324" s="66">
        <f>F324</f>
        <v>42460</v>
      </c>
    </row>
    <row r="325" spans="1:10">
      <c r="A325" s="65" t="s">
        <v>286</v>
      </c>
      <c r="D325" s="112" t="e">
        <f>D323+D324</f>
        <v>#REF!</v>
      </c>
    </row>
    <row r="327" spans="1:10">
      <c r="A327" s="63" t="e">
        <f>CONCATENATE(" Months included (",B279," YTD)")</f>
        <v>#REF!</v>
      </c>
      <c r="D327" s="147" t="e">
        <f>IF(F279="",0,F279)</f>
        <v>#REF!</v>
      </c>
    </row>
    <row r="328" spans="1:10">
      <c r="A328" s="63" t="e">
        <f>CONCATENATE(" Months included (",B280,")")</f>
        <v>#REF!</v>
      </c>
      <c r="D328" s="147" t="e">
        <f>IF(D321=TRUE(),F280,0)</f>
        <v>#REF!</v>
      </c>
    </row>
    <row r="329" spans="1:10">
      <c r="A329" s="65" t="s">
        <v>287</v>
      </c>
      <c r="D329" s="147" t="e">
        <f>D327+D328</f>
        <v>#REF!</v>
      </c>
    </row>
    <row r="331" spans="1:10">
      <c r="A331" s="65" t="s">
        <v>286</v>
      </c>
      <c r="D331" s="115" t="e">
        <f>IF(OR(A279=FALSE(),E279=""),0,D325)</f>
        <v>#REF!</v>
      </c>
      <c r="F331" s="115"/>
      <c r="G331" s="111" t="s">
        <v>288</v>
      </c>
    </row>
    <row r="332" spans="1:10">
      <c r="A332" s="65" t="s">
        <v>289</v>
      </c>
      <c r="D332" s="147" t="e">
        <f>IF(OR(A279=FALSE(),E279="",E279=0,F279=0),0,D329)</f>
        <v>#REF!</v>
      </c>
      <c r="F332" s="140"/>
      <c r="G332" s="111" t="s">
        <v>290</v>
      </c>
    </row>
    <row r="333" spans="1:10">
      <c r="A333" s="65" t="s">
        <v>235</v>
      </c>
      <c r="D333" s="148" t="e">
        <f>D269</f>
        <v>#REF!</v>
      </c>
      <c r="F333" s="112"/>
      <c r="G333" s="111" t="s">
        <v>236</v>
      </c>
      <c r="H333" s="149"/>
      <c r="I333" s="149"/>
      <c r="J333" s="149"/>
    </row>
    <row r="334" spans="1:10">
      <c r="A334" s="65" t="s">
        <v>291</v>
      </c>
      <c r="D334" s="112" t="e">
        <f>IF(OR(D331=0,D332=0,),0,D331/D332)</f>
        <v>#REF!</v>
      </c>
      <c r="F334" s="112"/>
      <c r="G334" s="111" t="s">
        <v>292</v>
      </c>
      <c r="H334" s="149"/>
      <c r="I334" s="149"/>
      <c r="J334" s="149"/>
    </row>
    <row r="335" spans="1:10">
      <c r="A335" s="65" t="s">
        <v>293</v>
      </c>
      <c r="D335" s="112" t="e">
        <f>H282</f>
        <v>#REF!</v>
      </c>
      <c r="F335" s="112"/>
      <c r="G335" s="111" t="s">
        <v>294</v>
      </c>
      <c r="H335" s="149"/>
      <c r="I335" s="149"/>
      <c r="J335" s="149"/>
    </row>
    <row r="336" spans="1:10">
      <c r="D336" s="112"/>
      <c r="F336" s="112"/>
      <c r="G336" s="149"/>
      <c r="H336" s="149"/>
      <c r="I336" s="149"/>
      <c r="J336" s="149"/>
    </row>
    <row r="337" spans="1:10">
      <c r="A337" s="65" t="s">
        <v>295</v>
      </c>
      <c r="D337" s="112"/>
      <c r="F337" s="112"/>
      <c r="G337" s="149"/>
      <c r="H337" s="149"/>
      <c r="I337" s="149"/>
      <c r="J337" s="149"/>
    </row>
    <row r="338" spans="1:10">
      <c r="A338" s="150" t="s">
        <v>296</v>
      </c>
      <c r="D338" s="112" t="e">
        <f>D334</f>
        <v>#REF!</v>
      </c>
      <c r="F338" s="112"/>
      <c r="G338" s="149"/>
      <c r="H338" s="149"/>
      <c r="I338" s="149"/>
      <c r="J338" s="149"/>
    </row>
    <row r="339" spans="1:10">
      <c r="A339" s="150" t="s">
        <v>297</v>
      </c>
      <c r="D339" s="112" t="e">
        <f>D338*12</f>
        <v>#REF!</v>
      </c>
      <c r="F339" s="112"/>
      <c r="G339" s="149"/>
      <c r="H339" s="149"/>
      <c r="I339" s="149"/>
      <c r="J339" s="149"/>
    </row>
    <row r="340" spans="1:10">
      <c r="A340" s="150" t="s">
        <v>298</v>
      </c>
      <c r="D340" s="112" t="e">
        <f>D339/52</f>
        <v>#REF!</v>
      </c>
      <c r="F340" s="112"/>
      <c r="G340" s="149"/>
      <c r="H340" s="149"/>
      <c r="I340" s="149"/>
      <c r="J340" s="149"/>
    </row>
    <row r="341" spans="1:10">
      <c r="A341" s="150" t="s">
        <v>299</v>
      </c>
      <c r="D341" s="112" t="e">
        <f>D269</f>
        <v>#REF!</v>
      </c>
      <c r="F341" s="112"/>
      <c r="G341" s="149"/>
      <c r="H341" s="149"/>
      <c r="I341" s="149"/>
      <c r="J341" s="149"/>
    </row>
    <row r="342" spans="1:10">
      <c r="A342" s="150" t="s">
        <v>300</v>
      </c>
      <c r="D342" s="112" t="e">
        <f>IF(D341=0,0,IF(D275=TRUE(),40,IF(AND(D275=FALSE(),D341&gt;0,D271="Hourly (H)",E279=0),40,IF((D340/D341)&gt;40,40,D340/D341))))</f>
        <v>#REF!</v>
      </c>
      <c r="F342" s="112"/>
      <c r="G342" s="149"/>
      <c r="H342" s="149"/>
      <c r="I342" s="149"/>
      <c r="J342" s="149"/>
    </row>
    <row r="343" spans="1:10">
      <c r="A343" s="150" t="s">
        <v>301</v>
      </c>
      <c r="D343" s="112" t="e">
        <f>IF(D271="Hourly (H)",D342,"N/A")</f>
        <v>#REF!</v>
      </c>
      <c r="F343" s="112"/>
      <c r="G343" s="149"/>
      <c r="H343" s="149"/>
      <c r="I343" s="149"/>
      <c r="J343" s="149"/>
    </row>
    <row r="344" spans="1:10">
      <c r="A344" s="150" t="s">
        <v>302</v>
      </c>
      <c r="D344" s="112" t="e">
        <f>IF(D341=0,"Weekly",IF(OR(D271&lt;&gt;"Hourly (H)",(D340/D341)&gt;40),"Weekly","Average Weekly"))</f>
        <v>#REF!</v>
      </c>
      <c r="F344" s="112"/>
      <c r="G344" s="149"/>
      <c r="H344" s="149"/>
      <c r="I344" s="149"/>
      <c r="J344" s="149"/>
    </row>
    <row r="345" spans="1:10">
      <c r="D345" s="112"/>
      <c r="F345" s="112"/>
      <c r="G345" s="149"/>
      <c r="H345" s="149"/>
      <c r="I345" s="149"/>
      <c r="J345" s="149"/>
    </row>
    <row r="346" spans="1:10">
      <c r="A346" s="63" t="e">
        <f>CONCATENATE(" Total days (",B279," YTD)")</f>
        <v>#REF!</v>
      </c>
      <c r="D346" s="112" t="e">
        <f>IF(D279="",0,(D279-C279)+1)</f>
        <v>#REF!</v>
      </c>
      <c r="F346" s="112"/>
      <c r="G346" s="111" t="s">
        <v>303</v>
      </c>
      <c r="H346" s="149"/>
      <c r="I346" s="149"/>
      <c r="J346" s="149"/>
    </row>
    <row r="347" spans="1:10">
      <c r="A347" s="63" t="e">
        <f>CONCATENATE(" Total days (",B280,")")</f>
        <v>#REF!</v>
      </c>
      <c r="D347" s="112" t="e">
        <f>IF(D321=TRUE(),(D280-C280)+1,0)</f>
        <v>#REF!</v>
      </c>
      <c r="F347" s="112"/>
      <c r="G347" s="111" t="s">
        <v>303</v>
      </c>
      <c r="H347" s="149"/>
      <c r="I347" s="149"/>
      <c r="J347" s="149"/>
    </row>
    <row r="348" spans="1:10">
      <c r="A348" s="65" t="s">
        <v>304</v>
      </c>
      <c r="D348" s="112" t="e">
        <f>SUM(D346:D347)</f>
        <v>#REF!</v>
      </c>
      <c r="F348" s="112"/>
      <c r="G348" s="111" t="s">
        <v>305</v>
      </c>
      <c r="H348" s="149"/>
      <c r="I348" s="149"/>
      <c r="J348" s="149"/>
    </row>
    <row r="349" spans="1:10">
      <c r="D349" s="112"/>
      <c r="F349" s="112"/>
      <c r="G349" s="149"/>
      <c r="H349" s="149"/>
      <c r="I349" s="149"/>
      <c r="J349" s="149"/>
    </row>
    <row r="350" spans="1:10">
      <c r="A350" s="63" t="e">
        <f>CONCATENATE(" Total weeks (",B279," YTD)")</f>
        <v>#REF!</v>
      </c>
      <c r="D350" s="112" t="e">
        <f>ROUND(D346/7,0)</f>
        <v>#REF!</v>
      </c>
      <c r="F350" s="112"/>
      <c r="G350" s="111" t="s">
        <v>306</v>
      </c>
      <c r="H350" s="149"/>
      <c r="I350" s="149"/>
      <c r="J350" s="149"/>
    </row>
    <row r="351" spans="1:10">
      <c r="A351" s="63" t="e">
        <f>CONCATENATE(" Total weeks (",B280,")")</f>
        <v>#REF!</v>
      </c>
      <c r="D351" s="112" t="e">
        <f>IF(D321=TRUE(),ROUND(D347/7,0),0)</f>
        <v>#REF!</v>
      </c>
      <c r="F351" s="112"/>
      <c r="G351" s="111" t="s">
        <v>306</v>
      </c>
      <c r="H351" s="149"/>
      <c r="I351" s="149"/>
      <c r="J351" s="149"/>
    </row>
    <row r="352" spans="1:10">
      <c r="A352" s="65" t="s">
        <v>307</v>
      </c>
      <c r="D352" s="112" t="e">
        <f>SUM(D350:D351)</f>
        <v>#REF!</v>
      </c>
      <c r="F352" s="112"/>
      <c r="G352" s="111" t="s">
        <v>308</v>
      </c>
      <c r="H352" s="149"/>
      <c r="I352" s="149"/>
      <c r="J352" s="149"/>
    </row>
    <row r="353" spans="1:13">
      <c r="D353" s="112"/>
      <c r="F353" s="112"/>
      <c r="G353" s="149"/>
      <c r="H353" s="149"/>
      <c r="I353" s="149"/>
      <c r="J353" s="149"/>
    </row>
    <row r="354" spans="1:13">
      <c r="A354" s="65" t="s">
        <v>309</v>
      </c>
      <c r="D354" s="112" t="e">
        <f>(D334*12)/52</f>
        <v>#REF!</v>
      </c>
      <c r="F354" s="112"/>
      <c r="G354" s="111" t="s">
        <v>310</v>
      </c>
      <c r="H354" s="149"/>
      <c r="I354" s="149"/>
      <c r="J354" s="149"/>
    </row>
    <row r="355" spans="1:13">
      <c r="A355" s="65" t="s">
        <v>311</v>
      </c>
      <c r="D355" s="112" t="e">
        <f>IF(OR(D271=0,D354=0),0,IF(OR(D271=A262,D271=A263,D271=A265),D269,D269/VLOOKUP(D271,A258:E266,3)))</f>
        <v>#REF!</v>
      </c>
      <c r="F355" s="112"/>
      <c r="G355" s="111" t="s">
        <v>312</v>
      </c>
      <c r="H355" s="149"/>
      <c r="I355" s="149"/>
      <c r="J355" s="149"/>
    </row>
    <row r="356" spans="1:13">
      <c r="A356" s="65" t="s">
        <v>313</v>
      </c>
      <c r="D356" s="147" t="e">
        <f>IF(D355=0,0,ROUND(D354/D355,1))</f>
        <v>#REF!</v>
      </c>
      <c r="E356" s="112"/>
      <c r="F356" s="112"/>
      <c r="G356" s="111" t="s">
        <v>314</v>
      </c>
      <c r="K356" s="112"/>
    </row>
    <row r="358" spans="1:13">
      <c r="A358" s="65" t="s">
        <v>315</v>
      </c>
      <c r="D358" s="148" t="e">
        <f>IF(OR(D271=A262,D271=A263,D271=A265),J282,D274)</f>
        <v>#REF!</v>
      </c>
      <c r="G358" s="111" t="s">
        <v>316</v>
      </c>
    </row>
    <row r="359" spans="1:13">
      <c r="A359" s="65" t="s">
        <v>289</v>
      </c>
      <c r="D359" s="148" t="e">
        <f>IF(OR(E279="",E279=0,A279=FALSE()),"",ROUND((((D279-C279)+1)/365)*12,1))</f>
        <v>#REF!</v>
      </c>
      <c r="F359" s="63" t="e">
        <f>VLOOKUP(D255,D173:G181,4)</f>
        <v>#N/A</v>
      </c>
      <c r="G359" s="111" t="s">
        <v>317</v>
      </c>
    </row>
    <row r="360" spans="1:13">
      <c r="A360" s="65" t="s">
        <v>318</v>
      </c>
      <c r="D360" s="112" t="e">
        <f>IF(OR(D358=0,D358="",D359=0,D359=""),0,ROUND(D358*D359,0))</f>
        <v>#REF!</v>
      </c>
      <c r="G360" s="111" t="s">
        <v>319</v>
      </c>
    </row>
    <row r="362" spans="1:13">
      <c r="A362" s="319" t="e">
        <f>CONCATENATE("STATISTICS  —  CALCULATIONS FOR ",#REF!," EARNINGS")</f>
        <v>#REF!</v>
      </c>
      <c r="B362" s="319"/>
      <c r="C362" s="319"/>
      <c r="D362" s="319"/>
      <c r="E362" s="319"/>
      <c r="F362" s="319"/>
      <c r="G362" s="319"/>
      <c r="H362" s="319"/>
      <c r="I362" s="319"/>
      <c r="J362" s="319"/>
      <c r="K362" s="319"/>
      <c r="L362" s="319"/>
      <c r="M362" s="319"/>
    </row>
    <row r="364" spans="1:13">
      <c r="A364" s="320" t="e">
        <f>CONCATENATE("Pay Type #1 -- ",#REF!)</f>
        <v>#REF!</v>
      </c>
      <c r="B364" s="320"/>
      <c r="C364" s="320"/>
      <c r="D364" s="320"/>
      <c r="E364" s="320"/>
      <c r="F364" s="320"/>
      <c r="G364" s="320"/>
      <c r="H364" s="320" t="s">
        <v>249</v>
      </c>
      <c r="I364" s="320"/>
      <c r="J364" s="320"/>
      <c r="K364" s="320" t="s">
        <v>250</v>
      </c>
      <c r="L364" s="320"/>
      <c r="M364" s="320"/>
    </row>
    <row r="365" spans="1:13">
      <c r="A365" s="116" t="s">
        <v>251</v>
      </c>
      <c r="B365" s="116" t="s">
        <v>91</v>
      </c>
      <c r="C365" s="116" t="s">
        <v>76</v>
      </c>
      <c r="D365" s="116" t="s">
        <v>77</v>
      </c>
      <c r="E365" s="116" t="s">
        <v>36</v>
      </c>
      <c r="F365" s="116" t="s">
        <v>68</v>
      </c>
      <c r="G365" s="116" t="s">
        <v>1</v>
      </c>
      <c r="H365" s="116" t="s">
        <v>74</v>
      </c>
      <c r="I365" s="116" t="s">
        <v>68</v>
      </c>
      <c r="J365" s="116" t="s">
        <v>36</v>
      </c>
      <c r="K365" s="116" t="s">
        <v>252</v>
      </c>
      <c r="L365" s="116" t="s">
        <v>253</v>
      </c>
      <c r="M365" s="116" t="s">
        <v>254</v>
      </c>
    </row>
    <row r="366" spans="1:13">
      <c r="A366" s="117" t="b">
        <f>TRUE()</f>
        <v>1</v>
      </c>
      <c r="B366" s="118" t="e">
        <f>#REF!</f>
        <v>#REF!</v>
      </c>
      <c r="C366" s="119" t="e">
        <f>#REF!</f>
        <v>#REF!</v>
      </c>
      <c r="D366" s="119" t="e">
        <f>#REF!</f>
        <v>#REF!</v>
      </c>
      <c r="E366" s="120" t="e">
        <f>#REF!</f>
        <v>#REF!</v>
      </c>
      <c r="F366" s="121" t="e">
        <f>IF(OR(E366="",E366=0),"",ROUND((((D366-C366)+1)/365)*12,1))</f>
        <v>#REF!</v>
      </c>
      <c r="G366" s="122" t="e">
        <f>IF(OR(E366="",E366=0),"",ROUND(E366/F366,0))</f>
        <v>#REF!</v>
      </c>
      <c r="H366" s="122" t="e">
        <f>IF(A366=TRUE(),E366,0)</f>
        <v>#REF!</v>
      </c>
      <c r="I366" s="123" t="e">
        <f>IF(A366=TRUE(),F366,0)</f>
        <v>#REF!</v>
      </c>
      <c r="J366" s="122" t="e">
        <f>IF(OR(A366=FALSE(),H366=0,I366=0),0,ROUND(H366/I366,0))</f>
        <v>#REF!</v>
      </c>
      <c r="K366" s="121" t="e">
        <f>IF(OR(G366="",G366=0,G367="",G367=0),100,IF(G366&gt;G367,((G366-G367)/G367)*100,((G367-G366)/G367)*100))</f>
        <v>#REF!</v>
      </c>
      <c r="L366" s="81" t="e">
        <f>IF(G366&gt;G367,"Increase","Decrease")</f>
        <v>#REF!</v>
      </c>
      <c r="M366" s="81" t="e">
        <f>IF(AND(A366=TRUE(),E366&gt;0),TRUE(),FALSE())</f>
        <v>#REF!</v>
      </c>
    </row>
    <row r="367" spans="1:13">
      <c r="A367" s="39" t="b">
        <f>TRUE()</f>
        <v>1</v>
      </c>
      <c r="B367" s="118" t="e">
        <f>#REF!</f>
        <v>#REF!</v>
      </c>
      <c r="C367" s="119" t="e">
        <f>#REF!</f>
        <v>#REF!</v>
      </c>
      <c r="D367" s="119" t="e">
        <f>#REF!</f>
        <v>#REF!</v>
      </c>
      <c r="E367" s="120" t="e">
        <f>#REF!</f>
        <v>#REF!</v>
      </c>
      <c r="F367" s="121" t="e">
        <f>IF(OR(E367="",E367=0),"",ROUND((((D367-C367)+1)/365)*12,1))</f>
        <v>#REF!</v>
      </c>
      <c r="G367" s="122" t="e">
        <f>IF(OR(E367="",E367=0),"",ROUND(E367/F367,0))</f>
        <v>#REF!</v>
      </c>
      <c r="H367" s="122" t="e">
        <f>IF(A367=TRUE(),E367,0)</f>
        <v>#REF!</v>
      </c>
      <c r="I367" s="123" t="e">
        <f>IF(A367=TRUE(),F367,0)</f>
        <v>#REF!</v>
      </c>
      <c r="J367" s="122" t="e">
        <f>IF(OR(A367=FALSE(),H367=0,I367=0),0,ROUND(H367/I367,0))</f>
        <v>#REF!</v>
      </c>
      <c r="K367" s="121" t="e">
        <f>IF(OR(G367="",G367=0,G368="",G368=0),100,IF(G367&gt;G368,((G367-G368)/G368)*100,((G368-G367)/G368)*100))</f>
        <v>#REF!</v>
      </c>
      <c r="L367" s="81" t="e">
        <f>IF(G367&gt;G368,"Increase","Decrease")</f>
        <v>#REF!</v>
      </c>
      <c r="M367" s="81" t="e">
        <f>IF(AND(A367=TRUE(),E367&gt;0),TRUE(),FALSE())</f>
        <v>#REF!</v>
      </c>
    </row>
    <row r="368" spans="1:13">
      <c r="A368" s="39" t="b">
        <f>TRUE()</f>
        <v>1</v>
      </c>
      <c r="B368" s="118" t="e">
        <f>#REF!</f>
        <v>#REF!</v>
      </c>
      <c r="C368" s="119" t="e">
        <f>#REF!</f>
        <v>#REF!</v>
      </c>
      <c r="D368" s="119" t="e">
        <f>#REF!</f>
        <v>#REF!</v>
      </c>
      <c r="E368" s="120" t="e">
        <f>#REF!</f>
        <v>#REF!</v>
      </c>
      <c r="F368" s="121" t="e">
        <f>IF(OR(E368="",E368=0),"",ROUND((((D368-C368)+1)/365)*12,1))</f>
        <v>#REF!</v>
      </c>
      <c r="G368" s="122" t="e">
        <f>IF(OR(E368="",E368=0),"",ROUND(E368/F368,0))</f>
        <v>#REF!</v>
      </c>
      <c r="H368" s="122" t="e">
        <f>IF(A368=TRUE(),E368,0)</f>
        <v>#REF!</v>
      </c>
      <c r="I368" s="123" t="e">
        <f>IF(A368=TRUE(),F368,0)</f>
        <v>#REF!</v>
      </c>
      <c r="J368" s="122" t="e">
        <f>IF(OR(A368=FALSE(),H368=0,I368=0),0,ROUND(H368/I368,0))</f>
        <v>#REF!</v>
      </c>
      <c r="K368" s="121" t="e">
        <f>IF(OR(G366="",G366=0,G368="",G368=0),100,IF(G366&gt;G368,((G366-G368)/G368)*100,((G368-G366)/G368)*100))</f>
        <v>#REF!</v>
      </c>
      <c r="L368" s="81" t="e">
        <f>IF(G366&gt;G368,"Increase","Decrease")</f>
        <v>#REF!</v>
      </c>
      <c r="M368" s="81" t="e">
        <f>IF(AND(A368=TRUE(),E368&gt;0),TRUE(),FALSE())</f>
        <v>#REF!</v>
      </c>
    </row>
    <row r="369" spans="1:13">
      <c r="A369" s="78" t="s">
        <v>255</v>
      </c>
      <c r="B369" s="128"/>
      <c r="C369" s="129"/>
      <c r="D369" s="129"/>
      <c r="E369" s="130" t="e">
        <f>SUM(E366:E368)</f>
        <v>#REF!</v>
      </c>
      <c r="F369" s="131" t="e">
        <f>SUM(F366:F368)</f>
        <v>#REF!</v>
      </c>
      <c r="G369" s="127" t="e">
        <f>IF(F369=0,0,ROUND(E369/F369,0))</f>
        <v>#REF!</v>
      </c>
      <c r="H369" s="127" t="e">
        <f>IF(SUM(E366:E368)=0,0,ROUND(SUM(H366:H368),0))</f>
        <v>#REF!</v>
      </c>
      <c r="I369" s="47" t="e">
        <f>IF(SUM(F366:F368)=0,0,ROUND(SUM(I366:I368),1))</f>
        <v>#REF!</v>
      </c>
      <c r="J369" s="127" t="e">
        <f>IF(I369=0,0,ROUND(H369/I369,0))</f>
        <v>#REF!</v>
      </c>
      <c r="K369" s="129"/>
      <c r="L369" s="129"/>
      <c r="M369" s="129"/>
    </row>
    <row r="370" spans="1:13">
      <c r="B370" s="112"/>
      <c r="C370" s="140"/>
      <c r="D370" s="40"/>
    </row>
    <row r="371" spans="1:13">
      <c r="A371" s="319" t="e">
        <f>CONCATENATE("STATISTICS  —  VARIANCES IN ",#REF!," EARNINGS")</f>
        <v>#REF!</v>
      </c>
      <c r="B371" s="319"/>
      <c r="C371" s="319"/>
      <c r="D371" s="319"/>
      <c r="E371" s="319"/>
      <c r="F371" s="319"/>
      <c r="G371" s="319"/>
      <c r="H371" s="319"/>
      <c r="I371" s="319"/>
      <c r="J371" s="319"/>
      <c r="K371" s="319"/>
      <c r="L371" s="319"/>
      <c r="M371" s="319"/>
    </row>
    <row r="372" spans="1:13">
      <c r="B372" s="112"/>
      <c r="C372" s="140"/>
      <c r="D372" s="40"/>
    </row>
    <row r="373" spans="1:13">
      <c r="A373" s="316"/>
      <c r="B373" s="316"/>
      <c r="C373" s="141" t="s">
        <v>277</v>
      </c>
      <c r="D373" s="142" t="s">
        <v>278</v>
      </c>
      <c r="E373" s="142" t="s">
        <v>279</v>
      </c>
      <c r="F373" s="143" t="s">
        <v>2</v>
      </c>
      <c r="G373" s="142" t="s">
        <v>280</v>
      </c>
      <c r="H373" s="317" t="s">
        <v>232</v>
      </c>
      <c r="I373" s="317"/>
      <c r="J373" s="317"/>
      <c r="K373" s="317"/>
      <c r="L373" s="317"/>
    </row>
    <row r="374" spans="1:13">
      <c r="A374" s="318" t="e">
        <f>CONCATENATE(" Total ",B366," YTD")</f>
        <v>#REF!</v>
      </c>
      <c r="B374" s="318"/>
      <c r="C374" s="41" t="e">
        <f>IF(OR(G366=0,G366=""),0,G366)</f>
        <v>#REF!</v>
      </c>
      <c r="D374" s="41" t="e">
        <f>ABS(C374-C375)</f>
        <v>#REF!</v>
      </c>
      <c r="E374" s="144" t="e">
        <f>IF(C375=0,100%,D374/C375)</f>
        <v>#REF!</v>
      </c>
      <c r="F374" s="145" t="e">
        <f>IF(C374&gt;C375," Increase"," Decrease")</f>
        <v>#REF!</v>
      </c>
      <c r="G374" s="146" t="e">
        <f>IF((C375+(C375*E374))=C374,"PASS","FAIL")</f>
        <v>#REF!</v>
      </c>
      <c r="H374" s="318" t="e">
        <f>IF(C374=""," ",IF(AND(C375=0,C374=0),CONCATENATE(B367," to ",B366," = N/A"),IF(AND(C375=0,C374&gt;0),CONCATENATE(B367," to ",B366," = 100% Increase"),IF(AND(C375&gt;0,C374=0),CONCATENATE(B367," to ",B366," = 100% Decrease"),IF(AND(C375&gt;0,C374&gt;0),CONCATENATE(B367," to ",B366," = ",TEXT(E374,"###.0%"),F374))))))</f>
        <v>#REF!</v>
      </c>
      <c r="I374" s="318"/>
      <c r="J374" s="318"/>
      <c r="K374" s="318"/>
      <c r="L374" s="318"/>
    </row>
    <row r="375" spans="1:13">
      <c r="A375" s="318" t="e">
        <f>CONCATENATE(" Total ",B367)</f>
        <v>#REF!</v>
      </c>
      <c r="B375" s="318"/>
      <c r="C375" s="41" t="e">
        <f>IF(OR(G367=0,G367=""),0,G367)</f>
        <v>#REF!</v>
      </c>
      <c r="D375" s="41" t="e">
        <f>ABS(C375-C376)</f>
        <v>#REF!</v>
      </c>
      <c r="E375" s="144" t="e">
        <f>IF(C376=0,100%,D375/C376)</f>
        <v>#REF!</v>
      </c>
      <c r="F375" s="145" t="e">
        <f>IF(C375&gt;C376," Increase"," Decrease")</f>
        <v>#REF!</v>
      </c>
      <c r="G375" s="146" t="e">
        <f>IF((C376+(C376*E375))=C375,"PASS","FAIL")</f>
        <v>#REF!</v>
      </c>
      <c r="H375" s="318" t="e">
        <f>IF(C375=""," ",IF(AND(C376=0,C375=0),CONCATENATE(B368," to ",B367," = Undetermined"),IF(AND(C376=0,C375&gt;0),CONCATENATE(B368," to ",B367," = 100% Increase"),IF(AND(C376&gt;0,C375=0),CONCATENATE(B368," to ",B367," = 100% Decrease"),IF(AND(C376&gt;0,C375&gt;0),CONCATENATE(B368," to ",B367," = ",TEXT(E375,"###.0%"),F375))))))</f>
        <v>#REF!</v>
      </c>
      <c r="I375" s="318"/>
      <c r="J375" s="318"/>
      <c r="K375" s="318"/>
      <c r="L375" s="318"/>
    </row>
    <row r="376" spans="1:13">
      <c r="A376" s="318" t="str">
        <f>CONCATENATE(" Total ",B2461)</f>
        <v xml:space="preserve"> Total </v>
      </c>
      <c r="B376" s="318"/>
      <c r="C376" s="41" t="e">
        <f>IF(OR(G368=0,G368=""),0,G368)</f>
        <v>#REF!</v>
      </c>
      <c r="D376" s="41" t="e">
        <f>ABS(C374-C376)</f>
        <v>#REF!</v>
      </c>
      <c r="E376" s="144" t="e">
        <f>IF(C376=0,100%,D376/C376)</f>
        <v>#REF!</v>
      </c>
      <c r="F376" s="145" t="e">
        <f>IF(C376&gt;C377," Increase"," Decrease")</f>
        <v>#REF!</v>
      </c>
      <c r="G376" s="146" t="e">
        <f>IF((C376+(C376*E376))=C374,"PASS","FAIL")</f>
        <v>#REF!</v>
      </c>
      <c r="H376" s="318"/>
      <c r="I376" s="318"/>
      <c r="J376" s="318"/>
      <c r="K376" s="318"/>
      <c r="L376" s="318"/>
    </row>
    <row r="377" spans="1:13">
      <c r="C377" s="42"/>
    </row>
    <row r="378" spans="1:13">
      <c r="A378" s="65" t="s">
        <v>339</v>
      </c>
      <c r="C378" s="63" t="e">
        <f>CONCATENATE("Variance in Earnings:  ",H375,"  &amp;  ",H374)</f>
        <v>#REF!</v>
      </c>
    </row>
    <row r="380" spans="1:13">
      <c r="A380" s="319" t="e">
        <f>CONCATENATE("STATISTICS  —  CALCULATIONS FOR ",#REF!," EARNINGS")</f>
        <v>#REF!</v>
      </c>
      <c r="B380" s="319"/>
      <c r="C380" s="319"/>
      <c r="D380" s="319"/>
      <c r="E380" s="319"/>
      <c r="F380" s="319"/>
      <c r="G380" s="319"/>
      <c r="H380" s="319"/>
      <c r="I380" s="319"/>
      <c r="J380" s="319"/>
      <c r="K380" s="319"/>
      <c r="L380" s="319"/>
      <c r="M380" s="319"/>
    </row>
    <row r="382" spans="1:13">
      <c r="A382" s="320" t="e">
        <f>CONCATENATE("Pay Type #3 -- ",#REF!)</f>
        <v>#REF!</v>
      </c>
      <c r="B382" s="320"/>
      <c r="C382" s="320"/>
      <c r="D382" s="320"/>
      <c r="E382" s="320"/>
      <c r="F382" s="320"/>
      <c r="G382" s="320"/>
      <c r="H382" s="320" t="s">
        <v>249</v>
      </c>
      <c r="I382" s="320"/>
      <c r="J382" s="320"/>
      <c r="K382" s="320" t="s">
        <v>250</v>
      </c>
      <c r="L382" s="320"/>
      <c r="M382" s="320"/>
    </row>
    <row r="383" spans="1:13">
      <c r="A383" s="116" t="s">
        <v>251</v>
      </c>
      <c r="B383" s="116" t="s">
        <v>91</v>
      </c>
      <c r="C383" s="116" t="s">
        <v>76</v>
      </c>
      <c r="D383" s="116" t="s">
        <v>77</v>
      </c>
      <c r="E383" s="116" t="s">
        <v>36</v>
      </c>
      <c r="F383" s="116" t="s">
        <v>68</v>
      </c>
      <c r="G383" s="116" t="s">
        <v>1</v>
      </c>
      <c r="H383" s="116" t="s">
        <v>74</v>
      </c>
      <c r="I383" s="116" t="s">
        <v>68</v>
      </c>
      <c r="J383" s="116" t="s">
        <v>36</v>
      </c>
      <c r="K383" s="116" t="s">
        <v>252</v>
      </c>
      <c r="L383" s="116" t="s">
        <v>253</v>
      </c>
      <c r="M383" s="116" t="s">
        <v>254</v>
      </c>
    </row>
    <row r="384" spans="1:13">
      <c r="A384" s="117" t="b">
        <f>FALSE()</f>
        <v>0</v>
      </c>
      <c r="B384" s="118" t="e">
        <f>#REF!</f>
        <v>#REF!</v>
      </c>
      <c r="C384" s="119" t="e">
        <f>#REF!</f>
        <v>#REF!</v>
      </c>
      <c r="D384" s="119" t="e">
        <f>#REF!</f>
        <v>#REF!</v>
      </c>
      <c r="E384" s="120" t="e">
        <f>#REF!</f>
        <v>#REF!</v>
      </c>
      <c r="F384" s="121" t="e">
        <f>IF(OR(E384="",E384=0),"",ROUND((((D384-C384)+1)/365)*12,1))</f>
        <v>#REF!</v>
      </c>
      <c r="G384" s="122" t="e">
        <f>IF(OR(E384="",E384=0),"",ROUND(E384/F384,0))</f>
        <v>#REF!</v>
      </c>
      <c r="H384" s="122">
        <f>IF(A384=TRUE(),E384,0)</f>
        <v>0</v>
      </c>
      <c r="I384" s="123">
        <f>IF(A384=TRUE(),F384,0)</f>
        <v>0</v>
      </c>
      <c r="J384" s="122">
        <f>IF(OR(A384=FALSE(),H384=0,I384=0),0,ROUND(H384/I384,0))</f>
        <v>0</v>
      </c>
      <c r="K384" s="121" t="e">
        <f>IF(OR(G384="",G384=0,G385="",G385=0),100,IF(G384&gt;G385,((G384-G385)/G385)*100,((G385-G384)/G385)*100))</f>
        <v>#REF!</v>
      </c>
      <c r="L384" s="81" t="e">
        <f>IF(G384&gt;G385,"Increase","Decrease")</f>
        <v>#REF!</v>
      </c>
      <c r="M384" s="81" t="e">
        <f>IF(AND(A384=TRUE(),E384&gt;0),TRUE(),FALSE())</f>
        <v>#REF!</v>
      </c>
    </row>
    <row r="385" spans="1:13">
      <c r="A385" s="39" t="b">
        <f>FALSE()</f>
        <v>0</v>
      </c>
      <c r="B385" s="118" t="e">
        <f>#REF!</f>
        <v>#REF!</v>
      </c>
      <c r="C385" s="119" t="e">
        <f>#REF!</f>
        <v>#REF!</v>
      </c>
      <c r="D385" s="119" t="e">
        <f>#REF!</f>
        <v>#REF!</v>
      </c>
      <c r="E385" s="120" t="e">
        <f>#REF!</f>
        <v>#REF!</v>
      </c>
      <c r="F385" s="121" t="e">
        <f>IF(OR(E385="",E385=0),"",ROUND((((D385-C385)+1)/365)*12,1))</f>
        <v>#REF!</v>
      </c>
      <c r="G385" s="122" t="e">
        <f>IF(OR(E385="",E385=0),"",ROUND(E385/F385,0))</f>
        <v>#REF!</v>
      </c>
      <c r="H385" s="122">
        <f>IF(A385=TRUE(),E385,0)</f>
        <v>0</v>
      </c>
      <c r="I385" s="123">
        <f>IF(A385=TRUE(),F385,0)</f>
        <v>0</v>
      </c>
      <c r="J385" s="122">
        <f>IF(OR(A385=FALSE(),H385=0,I385=0),0,ROUND(H385/I385,0))</f>
        <v>0</v>
      </c>
      <c r="K385" s="121" t="e">
        <f>IF(OR(G385="",G385=0,G386="",G386=0),100,IF(G385&gt;G386,((G385-G386)/G386)*100,((G386-G385)/G386)*100))</f>
        <v>#REF!</v>
      </c>
      <c r="L385" s="81" t="e">
        <f>IF(G385&gt;G386,"Increase","Decrease")</f>
        <v>#REF!</v>
      </c>
      <c r="M385" s="81" t="e">
        <f>IF(AND(A385=TRUE(),E385&gt;0),TRUE(),FALSE())</f>
        <v>#REF!</v>
      </c>
    </row>
    <row r="386" spans="1:13">
      <c r="A386" s="39" t="b">
        <f>FALSE()</f>
        <v>0</v>
      </c>
      <c r="B386" s="118" t="e">
        <f>#REF!</f>
        <v>#REF!</v>
      </c>
      <c r="C386" s="119" t="e">
        <f>#REF!</f>
        <v>#REF!</v>
      </c>
      <c r="D386" s="119" t="e">
        <f>#REF!</f>
        <v>#REF!</v>
      </c>
      <c r="E386" s="120" t="e">
        <f>#REF!</f>
        <v>#REF!</v>
      </c>
      <c r="F386" s="121" t="e">
        <f>IF(OR(E386="",E386=0),"",ROUND((((D386-C386)+1)/365)*12,1))</f>
        <v>#REF!</v>
      </c>
      <c r="G386" s="122" t="e">
        <f>IF(OR(E386="",E386=0),"",ROUND(E386/F386,0))</f>
        <v>#REF!</v>
      </c>
      <c r="H386" s="122">
        <f>IF(A386=TRUE(),E386,0)</f>
        <v>0</v>
      </c>
      <c r="I386" s="123">
        <f>IF(A386=TRUE(),F386,0)</f>
        <v>0</v>
      </c>
      <c r="J386" s="122">
        <f>IF(OR(A386=FALSE(),H386=0,I386=0),0,ROUND(H386/I386,0))</f>
        <v>0</v>
      </c>
      <c r="K386" s="121" t="e">
        <f>IF(OR(G384="",G384=0,G386="",G386=0),100,IF(G384&gt;G386,((G384-G386)/G386)*100,((G386-G384)/G386)*100))</f>
        <v>#REF!</v>
      </c>
      <c r="L386" s="81" t="e">
        <f>IF(G384&gt;G386,"Increase","Decrease")</f>
        <v>#REF!</v>
      </c>
      <c r="M386" s="81" t="e">
        <f>IF(AND(A386=TRUE(),E386&gt;0),TRUE(),FALSE())</f>
        <v>#REF!</v>
      </c>
    </row>
    <row r="387" spans="1:13">
      <c r="A387" s="78" t="s">
        <v>255</v>
      </c>
      <c r="B387" s="128"/>
      <c r="C387" s="129"/>
      <c r="D387" s="129"/>
      <c r="E387" s="130" t="e">
        <f>SUM(E384:E386)</f>
        <v>#REF!</v>
      </c>
      <c r="F387" s="131" t="e">
        <f>SUM(F384:F386)</f>
        <v>#REF!</v>
      </c>
      <c r="G387" s="127" t="e">
        <f>IF(F387=0,0,ROUND(E387/F387,0))</f>
        <v>#REF!</v>
      </c>
      <c r="H387" s="127" t="e">
        <f>IF(SUM(E384:E386)=0,0,ROUND(SUM(H384:H386),0))</f>
        <v>#REF!</v>
      </c>
      <c r="I387" s="47" t="e">
        <f>IF(SUM(F384:F386)=0,0,ROUND(SUM(I384:I386),1))</f>
        <v>#REF!</v>
      </c>
      <c r="J387" s="127" t="e">
        <f>IF(I387=0,0,ROUND(H387/I387,0))</f>
        <v>#REF!</v>
      </c>
      <c r="K387" s="129"/>
      <c r="L387" s="129"/>
      <c r="M387" s="129"/>
    </row>
    <row r="388" spans="1:13">
      <c r="B388" s="112"/>
      <c r="C388" s="140"/>
      <c r="D388" s="40"/>
    </row>
    <row r="389" spans="1:13">
      <c r="A389" s="319" t="e">
        <f>CONCATENATE("STATISTICS  —  VARIANCES IN ",#REF!," EARNINGS")</f>
        <v>#REF!</v>
      </c>
      <c r="B389" s="319"/>
      <c r="C389" s="319"/>
      <c r="D389" s="319"/>
      <c r="E389" s="319"/>
      <c r="F389" s="319"/>
      <c r="G389" s="319"/>
      <c r="H389" s="319"/>
      <c r="I389" s="319"/>
      <c r="J389" s="319"/>
      <c r="K389" s="319"/>
      <c r="L389" s="319"/>
      <c r="M389" s="319"/>
    </row>
    <row r="390" spans="1:13">
      <c r="B390" s="112"/>
      <c r="C390" s="140"/>
      <c r="D390" s="40"/>
    </row>
    <row r="391" spans="1:13">
      <c r="A391" s="316"/>
      <c r="B391" s="316"/>
      <c r="C391" s="141" t="s">
        <v>277</v>
      </c>
      <c r="D391" s="142" t="s">
        <v>278</v>
      </c>
      <c r="E391" s="142" t="s">
        <v>279</v>
      </c>
      <c r="F391" s="143" t="s">
        <v>2</v>
      </c>
      <c r="G391" s="142" t="s">
        <v>280</v>
      </c>
      <c r="H391" s="317" t="s">
        <v>232</v>
      </c>
      <c r="I391" s="317"/>
      <c r="J391" s="317"/>
      <c r="K391" s="317"/>
      <c r="L391" s="317"/>
    </row>
    <row r="392" spans="1:13">
      <c r="A392" s="318" t="e">
        <f>CONCATENATE(" Total ",B384," YTD")</f>
        <v>#REF!</v>
      </c>
      <c r="B392" s="318"/>
      <c r="C392" s="41" t="e">
        <f>IF(OR(G384=0,G384=""),0,G384)</f>
        <v>#REF!</v>
      </c>
      <c r="D392" s="41" t="e">
        <f>ABS(C392-C393)</f>
        <v>#REF!</v>
      </c>
      <c r="E392" s="144" t="e">
        <f>IF(C393=0,100%,D392/C393)</f>
        <v>#REF!</v>
      </c>
      <c r="F392" s="145" t="e">
        <f>IF(C392&gt;C393," Increase"," Decrease")</f>
        <v>#REF!</v>
      </c>
      <c r="G392" s="146" t="e">
        <f>IF((C393+(C393*E392))=C392,"PASS","FAIL")</f>
        <v>#REF!</v>
      </c>
      <c r="H392" s="318" t="e">
        <f>IF(C392=""," ",IF(AND(C393=0,C392=0),CONCATENATE(B385," to ",B384," = N/A"),IF(AND(C393=0,C392&gt;0),CONCATENATE(B385," to ",B384," = 100% Increase"),IF(AND(C393&gt;0,C392=0),CONCATENATE(B385," to ",B384," = 100% Decrease"),IF(AND(C393&gt;0,C392&gt;0),CONCATENATE(B385," to ",B384," = ",TEXT(E392,"###.0%"),F392))))))</f>
        <v>#REF!</v>
      </c>
      <c r="I392" s="318"/>
      <c r="J392" s="318"/>
      <c r="K392" s="318"/>
      <c r="L392" s="318"/>
    </row>
    <row r="393" spans="1:13">
      <c r="A393" s="318" t="e">
        <f>CONCATENATE(" Total ",B385)</f>
        <v>#REF!</v>
      </c>
      <c r="B393" s="318"/>
      <c r="C393" s="41" t="e">
        <f>IF(OR(G385=0,G385=""),0,G385)</f>
        <v>#REF!</v>
      </c>
      <c r="D393" s="41" t="e">
        <f>ABS(C393-C394)</f>
        <v>#REF!</v>
      </c>
      <c r="E393" s="144" t="e">
        <f>IF(C394=0,100%,D393/C394)</f>
        <v>#REF!</v>
      </c>
      <c r="F393" s="145" t="e">
        <f>IF(C393&gt;C394," Increase"," Decrease")</f>
        <v>#REF!</v>
      </c>
      <c r="G393" s="146" t="e">
        <f>IF((C394+(C394*E393))=C393,"PASS","FAIL")</f>
        <v>#REF!</v>
      </c>
      <c r="H393" s="318" t="e">
        <f>IF(C393=""," ",IF(AND(C394=0,C393=0),CONCATENATE(B386," to ",B385," = Undetermined"),IF(AND(C394=0,C393&gt;0),CONCATENATE(B386," to ",B385," = 100% Increase"),IF(AND(C394&gt;0,C393=0),CONCATENATE(B386," to ",B385," = 100% Decrease"),IF(AND(C394&gt;0,C393&gt;0),CONCATENATE(B386," to ",B385," = ",TEXT(E393,"###.0%"),F393))))))</f>
        <v>#REF!</v>
      </c>
      <c r="I393" s="318"/>
      <c r="J393" s="318"/>
      <c r="K393" s="318"/>
      <c r="L393" s="318"/>
    </row>
    <row r="394" spans="1:13">
      <c r="A394" s="318" t="str">
        <f>CONCATENATE(" Total ",B2482)</f>
        <v xml:space="preserve"> Total </v>
      </c>
      <c r="B394" s="318"/>
      <c r="C394" s="41" t="e">
        <f>IF(OR(G386=0,G386=""),0,G386)</f>
        <v>#REF!</v>
      </c>
      <c r="D394" s="41" t="e">
        <f>ABS(C392-C394)</f>
        <v>#REF!</v>
      </c>
      <c r="E394" s="144" t="e">
        <f>IF(C394=0,100%,D394/C394)</f>
        <v>#REF!</v>
      </c>
      <c r="F394" s="145" t="e">
        <f>IF(C394&gt;C395," Increase"," Decrease")</f>
        <v>#REF!</v>
      </c>
      <c r="G394" s="146" t="e">
        <f>IF((C394+(C394*E394))=C392,"PASS","FAIL")</f>
        <v>#REF!</v>
      </c>
      <c r="H394" s="318"/>
      <c r="I394" s="318"/>
      <c r="J394" s="318"/>
      <c r="K394" s="318"/>
      <c r="L394" s="318"/>
    </row>
    <row r="395" spans="1:13">
      <c r="C395" s="42"/>
    </row>
    <row r="396" spans="1:13">
      <c r="A396" s="65" t="s">
        <v>339</v>
      </c>
      <c r="C396" s="63" t="e">
        <f>CONCATENATE("Variance in Earnings:  ",H393,"  &amp;  ",H392)</f>
        <v>#REF!</v>
      </c>
    </row>
    <row r="397" spans="1:13">
      <c r="C397" s="42"/>
    </row>
    <row r="398" spans="1:13">
      <c r="A398" s="319" t="e">
        <f>CONCATENATE("STATISTICS  —  CALCULATIONS FOR ",#REF!," EARNINGS")</f>
        <v>#REF!</v>
      </c>
      <c r="B398" s="319"/>
      <c r="C398" s="319"/>
      <c r="D398" s="319"/>
      <c r="E398" s="319"/>
      <c r="F398" s="319"/>
      <c r="G398" s="319"/>
      <c r="H398" s="319"/>
      <c r="I398" s="319"/>
      <c r="J398" s="319"/>
      <c r="K398" s="319"/>
      <c r="L398" s="319"/>
      <c r="M398" s="319"/>
    </row>
    <row r="400" spans="1:13">
      <c r="A400" s="320" t="e">
        <f>CONCATENATE("Pay Type #3 -- ",#REF!)</f>
        <v>#REF!</v>
      </c>
      <c r="B400" s="320"/>
      <c r="C400" s="320"/>
      <c r="D400" s="320"/>
      <c r="E400" s="320"/>
      <c r="F400" s="320"/>
      <c r="G400" s="320"/>
      <c r="H400" s="320" t="s">
        <v>249</v>
      </c>
      <c r="I400" s="320"/>
      <c r="J400" s="320"/>
      <c r="K400" s="320" t="s">
        <v>250</v>
      </c>
      <c r="L400" s="320"/>
      <c r="M400" s="320"/>
    </row>
    <row r="401" spans="1:13">
      <c r="A401" s="116" t="s">
        <v>251</v>
      </c>
      <c r="B401" s="116" t="s">
        <v>91</v>
      </c>
      <c r="C401" s="116" t="s">
        <v>76</v>
      </c>
      <c r="D401" s="116" t="s">
        <v>77</v>
      </c>
      <c r="E401" s="116" t="s">
        <v>36</v>
      </c>
      <c r="F401" s="116" t="s">
        <v>68</v>
      </c>
      <c r="G401" s="116" t="s">
        <v>1</v>
      </c>
      <c r="H401" s="116" t="s">
        <v>74</v>
      </c>
      <c r="I401" s="116" t="s">
        <v>68</v>
      </c>
      <c r="J401" s="116" t="s">
        <v>36</v>
      </c>
      <c r="K401" s="116" t="s">
        <v>252</v>
      </c>
      <c r="L401" s="116" t="s">
        <v>253</v>
      </c>
      <c r="M401" s="116" t="s">
        <v>254</v>
      </c>
    </row>
    <row r="402" spans="1:13">
      <c r="A402" s="117" t="b">
        <f>FALSE()</f>
        <v>0</v>
      </c>
      <c r="B402" s="118" t="e">
        <f>#REF!</f>
        <v>#REF!</v>
      </c>
      <c r="C402" s="119" t="e">
        <f>#REF!</f>
        <v>#REF!</v>
      </c>
      <c r="D402" s="119" t="e">
        <f>#REF!</f>
        <v>#REF!</v>
      </c>
      <c r="E402" s="120" t="e">
        <f>#REF!</f>
        <v>#REF!</v>
      </c>
      <c r="F402" s="121" t="e">
        <f>IF(OR(E402="",E402=0),"",ROUND((((D402-C402)+1)/365)*12,1))</f>
        <v>#REF!</v>
      </c>
      <c r="G402" s="122" t="e">
        <f>IF(OR(E402="",E402=0),"",ROUND(E402/F402,0))</f>
        <v>#REF!</v>
      </c>
      <c r="H402" s="122">
        <f>IF(A402=TRUE(),E402,0)</f>
        <v>0</v>
      </c>
      <c r="I402" s="123">
        <f>IF(A402=TRUE(),F402,0)</f>
        <v>0</v>
      </c>
      <c r="J402" s="122">
        <f>IF(OR(A402=FALSE(),H402=0,I402=0),0,ROUND(H402/I402,0))</f>
        <v>0</v>
      </c>
      <c r="K402" s="121" t="e">
        <f>IF(OR(G402="",G402=0,G403="",G403=0),100,IF(G402&gt;G403,((G402-G403)/G403)*100,((G403-G402)/G403)*100))</f>
        <v>#REF!</v>
      </c>
      <c r="L402" s="81" t="e">
        <f>IF(G402&gt;G403,"Increase","Decrease")</f>
        <v>#REF!</v>
      </c>
      <c r="M402" s="81" t="e">
        <f>IF(AND(A402=TRUE(),E402&gt;0),TRUE(),FALSE())</f>
        <v>#REF!</v>
      </c>
    </row>
    <row r="403" spans="1:13">
      <c r="A403" s="39" t="b">
        <f>FALSE()</f>
        <v>0</v>
      </c>
      <c r="B403" s="118" t="e">
        <f>#REF!</f>
        <v>#REF!</v>
      </c>
      <c r="C403" s="119" t="e">
        <f>#REF!</f>
        <v>#REF!</v>
      </c>
      <c r="D403" s="119" t="e">
        <f>#REF!</f>
        <v>#REF!</v>
      </c>
      <c r="E403" s="120" t="e">
        <f>#REF!</f>
        <v>#REF!</v>
      </c>
      <c r="F403" s="121" t="e">
        <f>IF(OR(E403="",E403=0),"",ROUND((((D403-C403)+1)/365)*12,1))</f>
        <v>#REF!</v>
      </c>
      <c r="G403" s="122" t="e">
        <f>IF(OR(E403="",E403=0),"",ROUND(E403/F403,0))</f>
        <v>#REF!</v>
      </c>
      <c r="H403" s="122">
        <f>IF(A403=TRUE(),E403,0)</f>
        <v>0</v>
      </c>
      <c r="I403" s="123">
        <f>IF(A403=TRUE(),F403,0)</f>
        <v>0</v>
      </c>
      <c r="J403" s="122">
        <f>IF(OR(A403=FALSE(),H403=0,I403=0),0,ROUND(H403/I403,0))</f>
        <v>0</v>
      </c>
      <c r="K403" s="121" t="e">
        <f>IF(OR(G403="",G403=0,G404="",G404=0),100,IF(G403&gt;G404,((G403-G404)/G404)*100,((G404-G403)/G404)*100))</f>
        <v>#REF!</v>
      </c>
      <c r="L403" s="81" t="e">
        <f>IF(G403&gt;G404,"Increase","Decrease")</f>
        <v>#REF!</v>
      </c>
      <c r="M403" s="81" t="e">
        <f>IF(AND(A403=TRUE(),E403&gt;0),TRUE(),FALSE())</f>
        <v>#REF!</v>
      </c>
    </row>
    <row r="404" spans="1:13">
      <c r="A404" s="39" t="b">
        <f>FALSE()</f>
        <v>0</v>
      </c>
      <c r="B404" s="118" t="e">
        <f>#REF!</f>
        <v>#REF!</v>
      </c>
      <c r="C404" s="119" t="e">
        <f>#REF!</f>
        <v>#REF!</v>
      </c>
      <c r="D404" s="119" t="e">
        <f>#REF!</f>
        <v>#REF!</v>
      </c>
      <c r="E404" s="120" t="e">
        <f>#REF!</f>
        <v>#REF!</v>
      </c>
      <c r="F404" s="121" t="e">
        <f>IF(OR(E404="",E404=0),"",ROUND((((D404-C404)+1)/365)*12,1))</f>
        <v>#REF!</v>
      </c>
      <c r="G404" s="122" t="e">
        <f>IF(OR(E404="",E404=0),"",ROUND(E404/F404,0))</f>
        <v>#REF!</v>
      </c>
      <c r="H404" s="122">
        <f>IF(A404=TRUE(),E404,0)</f>
        <v>0</v>
      </c>
      <c r="I404" s="123">
        <f>IF(A404=TRUE(),F404,0)</f>
        <v>0</v>
      </c>
      <c r="J404" s="122">
        <f>IF(OR(A404=FALSE(),H404=0,I404=0),0,ROUND(H404/I404,0))</f>
        <v>0</v>
      </c>
      <c r="K404" s="121" t="e">
        <f>IF(OR(G402="",G402=0,G404="",G404=0),100,IF(G402&gt;G404,((G402-G404)/G404)*100,((G404-G402)/G404)*100))</f>
        <v>#REF!</v>
      </c>
      <c r="L404" s="81" t="e">
        <f>IF(G402&gt;G404,"Increase","Decrease")</f>
        <v>#REF!</v>
      </c>
      <c r="M404" s="81" t="e">
        <f>IF(AND(A404=TRUE(),E404&gt;0),TRUE(),FALSE())</f>
        <v>#REF!</v>
      </c>
    </row>
    <row r="405" spans="1:13">
      <c r="A405" s="78" t="s">
        <v>255</v>
      </c>
      <c r="B405" s="128"/>
      <c r="C405" s="129"/>
      <c r="D405" s="129"/>
      <c r="E405" s="130" t="e">
        <f>SUM(E402:E404)</f>
        <v>#REF!</v>
      </c>
      <c r="F405" s="131" t="e">
        <f>SUM(F402:F404)</f>
        <v>#REF!</v>
      </c>
      <c r="G405" s="127" t="e">
        <f>IF(F405=0,0,ROUND(E405/F405,0))</f>
        <v>#REF!</v>
      </c>
      <c r="H405" s="127" t="e">
        <f>IF(SUM(E402:E404)=0,0,ROUND(SUM(H402:H404),0))</f>
        <v>#REF!</v>
      </c>
      <c r="I405" s="47" t="e">
        <f>IF(SUM(F402:F404)=0,0,ROUND(SUM(I402:I404),1))</f>
        <v>#REF!</v>
      </c>
      <c r="J405" s="127" t="e">
        <f>IF(I405=0,0,ROUND(H405/I405,0))</f>
        <v>#REF!</v>
      </c>
      <c r="K405" s="129"/>
      <c r="L405" s="129"/>
      <c r="M405" s="129"/>
    </row>
    <row r="406" spans="1:13">
      <c r="B406" s="112"/>
      <c r="C406" s="140"/>
      <c r="D406" s="40"/>
    </row>
    <row r="407" spans="1:13">
      <c r="A407" s="319" t="e">
        <f>CONCATENATE("STATISTICS  —  VARIANCES IN ",#REF!," EARNINGS")</f>
        <v>#REF!</v>
      </c>
      <c r="B407" s="319"/>
      <c r="C407" s="319"/>
      <c r="D407" s="319"/>
      <c r="E407" s="319"/>
      <c r="F407" s="319"/>
      <c r="G407" s="319"/>
      <c r="H407" s="319"/>
      <c r="I407" s="319"/>
      <c r="J407" s="319"/>
      <c r="K407" s="319"/>
      <c r="L407" s="319"/>
      <c r="M407" s="319"/>
    </row>
    <row r="408" spans="1:13">
      <c r="B408" s="112"/>
      <c r="C408" s="140"/>
      <c r="D408" s="40"/>
    </row>
    <row r="409" spans="1:13">
      <c r="A409" s="316"/>
      <c r="B409" s="316"/>
      <c r="C409" s="141" t="s">
        <v>277</v>
      </c>
      <c r="D409" s="142" t="s">
        <v>278</v>
      </c>
      <c r="E409" s="142" t="s">
        <v>279</v>
      </c>
      <c r="F409" s="143" t="s">
        <v>2</v>
      </c>
      <c r="G409" s="142" t="s">
        <v>280</v>
      </c>
      <c r="H409" s="317" t="s">
        <v>232</v>
      </c>
      <c r="I409" s="317"/>
      <c r="J409" s="317"/>
      <c r="K409" s="317"/>
      <c r="L409" s="317"/>
    </row>
    <row r="410" spans="1:13">
      <c r="A410" s="318" t="e">
        <f>CONCATENATE(" Total ",B402," YTD")</f>
        <v>#REF!</v>
      </c>
      <c r="B410" s="318"/>
      <c r="C410" s="41" t="e">
        <f>IF(OR(G402=0,G402=""),0,G402)</f>
        <v>#REF!</v>
      </c>
      <c r="D410" s="41" t="e">
        <f>ABS(C410-C411)</f>
        <v>#REF!</v>
      </c>
      <c r="E410" s="144" t="e">
        <f>IF(C411=0,100%,D410/C411)</f>
        <v>#REF!</v>
      </c>
      <c r="F410" s="145" t="e">
        <f>IF(C410&gt;C411," Increase"," Decrease")</f>
        <v>#REF!</v>
      </c>
      <c r="G410" s="146" t="e">
        <f>IF((C411+(C411*E410))=C410,"PASS","FAIL")</f>
        <v>#REF!</v>
      </c>
      <c r="H410" s="318" t="e">
        <f>IF(C410=""," ",IF(AND(C411=0,C410=0),CONCATENATE(B403," to ",B402," = N/A"),IF(AND(C411=0,C410&gt;0),CONCATENATE(B403," to ",B402," = 100% Increase"),IF(AND(C411&gt;0,C410=0),CONCATENATE(B403," to ",B402," = 100% Decrease"),IF(AND(C411&gt;0,C410&gt;0),CONCATENATE(B403," to ",B402," = ",TEXT(E410,"###.0%"),F410))))))</f>
        <v>#REF!</v>
      </c>
      <c r="I410" s="318"/>
      <c r="J410" s="318"/>
      <c r="K410" s="318"/>
      <c r="L410" s="318"/>
    </row>
    <row r="411" spans="1:13">
      <c r="A411" s="318" t="e">
        <f>CONCATENATE(" Total ",B403)</f>
        <v>#REF!</v>
      </c>
      <c r="B411" s="318"/>
      <c r="C411" s="41" t="e">
        <f>IF(OR(G403=0,G403=""),0,G403)</f>
        <v>#REF!</v>
      </c>
      <c r="D411" s="41" t="e">
        <f>ABS(C411-C412)</f>
        <v>#REF!</v>
      </c>
      <c r="E411" s="144" t="e">
        <f>IF(C412=0,100%,D411/C412)</f>
        <v>#REF!</v>
      </c>
      <c r="F411" s="145" t="e">
        <f>IF(C411&gt;C412," Increase"," Decrease")</f>
        <v>#REF!</v>
      </c>
      <c r="G411" s="146" t="e">
        <f>IF((C412+(C412*E411))=C411,"PASS","FAIL")</f>
        <v>#REF!</v>
      </c>
      <c r="H411" s="318" t="e">
        <f>IF(C411=""," ",IF(AND(C412=0,C411=0),CONCATENATE(B404," to ",B403," = Undetermined"),IF(AND(C412=0,C411&gt;0),CONCATENATE(B404," to ",B403," = 100% Increase"),IF(AND(C412&gt;0,C411=0),CONCATENATE(B404," to ",B403," = 100% Decrease"),IF(AND(C412&gt;0,C411&gt;0),CONCATENATE(B404," to ",B403," = ",TEXT(E411,"###.0%"),F411))))))</f>
        <v>#REF!</v>
      </c>
      <c r="I411" s="318"/>
      <c r="J411" s="318"/>
      <c r="K411" s="318"/>
      <c r="L411" s="318"/>
    </row>
    <row r="412" spans="1:13">
      <c r="A412" s="318" t="str">
        <f>CONCATENATE(" Total ",B2503)</f>
        <v xml:space="preserve"> Total </v>
      </c>
      <c r="B412" s="318"/>
      <c r="C412" s="41" t="e">
        <f>IF(OR(G404=0,G404=""),0,G404)</f>
        <v>#REF!</v>
      </c>
      <c r="D412" s="41" t="e">
        <f>ABS(C410-C412)</f>
        <v>#REF!</v>
      </c>
      <c r="E412" s="144" t="e">
        <f>IF(C412=0,100%,D412/C412)</f>
        <v>#REF!</v>
      </c>
      <c r="F412" s="145" t="e">
        <f>IF(C412&gt;C413," Increase"," Decrease")</f>
        <v>#REF!</v>
      </c>
      <c r="G412" s="146" t="e">
        <f>IF((C412+(C412*E412))=C410,"PASS","FAIL")</f>
        <v>#REF!</v>
      </c>
      <c r="H412" s="318"/>
      <c r="I412" s="318"/>
      <c r="J412" s="318"/>
      <c r="K412" s="318"/>
      <c r="L412" s="318"/>
    </row>
    <row r="413" spans="1:13">
      <c r="C413" s="42"/>
    </row>
    <row r="414" spans="1:13">
      <c r="A414" s="65" t="s">
        <v>339</v>
      </c>
      <c r="C414" s="63" t="e">
        <f>CONCATENATE("Variance in Earnings:  ",H411,"  &amp;  ",H410)</f>
        <v>#REF!</v>
      </c>
    </row>
    <row r="415" spans="1:13">
      <c r="B415" s="112"/>
      <c r="C415" s="140"/>
      <c r="D415" s="40"/>
    </row>
    <row r="416" spans="1:13">
      <c r="A416" s="319" t="s">
        <v>271</v>
      </c>
      <c r="B416" s="319"/>
      <c r="C416" s="319"/>
      <c r="D416" s="319"/>
      <c r="E416" s="319"/>
      <c r="F416" s="319"/>
      <c r="G416" s="319"/>
      <c r="H416" s="319"/>
      <c r="I416" s="319"/>
      <c r="J416" s="319"/>
      <c r="K416" s="319"/>
      <c r="L416" s="319"/>
      <c r="M416" s="319"/>
    </row>
    <row r="418" spans="1:6">
      <c r="A418" s="65" t="s">
        <v>272</v>
      </c>
      <c r="D418" s="115" t="e">
        <f>G282</f>
        <v>#REF!</v>
      </c>
      <c r="F418" s="63" t="e">
        <f>IF(OR(D271=A262,D271=A263,D271=A265),CONCATENATE("total average earnings for the past ",I282," months"),"(lower of Current Rate or YTD avg, or explanation provided)")</f>
        <v>#REF!</v>
      </c>
    </row>
    <row r="419" spans="1:6">
      <c r="A419" s="65" t="s">
        <v>273</v>
      </c>
      <c r="D419" s="115">
        <f>IF(K301=0,0,IF(D303=TRUE(),K301,0))</f>
        <v>0</v>
      </c>
    </row>
    <row r="420" spans="1:6">
      <c r="A420" s="65" t="s">
        <v>275</v>
      </c>
      <c r="D420" s="115" t="e">
        <f>D418-D419</f>
        <v>#REF!</v>
      </c>
    </row>
    <row r="421" spans="1:6">
      <c r="D421" s="115"/>
    </row>
    <row r="422" spans="1:6">
      <c r="A422" s="63" t="e">
        <f>CONCATENATE(" Total ",A364)</f>
        <v>#REF!</v>
      </c>
      <c r="D422" s="115" t="b">
        <f>FALSE()</f>
        <v>0</v>
      </c>
    </row>
    <row r="423" spans="1:6">
      <c r="A423" s="63" t="e">
        <f>CONCATENATE(" Total ",A364)</f>
        <v>#REF!</v>
      </c>
      <c r="D423" s="115">
        <f>IF(D422=TRUE(),J369,0)</f>
        <v>0</v>
      </c>
      <c r="F423" s="63" t="e">
        <f>IF(AND(#REF!&lt;&gt;"",I369&lt;&gt;0),CONCATENATE(" Additional ",#REF!," Earnings"),CONCATENATE(" Total ",I369," Months Average Monthly ",PROPER(#REF!)," Earnings"))</f>
        <v>#REF!</v>
      </c>
    </row>
    <row r="424" spans="1:6">
      <c r="D424" s="115"/>
    </row>
    <row r="425" spans="1:6">
      <c r="A425" s="63" t="e">
        <f>CONCATENATE(" Total ",A382)</f>
        <v>#REF!</v>
      </c>
      <c r="D425" s="115" t="b">
        <f>FALSE()</f>
        <v>0</v>
      </c>
    </row>
    <row r="426" spans="1:6">
      <c r="A426" s="63" t="e">
        <f>CONCATENATE(" Total ",A382)</f>
        <v>#REF!</v>
      </c>
      <c r="D426" s="115">
        <f>IF(D425=TRUE(),J387,0)</f>
        <v>0</v>
      </c>
      <c r="F426" s="63" t="e">
        <f>IF(AND(#REF!&lt;&gt;"",I387&lt;&gt;0),CONCATENATE(" Additional ",#REF!," Earnings"),CONCATENATE(" Total ",I387," Months Average Monthly ",PROPER(#REF!)," Earnings"))</f>
        <v>#REF!</v>
      </c>
    </row>
    <row r="427" spans="1:6">
      <c r="D427" s="115"/>
    </row>
    <row r="428" spans="1:6">
      <c r="A428" s="63" t="e">
        <f>CONCATENATE(" Total ",A400)</f>
        <v>#REF!</v>
      </c>
      <c r="D428" s="115" t="b">
        <f>FALSE()</f>
        <v>0</v>
      </c>
    </row>
    <row r="429" spans="1:6">
      <c r="A429" s="63" t="e">
        <f>CONCATENATE(" Total ",A400)</f>
        <v>#REF!</v>
      </c>
      <c r="D429" s="115">
        <f>IF(D428=TRUE(),J405,0)</f>
        <v>0</v>
      </c>
      <c r="F429" s="63" t="e">
        <f>IF(AND(#REF!&lt;&gt;"",I405&lt;&gt;0),CONCATENATE(" Additional ",#REF!," Earnings"),CONCATENATE(" Total ",I405," Months Average Monthly ",PROPER(#REF!)," Earnings"))</f>
        <v>#REF!</v>
      </c>
    </row>
    <row r="430" spans="1:6">
      <c r="D430" s="115"/>
    </row>
    <row r="431" spans="1:6">
      <c r="A431" s="65" t="s">
        <v>274</v>
      </c>
      <c r="D431" s="115" t="e">
        <f>#REF!</f>
        <v>#REF!</v>
      </c>
    </row>
    <row r="433" spans="1:11">
      <c r="A433" s="65" t="s">
        <v>94</v>
      </c>
      <c r="B433" s="112"/>
      <c r="C433" s="140"/>
      <c r="D433" s="115" t="e">
        <f>D420+D423+D426+D429+D431</f>
        <v>#REF!</v>
      </c>
    </row>
    <row r="434" spans="1:11">
      <c r="B434" s="112"/>
      <c r="C434" s="140"/>
      <c r="D434" s="40"/>
    </row>
    <row r="435" spans="1:11">
      <c r="A435" s="314" t="s">
        <v>320</v>
      </c>
      <c r="B435" s="314"/>
      <c r="C435" s="314"/>
      <c r="D435" s="314"/>
      <c r="E435" s="314"/>
      <c r="F435" s="314"/>
      <c r="G435" s="314"/>
      <c r="H435" s="314"/>
      <c r="I435" s="314"/>
      <c r="J435" s="314"/>
      <c r="K435" s="314"/>
    </row>
    <row r="436" spans="1:11">
      <c r="B436" s="112"/>
      <c r="C436" s="140"/>
      <c r="D436" s="40"/>
    </row>
    <row r="437" spans="1:11">
      <c r="A437" s="65" t="s">
        <v>321</v>
      </c>
      <c r="B437" s="112"/>
      <c r="C437" s="140"/>
      <c r="D437" s="63" t="e">
        <f>VLOOKUP(TRUE(),C312:D315,2,FALSE())</f>
        <v>#N/A</v>
      </c>
    </row>
    <row r="438" spans="1:11">
      <c r="B438" s="112"/>
      <c r="C438" s="140"/>
    </row>
    <row r="439" spans="1:11">
      <c r="A439" s="65" t="s">
        <v>322</v>
      </c>
      <c r="B439" s="112"/>
      <c r="C439" s="140"/>
      <c r="D439" s="65" t="e">
        <f>IF(AND(D440=FALSE(),D441=FALSE(),D442=FALSE(),D443=FALSE(),D444=FALSE(),D445=FALSE()),TRUE(),FALSE())</f>
        <v>#REF!</v>
      </c>
      <c r="E439" s="65" t="s">
        <v>323</v>
      </c>
    </row>
    <row r="440" spans="1:11">
      <c r="A440" s="150" t="s">
        <v>324</v>
      </c>
      <c r="B440" s="112"/>
      <c r="C440" s="140"/>
      <c r="D440" s="65" t="b">
        <f>IF(D275=TRUE(),TRUE(),FALSE())</f>
        <v>1</v>
      </c>
      <c r="E440" s="65" t="s">
        <v>325</v>
      </c>
    </row>
    <row r="441" spans="1:11">
      <c r="A441" s="150" t="s">
        <v>0</v>
      </c>
      <c r="B441" s="112"/>
      <c r="C441" s="140"/>
      <c r="D441" s="65" t="e">
        <f>IF(AND(D275=FALSE(),D274&gt;0,D418&gt;0,D418=D274),TRUE(),FALSE())</f>
        <v>#REF!</v>
      </c>
      <c r="E441" s="65" t="s">
        <v>326</v>
      </c>
    </row>
    <row r="442" spans="1:11">
      <c r="A442" s="150" t="s">
        <v>327</v>
      </c>
      <c r="B442" s="112"/>
      <c r="C442" s="140"/>
      <c r="D442" s="65" t="e">
        <f>IF(AND(D275&lt;&gt;FALSE(),D418&lt;D274),TRUE(),FALSE())</f>
        <v>#REF!</v>
      </c>
      <c r="E442" s="65" t="s">
        <v>328</v>
      </c>
    </row>
    <row r="443" spans="1:11">
      <c r="A443" s="150" t="s">
        <v>329</v>
      </c>
      <c r="B443" s="112"/>
      <c r="C443" s="140"/>
      <c r="D443" s="65" t="e">
        <f>IF(AND(M279=TRUE(),M280=TRUE(),M281=TRUE(),OR(D271="Part-Time",D271="Varies",D271="Varies / Averaged",D271="Seasonal")),TRUE(),FALSE())</f>
        <v>#REF!</v>
      </c>
      <c r="E443" s="63" t="e">
        <f>CONCATENATE("Total qualifying income determined with earnings averaged from YTD ",B279,", Year ",B280,", and Year ",B281,".")</f>
        <v>#REF!</v>
      </c>
    </row>
    <row r="444" spans="1:11">
      <c r="A444" s="150" t="s">
        <v>330</v>
      </c>
      <c r="B444" s="112"/>
      <c r="C444" s="140"/>
      <c r="D444" s="65" t="e">
        <f>IF(AND(M279=TRUE(),M280=TRUE(),M281=FALSE(),OR(D271="Part-Time",D271="Varies",D271="Varies / Averaged",D271="Seasonal")),TRUE(),FALSE())</f>
        <v>#REF!</v>
      </c>
      <c r="E444" s="63" t="e">
        <f>CONCATENATE("Total qualifying income determined with earnings averaged from YTD ",B279,", and Year ",B280,".")</f>
        <v>#REF!</v>
      </c>
    </row>
    <row r="445" spans="1:11">
      <c r="A445" s="150" t="s">
        <v>331</v>
      </c>
      <c r="B445" s="112"/>
      <c r="C445" s="140"/>
      <c r="D445" s="65" t="e">
        <f>IF(AND(M279=TRUE(),M280=FALSE(),M281=FALSE(),OR(D271="Part-Time",D271="Varies",D271="Varies / Averaged",D271="Seasonal")),TRUE(),FALSE())</f>
        <v>#REF!</v>
      </c>
      <c r="E445" s="63" t="e">
        <f>CONCATENATE("Total qualifying income determined with earnings averaged from YTD ",B279,".")</f>
        <v>#REF!</v>
      </c>
    </row>
    <row r="446" spans="1:11">
      <c r="B446" s="112"/>
      <c r="C446" s="140"/>
    </row>
    <row r="447" spans="1:11">
      <c r="A447" s="65" t="s">
        <v>332</v>
      </c>
      <c r="D447" s="63" t="str">
        <f>IF(ISERROR(G418),"Total qualifying income to be determined.",VLOOKUP(TRUE(),D439:E445,2,FALSE()))</f>
        <v>Total qualifying income determined on current pay rate even if not supported with YTD earnings (may be due to pay increase earlier this year, or time off taken without pay, etc.). LOE required.</v>
      </c>
    </row>
    <row r="449" spans="1:13">
      <c r="A449" s="65" t="s">
        <v>333</v>
      </c>
      <c r="D449" s="63" t="e">
        <f>IF(ISERROR(G418),"Total qualifying income to be determined.",IF(AND(E279=0,E280=0,E281=0),"Average weekly hours worked to be determined.",IF(OR(D269=0,D269="",D271=A263,D271=A265),"Average weekly hours worked vary.",CONCATENATE("YTD earnings, at current rate of pay, reflect borrower is working an average of ",TEXT(D356,"##.0")," hours weekly."))))</f>
        <v>#REF!</v>
      </c>
    </row>
    <row r="451" spans="1:13">
      <c r="A451" s="65" t="s">
        <v>334</v>
      </c>
      <c r="D451" s="63" t="e">
        <f>IF(ISERROR(G418),"Total qualifying income to be determined.",IF(OR(C279="",D360=0),"Expected amount of YTD earnings to be determined.",VLOOKUP(D271,A258:E266,5,FALSE())))</f>
        <v>#REF!</v>
      </c>
    </row>
    <row r="453" spans="1:13">
      <c r="A453" s="65" t="s">
        <v>335</v>
      </c>
      <c r="B453" s="112"/>
      <c r="C453" s="140"/>
      <c r="D453" s="63" t="e">
        <f>IF(ISERROR(G418),"Total qualifying income to be determined.",IF(F282=0,"Total Average Base Earnings and period covered to be determined.",CONCATENATE("Total Average Base Earnings For The Past ",Data_Income!F282," Months = ",DOLLAR(ROUND(E282/F282,0),2))))</f>
        <v>#REF!</v>
      </c>
    </row>
    <row r="454" spans="1:13">
      <c r="B454" s="112"/>
      <c r="C454" s="140"/>
      <c r="D454" s="40"/>
    </row>
    <row r="455" spans="1:13">
      <c r="A455" s="63" t="e">
        <f>IF(#REF!="~  ENTER DESCRIPTION OF ADDITIONAL EARNINGS  ~","Additional Earnings Type 1",CONCATENATE(#REF!," Earnings"))</f>
        <v>#REF!</v>
      </c>
      <c r="B455" s="112"/>
      <c r="C455" s="140"/>
      <c r="D455" s="40"/>
    </row>
    <row r="456" spans="1:13">
      <c r="A456" s="65" t="s">
        <v>321</v>
      </c>
      <c r="B456" s="112"/>
      <c r="C456" s="140"/>
      <c r="D456" s="76" t="e">
        <f>IF(AND(E366=0,E367=0,E368=0),"Variances in earnings not determined.",C378)</f>
        <v>#REF!</v>
      </c>
    </row>
    <row r="457" spans="1:13">
      <c r="B457" s="112"/>
      <c r="C457" s="140"/>
    </row>
    <row r="458" spans="1:13">
      <c r="A458" s="63" t="e">
        <f>IF(#REF!="~  ENTER DESCRIPTION OF ADDITIONAL EARNINGS  ~","Additional Earnings Type 2",CONCATENATE(#REF!," Earnings"))</f>
        <v>#REF!</v>
      </c>
      <c r="B458" s="112"/>
      <c r="C458" s="140"/>
    </row>
    <row r="459" spans="1:13">
      <c r="A459" s="65" t="s">
        <v>321</v>
      </c>
      <c r="B459" s="112"/>
      <c r="C459" s="140"/>
      <c r="D459" s="63" t="e">
        <f>IF(AND(E384=0,E385=0,E386=0),"Variances in earnings not determined.",C396)</f>
        <v>#REF!</v>
      </c>
    </row>
    <row r="460" spans="1:13">
      <c r="B460" s="112"/>
      <c r="C460" s="140"/>
    </row>
    <row r="461" spans="1:13">
      <c r="A461" s="63" t="e">
        <f>IF(#REF!="~  ENTER DESCRIPTION OF ADDITIONAL EARNINGS  ~","Additional Earnings Type 3",CONCATENATE(#REF!," Earnings"))</f>
        <v>#REF!</v>
      </c>
      <c r="B461" s="112"/>
      <c r="C461" s="140"/>
    </row>
    <row r="462" spans="1:13">
      <c r="A462" s="65" t="s">
        <v>321</v>
      </c>
      <c r="B462" s="112"/>
      <c r="C462" s="140"/>
      <c r="D462" s="63" t="e">
        <f>IF(AND(E402=0,E403=0,E404=0),"Variances in earnings not determined.",C414)</f>
        <v>#REF!</v>
      </c>
    </row>
    <row r="463" spans="1:13">
      <c r="B463" s="112"/>
      <c r="C463" s="140"/>
      <c r="D463" s="40"/>
    </row>
    <row r="464" spans="1:13" ht="18" customHeight="1">
      <c r="A464" s="322" t="s">
        <v>340</v>
      </c>
      <c r="B464" s="322"/>
      <c r="C464" s="322"/>
      <c r="D464" s="322"/>
      <c r="E464" s="322"/>
      <c r="F464" s="322"/>
      <c r="G464" s="322"/>
      <c r="H464" s="322"/>
      <c r="I464" s="322"/>
      <c r="J464" s="322"/>
      <c r="K464" s="322"/>
      <c r="L464" s="322"/>
      <c r="M464" s="322"/>
    </row>
    <row r="466" spans="1:11">
      <c r="A466" s="310" t="s">
        <v>183</v>
      </c>
      <c r="B466" s="310"/>
      <c r="C466" s="310"/>
      <c r="D466" s="310"/>
      <c r="E466" s="310"/>
      <c r="F466" s="310"/>
      <c r="G466" s="310"/>
      <c r="H466" s="310"/>
      <c r="I466" s="310"/>
      <c r="J466" s="310"/>
      <c r="K466" s="310"/>
    </row>
    <row r="467" spans="1:11">
      <c r="A467" s="99">
        <v>1</v>
      </c>
      <c r="B467" s="99">
        <v>2</v>
      </c>
      <c r="C467" s="99">
        <v>3</v>
      </c>
      <c r="D467" s="98">
        <v>4</v>
      </c>
      <c r="E467" s="100">
        <v>5</v>
      </c>
      <c r="F467" s="101"/>
      <c r="G467" s="101"/>
      <c r="H467" s="101"/>
      <c r="I467" s="101"/>
      <c r="J467" s="101"/>
      <c r="K467" s="102"/>
    </row>
    <row r="468" spans="1:11">
      <c r="A468" s="80" t="s">
        <v>184</v>
      </c>
      <c r="B468" s="80" t="s">
        <v>185</v>
      </c>
      <c r="C468" s="80" t="s">
        <v>186</v>
      </c>
      <c r="D468" s="80" t="s">
        <v>187</v>
      </c>
      <c r="E468" s="103" t="s">
        <v>232</v>
      </c>
      <c r="F468" s="104"/>
      <c r="G468" s="104"/>
      <c r="H468" s="104"/>
      <c r="I468" s="104"/>
      <c r="J468" s="104"/>
      <c r="K468" s="105"/>
    </row>
    <row r="469" spans="1:11">
      <c r="A469" s="50" t="str">
        <f>$C$54</f>
        <v>Annually (1)</v>
      </c>
      <c r="B469" s="83">
        <f>$E$49</f>
        <v>1</v>
      </c>
      <c r="C469" s="85">
        <f>$F$49</f>
        <v>2080</v>
      </c>
      <c r="D469" s="50" t="str">
        <f>$G$49</f>
        <v>annually</v>
      </c>
      <c r="E469" s="106" t="e">
        <f>IF(D482=0,"N/A",CONCATENATE("Working full-time at current rate of pay (",DOLLAR(D551,0)," annually), borrower's YTD earnings would need to reflect ",DOLLAR(D578,0)," as the total amount of base earnings from ",MONTH(C490),"/",DAY(C490),"/",YEAR(C490)," to ",MONTH(D490),"/",DAY(D490),"/",YEAR(D490)," (excluding bonus, commissions, differential, incentive, overtime, etc.)."))</f>
        <v>#REF!</v>
      </c>
      <c r="F469" s="104"/>
      <c r="G469" s="104"/>
      <c r="H469" s="104"/>
      <c r="I469" s="104"/>
      <c r="J469" s="104"/>
      <c r="K469" s="107"/>
    </row>
    <row r="470" spans="1:11">
      <c r="A470" s="108" t="str">
        <f>$C$51</f>
        <v>Bi-Weekly (26)</v>
      </c>
      <c r="B470" s="83">
        <f>$E$50</f>
        <v>26</v>
      </c>
      <c r="C470" s="85">
        <f>$F$50</f>
        <v>80</v>
      </c>
      <c r="D470" s="50" t="str">
        <f>$G$50</f>
        <v>bi-weekly</v>
      </c>
      <c r="E470" s="106" t="e">
        <f>IF(D482=0,"N/A",CONCATENATE("Working full-time at current rate of pay (",DOLLAR(D551,0)," bi-weekly), borrower's YTD earnings would need to reflect ",DOLLAR(D578,0)," as the total amount of base earnings from ",MONTH(C490),"/",DAY(C490),"/",YEAR(C490)," to ",MONTH(D490),"/",DAY(D490),"/",YEAR(D490)," (excluding bonus, commissions, differential, incentive, overtime, etc.)."))</f>
        <v>#REF!</v>
      </c>
      <c r="F470" s="104"/>
      <c r="G470" s="104"/>
      <c r="H470" s="104"/>
      <c r="I470" s="104"/>
      <c r="J470" s="104"/>
      <c r="K470" s="107"/>
    </row>
    <row r="471" spans="1:11">
      <c r="A471" s="50" t="str">
        <f>$C$49</f>
        <v>Hourly (H)</v>
      </c>
      <c r="B471" s="83">
        <f>$E$51</f>
        <v>2080</v>
      </c>
      <c r="C471" s="85">
        <f>$F$51</f>
        <v>1</v>
      </c>
      <c r="D471" s="50" t="str">
        <f>$G$51</f>
        <v>hourly</v>
      </c>
      <c r="E471" s="106" t="e">
        <f>IF(D482=0,"N/A",CONCATENATE("Working full-time at current rate of pay (",DOLLAR(D551,2)," hourly), borrower's YTD earnings would need to reflect ",DOLLAR(D578,0)," as the total amount of base earnings from ",MONTH(C490),"/",DAY(C490),"/",YEAR(C490)," to ",MONTH(D490),"/",DAY(D490),"/",YEAR(D490)," (excluding bonus, commissions, differential, incentive, overtime, etc.)."))</f>
        <v>#REF!</v>
      </c>
      <c r="F471" s="104"/>
      <c r="G471" s="104"/>
      <c r="H471" s="104"/>
      <c r="I471" s="104"/>
      <c r="J471" s="104"/>
      <c r="K471" s="107"/>
    </row>
    <row r="472" spans="1:11">
      <c r="A472" s="50" t="str">
        <f>$C$53</f>
        <v>Monthly (12)</v>
      </c>
      <c r="B472" s="83">
        <f>$E$52</f>
        <v>12</v>
      </c>
      <c r="C472" s="85">
        <f>$F$52</f>
        <v>173.33333333333334</v>
      </c>
      <c r="D472" s="50" t="str">
        <f>$G$52</f>
        <v>monthly</v>
      </c>
      <c r="E472" s="106" t="e">
        <f>IF(D482=0,"N/A",CONCATENATE("Working full-time at current rate of pay (",DOLLAR(D551,0)," monthly), borrower's YTD earnings would need to reflect ",DOLLAR(D578,0)," as the total amount of base earnings from ",MONTH(C490),"/",DAY(C490),"/",YEAR(C490)," to ",MONTH(D490),"/",DAY(D490),"/",YEAR(D490)," (excluding bonus, commissions, differential, incentive, overtime, etc.)."))</f>
        <v>#REF!</v>
      </c>
      <c r="F472" s="104"/>
      <c r="G472" s="104"/>
      <c r="H472" s="104"/>
      <c r="I472" s="104"/>
      <c r="J472" s="104"/>
      <c r="K472" s="107"/>
    </row>
    <row r="473" spans="1:11">
      <c r="A473" s="50" t="str">
        <f>$C$55</f>
        <v>Part-Time</v>
      </c>
      <c r="B473" s="83">
        <f>$E$53</f>
        <v>0</v>
      </c>
      <c r="C473" s="85">
        <f>$F$53</f>
        <v>0</v>
      </c>
      <c r="D473" s="50" t="str">
        <f>$G$53</f>
        <v>part-time</v>
      </c>
      <c r="E473" s="106" t="e">
        <f>IF(D482=0,"N/A",CONCATENATE("Working Part-Time at averaged monthly pay, borrower's YTD earnings would need to reflect approximately ",DOLLAR(D551,0)," as the total amount of base earnings from ",MONTH(C490),"/",DAY(C490),"/",YEAR(C490)," to ",MONTH(D490),"/",DAY(D490),"/",YEAR(D490)," (excluding bonus, commissions, differential, incentive, overtime, etc.)."))</f>
        <v>#REF!</v>
      </c>
      <c r="F473" s="104"/>
      <c r="G473" s="104"/>
      <c r="H473" s="104"/>
      <c r="I473" s="104"/>
      <c r="J473" s="104"/>
      <c r="K473" s="107"/>
    </row>
    <row r="474" spans="1:11">
      <c r="A474" s="50" t="str">
        <f>$C$56</f>
        <v>Seasonal</v>
      </c>
      <c r="B474" s="83">
        <f>$E$54</f>
        <v>0</v>
      </c>
      <c r="C474" s="85">
        <f>$F$54</f>
        <v>0</v>
      </c>
      <c r="D474" s="50" t="str">
        <f>$G$54</f>
        <v>seasonal</v>
      </c>
      <c r="E474" s="106" t="e">
        <f>IF(D482=0,"N/A",CONCATENATE("Working Seasonal at averaged monthly pay, borrower's YTD earnings would need to reflect approximately ",DOLLAR(D551,0)," as the total amount of base earnings from ",MONTH(C490),"/",DAY(C490),"/",YEAR(C490)," to ",MONTH(D490),"/",DAY(D490),"/",YEAR(D490)," (excluding bonus, commissions, differential, incentive, overtime, etc.)."))</f>
        <v>#REF!</v>
      </c>
      <c r="F474" s="104"/>
      <c r="G474" s="104"/>
      <c r="H474" s="104"/>
      <c r="I474" s="104"/>
      <c r="J474" s="104"/>
      <c r="K474" s="107"/>
    </row>
    <row r="475" spans="1:11">
      <c r="A475" s="50" t="str">
        <f>$C$52</f>
        <v>Semi-Monthly (24)</v>
      </c>
      <c r="B475" s="83">
        <f>$E$55</f>
        <v>24</v>
      </c>
      <c r="C475" s="85">
        <f>$F$55</f>
        <v>86.666666666666671</v>
      </c>
      <c r="D475" s="50" t="str">
        <f>$G$55</f>
        <v>semi-monthly</v>
      </c>
      <c r="E475" s="106" t="e">
        <f>IF(D482=0,"N/A",CONCATENATE("Working full-time at current rate of pay (",DOLLAR(D551,2)," semi-monthly), borrower's YTD earnings would need to reflect ",DOLLAR(D578,0)," as the total amount of base earnings from ",MONTH(C490),"/",DAY(C490),"/",YEAR(C490)," to ",MONTH(D490),"/",DAY(D490),"/",YEAR(D490)," (excluding bonus, commissions, differential, incentive, overtime, etc.)."))</f>
        <v>#REF!</v>
      </c>
      <c r="F475" s="104"/>
      <c r="G475" s="104"/>
      <c r="H475" s="104"/>
      <c r="I475" s="104"/>
      <c r="J475" s="104"/>
      <c r="K475" s="107"/>
    </row>
    <row r="476" spans="1:11">
      <c r="A476" s="50" t="str">
        <f>$C$57</f>
        <v>Varies / Averaged</v>
      </c>
      <c r="B476" s="83">
        <f>$E$56</f>
        <v>0</v>
      </c>
      <c r="C476" s="85">
        <f>$F$56</f>
        <v>0</v>
      </c>
      <c r="D476" s="50" t="str">
        <f>$G$56</f>
        <v>varies</v>
      </c>
      <c r="E476" s="106" t="e">
        <f>IF(D482=0,"N/A",CONCATENATE("Based on calculated averaged monthly earnings, borrower's YTD earnings should reflect approximately ",DOLLAR(D551,0)," as the total amount of base income earned from ",MONTH(C490),"/",DAY(C490),"/",YEAR(C490)," to ",MONTH(D490),"/",DAY(D490),"/",YEAR(D490)," (excluding bonus, commissions, differential, incentive, overtime, etc.)."))</f>
        <v>#REF!</v>
      </c>
      <c r="F476" s="104"/>
      <c r="G476" s="104"/>
      <c r="H476" s="104"/>
      <c r="I476" s="104"/>
      <c r="J476" s="104"/>
      <c r="K476" s="107"/>
    </row>
    <row r="477" spans="1:11">
      <c r="A477" s="50" t="str">
        <f>$C$50</f>
        <v>Weekly (52)</v>
      </c>
      <c r="B477" s="83">
        <f>$E$57</f>
        <v>52</v>
      </c>
      <c r="C477" s="85">
        <f>$F$57</f>
        <v>40</v>
      </c>
      <c r="D477" s="50" t="str">
        <f>$G$57</f>
        <v>weekly</v>
      </c>
      <c r="E477" s="106" t="e">
        <f>IF(D482=0,"N/A",CONCATENATE("Working full-time at current rate of pay (",DOLLAR(#REF!,2)," weekly), borrower's YTD earnings would need to reflect ",DOLLAR(D551,0)," as the total amount of base earnings from ",MONTH(C490),"/",DAY(C490),"/",YEAR(C490)," to ",MONTH(D490),"/",DAY(D490),"/",YEAR(D490)," (excluding bonus, commissions, differential, incentive, overtime, etc.)."))</f>
        <v>#REF!</v>
      </c>
      <c r="F477" s="104"/>
      <c r="G477" s="104"/>
      <c r="H477" s="104"/>
      <c r="I477" s="104"/>
      <c r="J477" s="104"/>
      <c r="K477" s="107"/>
    </row>
    <row r="479" spans="1:11">
      <c r="A479" s="65" t="s">
        <v>233</v>
      </c>
      <c r="D479" s="109" t="e">
        <f>IF(#REF!="","",#REF!)</f>
        <v>#REF!</v>
      </c>
      <c r="F479" s="110"/>
      <c r="G479" s="111" t="s">
        <v>234</v>
      </c>
      <c r="H479" s="110"/>
      <c r="I479" s="110"/>
      <c r="J479" s="110"/>
    </row>
    <row r="480" spans="1:11">
      <c r="A480" s="65" t="s">
        <v>235</v>
      </c>
      <c r="D480" s="112" t="e">
        <f>IF(OR(#REF!=0,#REF!=""),0,#REF!)</f>
        <v>#REF!</v>
      </c>
      <c r="F480" s="110"/>
      <c r="G480" s="111" t="s">
        <v>236</v>
      </c>
      <c r="H480" s="110"/>
      <c r="I480" s="110"/>
      <c r="J480" s="110"/>
    </row>
    <row r="481" spans="1:13">
      <c r="A481" s="65" t="s">
        <v>237</v>
      </c>
      <c r="D481" s="112" t="e">
        <f>IF(D482=A473,"Hourly Rate of Pay (part-time)","Rate of Pay")</f>
        <v>#REF!</v>
      </c>
      <c r="F481" s="110"/>
      <c r="G481" s="110"/>
      <c r="H481" s="110"/>
      <c r="I481" s="110"/>
      <c r="J481" s="110"/>
    </row>
    <row r="482" spans="1:13">
      <c r="A482" s="65" t="s">
        <v>238</v>
      </c>
      <c r="D482" s="113" t="e">
        <f>#REF!</f>
        <v>#REF!</v>
      </c>
      <c r="F482" s="110"/>
      <c r="G482" s="111" t="s">
        <v>239</v>
      </c>
      <c r="H482" s="110"/>
      <c r="I482" s="110"/>
      <c r="J482" s="110"/>
    </row>
    <row r="483" spans="1:13">
      <c r="A483" s="65" t="s">
        <v>240</v>
      </c>
      <c r="D483" s="112" t="e">
        <f>#REF!</f>
        <v>#REF!</v>
      </c>
      <c r="F483" s="110"/>
      <c r="G483" s="111" t="s">
        <v>241</v>
      </c>
      <c r="H483" s="110"/>
      <c r="I483" s="110"/>
      <c r="J483" s="110"/>
    </row>
    <row r="484" spans="1:13">
      <c r="A484" s="65" t="s">
        <v>242</v>
      </c>
      <c r="D484" s="112" t="e">
        <f>IF(OR(D480=0,D482=0),"",IF(D482="Hourly (H)",(D480*D483)*52,D480*VLOOKUP(D482,A469:E477,2)))</f>
        <v>#REF!</v>
      </c>
      <c r="F484" s="110"/>
      <c r="G484" s="111" t="s">
        <v>243</v>
      </c>
      <c r="H484" s="110"/>
      <c r="I484" s="110"/>
      <c r="J484" s="110"/>
    </row>
    <row r="485" spans="1:13">
      <c r="A485" s="65" t="s">
        <v>244</v>
      </c>
      <c r="D485" s="115" t="e">
        <f>IF(OR(D480=0,D482=0),0,IF(OR(D482=A473,D482=A474,D482=A476),J493,ROUND(D484/12,0)))</f>
        <v>#REF!</v>
      </c>
      <c r="F485" s="110"/>
      <c r="G485" s="111" t="s">
        <v>245</v>
      </c>
      <c r="H485" s="110"/>
      <c r="I485" s="110"/>
      <c r="J485" s="110"/>
    </row>
    <row r="486" spans="1:13">
      <c r="A486" s="65" t="s">
        <v>246</v>
      </c>
      <c r="D486" s="65" t="b">
        <f>FALSE()</f>
        <v>0</v>
      </c>
      <c r="F486" s="110"/>
      <c r="G486" s="111" t="s">
        <v>247</v>
      </c>
      <c r="H486" s="110"/>
      <c r="I486" s="110"/>
      <c r="J486" s="110"/>
    </row>
    <row r="488" spans="1:13">
      <c r="A488" s="320" t="s">
        <v>248</v>
      </c>
      <c r="B488" s="320"/>
      <c r="C488" s="320"/>
      <c r="D488" s="320"/>
      <c r="E488" s="320"/>
      <c r="F488" s="320"/>
      <c r="G488" s="320"/>
      <c r="H488" s="320" t="s">
        <v>249</v>
      </c>
      <c r="I488" s="320"/>
      <c r="J488" s="320"/>
      <c r="K488" s="320" t="s">
        <v>250</v>
      </c>
      <c r="L488" s="320"/>
      <c r="M488" s="320"/>
    </row>
    <row r="489" spans="1:13">
      <c r="A489" s="116" t="s">
        <v>251</v>
      </c>
      <c r="B489" s="116" t="s">
        <v>91</v>
      </c>
      <c r="C489" s="116" t="s">
        <v>76</v>
      </c>
      <c r="D489" s="116" t="s">
        <v>77</v>
      </c>
      <c r="E489" s="116" t="s">
        <v>36</v>
      </c>
      <c r="F489" s="116" t="s">
        <v>68</v>
      </c>
      <c r="G489" s="116" t="s">
        <v>1</v>
      </c>
      <c r="H489" s="116" t="s">
        <v>74</v>
      </c>
      <c r="I489" s="116" t="s">
        <v>68</v>
      </c>
      <c r="J489" s="116" t="s">
        <v>36</v>
      </c>
      <c r="K489" s="116" t="s">
        <v>252</v>
      </c>
      <c r="L489" s="116" t="s">
        <v>253</v>
      </c>
      <c r="M489" s="116" t="s">
        <v>254</v>
      </c>
    </row>
    <row r="490" spans="1:13">
      <c r="A490" s="117" t="b">
        <f>TRUE()</f>
        <v>1</v>
      </c>
      <c r="B490" s="118" t="e">
        <f>#REF!</f>
        <v>#REF!</v>
      </c>
      <c r="C490" s="119" t="e">
        <f>#REF!</f>
        <v>#REF!</v>
      </c>
      <c r="D490" s="119" t="e">
        <f>#REF!</f>
        <v>#REF!</v>
      </c>
      <c r="E490" s="120" t="e">
        <f>IF(#REF!="",0,#REF!)</f>
        <v>#REF!</v>
      </c>
      <c r="F490" s="121" t="e">
        <f>IF(OR(E490="",E490=0),"",ROUND((((D490-C490)+1)/365)*12,1))</f>
        <v>#REF!</v>
      </c>
      <c r="G490" s="122" t="e">
        <f>IF(OR(E490="",E490=0),"",ROUND(E490/F490,0))</f>
        <v>#REF!</v>
      </c>
      <c r="H490" s="122" t="e">
        <f>IF(A490=TRUE(),E490,0)</f>
        <v>#REF!</v>
      </c>
      <c r="I490" s="123" t="e">
        <f>IF(A490=TRUE(),F490,0)</f>
        <v>#REF!</v>
      </c>
      <c r="J490" s="122" t="e">
        <f>IF(OR(A490=FALSE(),H490=0,I490=0),0,ROUND(H490/I490,0))</f>
        <v>#REF!</v>
      </c>
      <c r="K490" s="121" t="e">
        <f>IF(OR(G490="",G490=0,G491="",G491=0),100,IF(G490&gt;G491,((G490-G491)/G491)*100,((G491-G490)/G491)*100))</f>
        <v>#REF!</v>
      </c>
      <c r="L490" s="81" t="e">
        <f>IF(G490&gt;G491,"Increase","Decrease")</f>
        <v>#REF!</v>
      </c>
      <c r="M490" s="81" t="e">
        <f>IF(AND(A490=TRUE(),E490&gt;0),TRUE(),FALSE())</f>
        <v>#REF!</v>
      </c>
    </row>
    <row r="491" spans="1:13">
      <c r="A491" s="39" t="b">
        <f>TRUE()</f>
        <v>1</v>
      </c>
      <c r="B491" s="124" t="e">
        <f>#REF!</f>
        <v>#REF!</v>
      </c>
      <c r="C491" s="125" t="e">
        <f>#REF!</f>
        <v>#REF!</v>
      </c>
      <c r="D491" s="125" t="e">
        <f>#REF!</f>
        <v>#REF!</v>
      </c>
      <c r="E491" s="120" t="e">
        <f>IF(#REF!="",0,#REF!)</f>
        <v>#REF!</v>
      </c>
      <c r="F491" s="121" t="e">
        <f>IF(OR(E491="",E491=0),"",ROUND((((D491-C491)+1)/365)*12,1))</f>
        <v>#REF!</v>
      </c>
      <c r="G491" s="122" t="e">
        <f>IF(OR(E491="",E491=0),"",ROUND(E491/F491,0))</f>
        <v>#REF!</v>
      </c>
      <c r="H491" s="122" t="e">
        <f>IF(A491=TRUE(),E491,0)</f>
        <v>#REF!</v>
      </c>
      <c r="I491" s="123" t="e">
        <f>IF(A491=TRUE(),F491,0)</f>
        <v>#REF!</v>
      </c>
      <c r="J491" s="122" t="e">
        <f>IF(OR(A491=FALSE(),H491=0,I491=0),0,ROUND(H491/I491,0))</f>
        <v>#REF!</v>
      </c>
      <c r="K491" s="121" t="e">
        <f>IF(OR(G491="",G491=0,G492="",G492=0),100,IF(G491&gt;G492,((G491-G492)/G492)*100,((G492-G491)/G492)*100))</f>
        <v>#REF!</v>
      </c>
      <c r="L491" s="81" t="e">
        <f>IF(G491&gt;G492,"Increase","Decrease")</f>
        <v>#REF!</v>
      </c>
      <c r="M491" s="81" t="e">
        <f>IF(AND(A491=TRUE(),E491&gt;0),TRUE(),FALSE())</f>
        <v>#REF!</v>
      </c>
    </row>
    <row r="492" spans="1:13">
      <c r="A492" s="39" t="b">
        <f>FALSE()</f>
        <v>0</v>
      </c>
      <c r="B492" s="124" t="e">
        <f>#REF!</f>
        <v>#REF!</v>
      </c>
      <c r="C492" s="125" t="e">
        <f>#REF!</f>
        <v>#REF!</v>
      </c>
      <c r="D492" s="125" t="e">
        <f>#REF!</f>
        <v>#REF!</v>
      </c>
      <c r="E492" s="120" t="e">
        <f>IF(#REF!="",0,#REF!)</f>
        <v>#REF!</v>
      </c>
      <c r="F492" s="121" t="e">
        <f>IF(OR(E492="",E492=0),"",ROUND((((D492-C492)+1)/365)*12,1))</f>
        <v>#REF!</v>
      </c>
      <c r="G492" s="122" t="e">
        <f>IF(OR(E492="",E492=0),"",ROUND(E492/F492,0))</f>
        <v>#REF!</v>
      </c>
      <c r="H492" s="122">
        <f>IF(A492=TRUE(),E492,0)</f>
        <v>0</v>
      </c>
      <c r="I492" s="123">
        <f>IF(A492=TRUE(),F492,0)</f>
        <v>0</v>
      </c>
      <c r="J492" s="122">
        <f>IF(OR(A492=FALSE(),H492=0,I492=0),0,ROUND(H492/I492,0))</f>
        <v>0</v>
      </c>
      <c r="K492" s="121" t="e">
        <f>IF(OR(G490="",G490=0,G492="",G492=0),100,IF(G490&gt;G492,((G490-G492)/G492)*100,((G492-G490)/G492)*100))</f>
        <v>#REF!</v>
      </c>
      <c r="L492" s="81" t="e">
        <f>IF(G490&gt;G492,"Increase","Decrease")</f>
        <v>#REF!</v>
      </c>
      <c r="M492" s="81" t="e">
        <f>IF(AND(A492=TRUE(),E492&gt;0),TRUE(),FALSE())</f>
        <v>#REF!</v>
      </c>
    </row>
    <row r="493" spans="1:13">
      <c r="A493" s="78" t="s">
        <v>255</v>
      </c>
      <c r="B493" s="156" t="s">
        <v>341</v>
      </c>
      <c r="C493" s="129"/>
      <c r="D493" s="129"/>
      <c r="E493" s="130" t="e">
        <f>SUM(E490:E492)</f>
        <v>#REF!</v>
      </c>
      <c r="F493" s="131" t="e">
        <f>SUM(F490:F492)</f>
        <v>#REF!</v>
      </c>
      <c r="G493" s="41" t="e">
        <f>IF(AND(D480=0,D482=0),0,IF(D486=TRUE(),D485,IF(OR(D482=A473,D482=A474,D482=A476,F490=FALSE(),F491=FALSE(),F492=FALSE()),J493,IF(D486=FALSE(),MIN(D485,G490),J493))))</f>
        <v>#REF!</v>
      </c>
      <c r="H493" s="127" t="e">
        <f>IF(SUM(E490:E492)=0,0,ROUND(SUM(H490:H492),0))</f>
        <v>#REF!</v>
      </c>
      <c r="I493" s="47" t="e">
        <f>IF(SUM(F490:F492)=0,0,ROUND(SUM(I490:I492),1))</f>
        <v>#REF!</v>
      </c>
      <c r="J493" s="127" t="e">
        <f>IF(I493=0,0,ROUND(H493/I493,0))</f>
        <v>#REF!</v>
      </c>
      <c r="K493" s="129"/>
      <c r="L493" s="129"/>
      <c r="M493" s="129"/>
    </row>
    <row r="495" spans="1:13">
      <c r="A495" s="65" t="s">
        <v>256</v>
      </c>
      <c r="D495" s="63" t="e">
        <f>IF(OR(D574=0,D574&gt;=40),"",CONCATENATE("(actual = ",D574," hrs)"))</f>
        <v>#REF!</v>
      </c>
    </row>
    <row r="497" spans="1:13">
      <c r="A497" s="323" t="s">
        <v>257</v>
      </c>
      <c r="B497" s="323"/>
      <c r="C497" s="323"/>
      <c r="D497" s="323"/>
      <c r="E497" s="323"/>
    </row>
    <row r="498" spans="1:13">
      <c r="A498" s="318" t="s">
        <v>246</v>
      </c>
      <c r="B498" s="318"/>
      <c r="C498" s="318"/>
      <c r="D498" s="39" t="b">
        <f>IF(D486=TRUE(),TRUE(),FALSE())</f>
        <v>0</v>
      </c>
      <c r="E498" s="132" t="e">
        <f>IF(AND(D498=TRUE(),D500=FALSE(),D501=FALSE()),D485,0)</f>
        <v>#REF!</v>
      </c>
      <c r="G498" s="110"/>
    </row>
    <row r="499" spans="1:13">
      <c r="A499" s="318" t="s">
        <v>258</v>
      </c>
      <c r="B499" s="318"/>
      <c r="C499" s="318"/>
      <c r="D499" s="38" t="e">
        <f>IF(AND(D498=FALSE(),E526&lt;10%,F526=" Decrease"),TRUE(),FALSE())</f>
        <v>#REF!</v>
      </c>
      <c r="E499" s="132" t="e">
        <f>IF(D499=TRUE(),G490,0)</f>
        <v>#REF!</v>
      </c>
      <c r="G499" s="110"/>
    </row>
    <row r="500" spans="1:13">
      <c r="A500" s="318" t="s">
        <v>259</v>
      </c>
      <c r="B500" s="318"/>
      <c r="C500" s="318"/>
      <c r="D500" s="38" t="e">
        <f>IF(AND(D498=FALSE(),E526&gt;10%,F526=" Decrease"),TRUE(),FALSE())</f>
        <v>#REF!</v>
      </c>
      <c r="E500" s="132" t="e">
        <f>IF(AND(D498=FALSE(),D500=TRUE(),D501=FALSE()),G490,0)</f>
        <v>#REF!</v>
      </c>
      <c r="G500" s="110"/>
    </row>
    <row r="501" spans="1:13">
      <c r="A501" s="318" t="s">
        <v>260</v>
      </c>
      <c r="B501" s="318"/>
      <c r="C501" s="318"/>
      <c r="D501" s="38" t="e">
        <f>IF(OR(D498=TRUE(),D499=TRUE(),D500=TRUE()),FALSE(),IF(OR(D482=A473,D482=A474,D482=A476),TRUE(),FALSE()))</f>
        <v>#REF!</v>
      </c>
      <c r="E501" s="132" t="e">
        <f>IF(AND(D498=FALSE(),D500=FALSE(),D501=TRUE()),J493,0)</f>
        <v>#REF!</v>
      </c>
    </row>
    <row r="502" spans="1:13">
      <c r="A502" s="133" t="s">
        <v>261</v>
      </c>
      <c r="B502" s="133"/>
      <c r="C502" s="133"/>
      <c r="D502" s="133" t="e">
        <f>IF(AND(D498=FALSE(),D499=FALSE(),D500=FALSE(),D501=FALSE()),TRUE(),FALSE())</f>
        <v>#REF!</v>
      </c>
      <c r="E502" s="134" t="e">
        <f>IF(D502=TRUE(),G493,0)</f>
        <v>#REF!</v>
      </c>
    </row>
    <row r="503" spans="1:13">
      <c r="A503" s="321" t="s">
        <v>262</v>
      </c>
      <c r="B503" s="321"/>
      <c r="C503" s="321"/>
      <c r="D503" s="321"/>
      <c r="E503" s="135" t="e">
        <f>VLOOKUP(TRUE(),D498:E502,2,FALSE())</f>
        <v>#N/A</v>
      </c>
    </row>
    <row r="505" spans="1:13">
      <c r="A505" s="65" t="s">
        <v>263</v>
      </c>
      <c r="D505" s="63" t="e">
        <f>IF(OR(D486=TRUE(),E490=0),"",IF(D500=TRUE(),"YTD average monthly earnings reflect greater than 10% reduction",IF(G490&lt;D485,CONCATENATE("NOTE: YTD earnings reflect borrower is averaging ",D574," hours weekly."),"")))</f>
        <v>#REF!</v>
      </c>
      <c r="G505" s="110"/>
      <c r="I505" s="111" t="s">
        <v>264</v>
      </c>
    </row>
    <row r="507" spans="1:13">
      <c r="A507" s="314" t="s">
        <v>81</v>
      </c>
      <c r="B507" s="314"/>
      <c r="C507" s="314"/>
      <c r="D507" s="314"/>
      <c r="E507" s="314"/>
      <c r="F507" s="314"/>
      <c r="G507" s="314"/>
      <c r="H507" s="314"/>
      <c r="I507" s="314"/>
      <c r="J507" s="314"/>
      <c r="K507" s="314"/>
      <c r="L507" s="314"/>
      <c r="M507" s="314"/>
    </row>
    <row r="509" spans="1:13">
      <c r="A509" s="116" t="s">
        <v>265</v>
      </c>
      <c r="B509" s="116" t="s">
        <v>91</v>
      </c>
      <c r="C509" s="116" t="s">
        <v>266</v>
      </c>
      <c r="D509" s="116" t="s">
        <v>82</v>
      </c>
      <c r="E509" s="116" t="s">
        <v>267</v>
      </c>
      <c r="F509" s="116" t="s">
        <v>268</v>
      </c>
      <c r="G509" s="116" t="s">
        <v>36</v>
      </c>
      <c r="H509" s="116" t="s">
        <v>68</v>
      </c>
      <c r="I509" s="116"/>
      <c r="J509" s="116"/>
      <c r="K509" s="116" t="s">
        <v>84</v>
      </c>
    </row>
    <row r="510" spans="1:13">
      <c r="A510" s="137" t="b">
        <f>FALSE()</f>
        <v>0</v>
      </c>
      <c r="B510" s="83" t="e">
        <f>#REF!</f>
        <v>#REF!</v>
      </c>
      <c r="C510" s="138" t="e">
        <f>#REF!</f>
        <v>#REF!</v>
      </c>
      <c r="D510" s="48" t="e">
        <f>#REF!</f>
        <v>#REF!</v>
      </c>
      <c r="E510" s="139" t="e">
        <f>#REF!</f>
        <v>#REF!</v>
      </c>
      <c r="F510" s="130" t="e">
        <f>IF(OR(A510=FALSE(),C510=0,E510=0),0,E510*VLOOKUP(B510,$C$37:$D$42,2))</f>
        <v>#REF!</v>
      </c>
      <c r="G510" s="130" t="e">
        <f>IF(AND(C510&lt;&gt;0,D510&lt;&gt;0),0,IF(D510&lt;&gt;0,C510-D510,C510-F510))</f>
        <v>#REF!</v>
      </c>
      <c r="H510" s="131" t="e">
        <f>#REF!</f>
        <v>#REF!</v>
      </c>
      <c r="I510" s="131"/>
      <c r="J510" s="131"/>
      <c r="K510" s="130" t="str">
        <f>IF(A510=FALSE(),"",IF(AND(D510&gt;0,E510&gt;0),"Error Dep &amp; Buss",IF(OR(H510=0,H510=""),0,ROUND(G510/H510,0))))</f>
        <v/>
      </c>
    </row>
    <row r="511" spans="1:13">
      <c r="A511" s="39" t="b">
        <f>FALSE()</f>
        <v>0</v>
      </c>
      <c r="B511" s="83" t="e">
        <f>#REF!</f>
        <v>#REF!</v>
      </c>
      <c r="C511" s="138" t="e">
        <f>#REF!</f>
        <v>#REF!</v>
      </c>
      <c r="D511" s="48" t="e">
        <f>#REF!</f>
        <v>#REF!</v>
      </c>
      <c r="E511" s="139" t="e">
        <f>#REF!</f>
        <v>#REF!</v>
      </c>
      <c r="F511" s="130" t="e">
        <f>IF(OR(A511=FALSE(),C511=0,E511=0),0,E511*VLOOKUP(B511,$C$37:$D$42,2))</f>
        <v>#REF!</v>
      </c>
      <c r="G511" s="130" t="e">
        <f>IF(AND(C511&lt;&gt;0,D511&lt;&gt;0),0,IF(D511&lt;&gt;0,C511-D511,C511-F511))</f>
        <v>#REF!</v>
      </c>
      <c r="H511" s="131" t="e">
        <f>#REF!</f>
        <v>#REF!</v>
      </c>
      <c r="I511" s="131"/>
      <c r="J511" s="131"/>
      <c r="K511" s="130" t="str">
        <f>IF(A511=FALSE(),"",IF(AND(D511&gt;0,E511&gt;0),"Error Dep &amp; Buss",IF(OR(H511=0,H511=""),0,ROUND(G511/H511,0))))</f>
        <v/>
      </c>
    </row>
    <row r="512" spans="1:13">
      <c r="A512" s="78" t="s">
        <v>255</v>
      </c>
      <c r="B512" s="128"/>
      <c r="C512" s="129"/>
      <c r="D512" s="129"/>
      <c r="E512" s="139" t="e">
        <f>SUM(E510:E511)</f>
        <v>#REF!</v>
      </c>
      <c r="F512" s="130" t="e">
        <f>SUM(F510:F511)</f>
        <v>#REF!</v>
      </c>
      <c r="G512" s="130" t="e">
        <f>SUM(G510:G511)</f>
        <v>#REF!</v>
      </c>
      <c r="H512" s="131" t="e">
        <f>SUM(H510:H511)</f>
        <v>#REF!</v>
      </c>
      <c r="I512" s="131"/>
      <c r="J512" s="131"/>
      <c r="K512" s="130">
        <f>IF(ISERROR(G512/H512),0,IF(AND(A510=TRUE(),A511=TRUE()),ROUND(G512/H512,0),IF(AND(A510=TRUE(),A511=FALSE()),K510,IF(AND(A510=FALSE(),A511=TRUE()),K511,0))))</f>
        <v>0</v>
      </c>
    </row>
    <row r="514" spans="1:13">
      <c r="A514" s="65" t="s">
        <v>269</v>
      </c>
      <c r="D514" s="65" t="b">
        <f>FALSE()</f>
        <v>0</v>
      </c>
      <c r="G514" s="111" t="s">
        <v>270</v>
      </c>
    </row>
    <row r="516" spans="1:13">
      <c r="A516" s="314" t="s">
        <v>271</v>
      </c>
      <c r="B516" s="314"/>
      <c r="C516" s="314"/>
      <c r="D516" s="314"/>
      <c r="E516" s="314"/>
      <c r="F516" s="314"/>
      <c r="G516" s="314"/>
      <c r="H516" s="314"/>
      <c r="I516" s="314"/>
      <c r="J516" s="314"/>
      <c r="K516" s="314"/>
      <c r="L516" s="314"/>
      <c r="M516" s="314"/>
    </row>
    <row r="518" spans="1:13">
      <c r="A518" s="65" t="s">
        <v>272</v>
      </c>
      <c r="D518" s="115" t="e">
        <f>G493</f>
        <v>#REF!</v>
      </c>
      <c r="F518" s="63" t="e">
        <f>IF(OR(D482=A473,D482=A474,D482=A476),CONCATENATE("total average earnings for the past ",I493," months"),"(lower of Current Rate or YTD avg, or explanation provided)")</f>
        <v>#REF!</v>
      </c>
    </row>
    <row r="519" spans="1:13">
      <c r="A519" s="65" t="s">
        <v>273</v>
      </c>
      <c r="D519" s="115">
        <f>IF(K512=0,0,IF(D514=TRUE(),K512,0))</f>
        <v>0</v>
      </c>
    </row>
    <row r="520" spans="1:13">
      <c r="A520" s="65" t="s">
        <v>274</v>
      </c>
      <c r="D520" s="115" t="e">
        <f>#REF!</f>
        <v>#REF!</v>
      </c>
    </row>
    <row r="521" spans="1:13">
      <c r="A521" s="65" t="s">
        <v>275</v>
      </c>
      <c r="D521" s="115" t="e">
        <f>(D518+D520)-D519</f>
        <v>#REF!</v>
      </c>
    </row>
    <row r="523" spans="1:13">
      <c r="A523" s="319" t="s">
        <v>276</v>
      </c>
      <c r="B523" s="319"/>
      <c r="C523" s="319"/>
      <c r="D523" s="319"/>
      <c r="E523" s="319"/>
      <c r="F523" s="319"/>
      <c r="G523" s="319"/>
      <c r="H523" s="319"/>
      <c r="I523" s="319"/>
      <c r="J523" s="319"/>
      <c r="K523" s="319"/>
      <c r="L523" s="319"/>
      <c r="M523" s="319"/>
    </row>
    <row r="525" spans="1:13">
      <c r="A525" s="316"/>
      <c r="B525" s="316"/>
      <c r="C525" s="141" t="s">
        <v>277</v>
      </c>
      <c r="D525" s="142" t="s">
        <v>278</v>
      </c>
      <c r="E525" s="142" t="s">
        <v>279</v>
      </c>
      <c r="F525" s="143" t="s">
        <v>2</v>
      </c>
      <c r="G525" s="142" t="s">
        <v>280</v>
      </c>
      <c r="H525" s="317" t="s">
        <v>232</v>
      </c>
      <c r="I525" s="317"/>
      <c r="J525" s="317"/>
      <c r="K525" s="317"/>
      <c r="L525" s="317"/>
    </row>
    <row r="526" spans="1:13">
      <c r="A526" s="318" t="e">
        <f>CONCATENATE(" Total ",B490," YTD")</f>
        <v>#REF!</v>
      </c>
      <c r="B526" s="318"/>
      <c r="C526" s="41" t="e">
        <f>IF(OR(G490=0,G490=""),0,G490)</f>
        <v>#REF!</v>
      </c>
      <c r="D526" s="41" t="e">
        <f>ABS(C526-C527)</f>
        <v>#REF!</v>
      </c>
      <c r="E526" s="144" t="e">
        <f>IF(C527=0,100%,D526/C527)</f>
        <v>#REF!</v>
      </c>
      <c r="F526" s="145" t="e">
        <f>IF(C526&gt;C527," Increase"," Decrease")</f>
        <v>#REF!</v>
      </c>
      <c r="G526" s="146" t="e">
        <f>IF((C527+(C527*E526))=C526,"PASS","FAIL")</f>
        <v>#REF!</v>
      </c>
      <c r="H526" s="318" t="e">
        <f>IF(OR(C526=0,C526="")," ",CONCATENATE(B491," to ",B490," = ",TEXT(E526,"###.0%"),F526))</f>
        <v>#REF!</v>
      </c>
      <c r="I526" s="318"/>
      <c r="J526" s="318"/>
      <c r="K526" s="318"/>
      <c r="L526" s="318"/>
    </row>
    <row r="527" spans="1:13">
      <c r="A527" s="318" t="e">
        <f>CONCATENATE(" Total ",B491)</f>
        <v>#REF!</v>
      </c>
      <c r="B527" s="318"/>
      <c r="C527" s="41" t="e">
        <f>IF(OR(G491=0,G491=""),0,G491)</f>
        <v>#REF!</v>
      </c>
      <c r="D527" s="41" t="e">
        <f>ABS(C527-C528)</f>
        <v>#REF!</v>
      </c>
      <c r="E527" s="144" t="e">
        <f>IF(C528=0,100%,D527/C528)</f>
        <v>#REF!</v>
      </c>
      <c r="F527" s="145" t="e">
        <f>IF(C527&gt;C528," Increase"," Decrease")</f>
        <v>#REF!</v>
      </c>
      <c r="G527" s="146" t="e">
        <f>IF((C528+(C528*E527))=C527,"PASS","FAIL")</f>
        <v>#REF!</v>
      </c>
      <c r="H527" s="318" t="e">
        <f>IF(OR(C527=0,C527="")," ",CONCATENATE(B492," to ",B491," = ",TEXT(E527,"###.0%"),F527))</f>
        <v>#REF!</v>
      </c>
      <c r="I527" s="318"/>
      <c r="J527" s="318"/>
      <c r="K527" s="318"/>
      <c r="L527" s="318"/>
    </row>
    <row r="528" spans="1:13">
      <c r="A528" s="318" t="e">
        <f>CONCATENATE(" Total ",B492)</f>
        <v>#REF!</v>
      </c>
      <c r="B528" s="318"/>
      <c r="C528" s="41" t="e">
        <f>IF(OR(G492=0,G492=""),0,G492)</f>
        <v>#REF!</v>
      </c>
      <c r="D528" s="41" t="e">
        <f>ABS(C526-C528)</f>
        <v>#REF!</v>
      </c>
      <c r="E528" s="144" t="e">
        <f>IF(C528=0,100%,D528/C528)</f>
        <v>#REF!</v>
      </c>
      <c r="F528" s="145" t="e">
        <f>IF(C528&gt;C529," Increase"," Decrease")</f>
        <v>#REF!</v>
      </c>
      <c r="G528" s="146" t="e">
        <f>IF((C528+(C528*E528))=C526,"PASS","FAIL")</f>
        <v>#REF!</v>
      </c>
      <c r="H528" s="318" t="e">
        <f>IF(OR(C528=0,C528="")," ",CONCATENATE(B492," to ",B490," = ",TEXT(E528,"###.0%"),F528))</f>
        <v>#REF!</v>
      </c>
      <c r="I528" s="318"/>
      <c r="J528" s="318"/>
      <c r="K528" s="318"/>
      <c r="L528" s="318"/>
    </row>
    <row r="529" spans="1:13">
      <c r="C529" s="42"/>
    </row>
    <row r="530" spans="1:13">
      <c r="C530" s="42" t="e">
        <f>IF(AND(C526&gt;0,C527&gt;0,C528&gt;0),TRUE(),FALSE())</f>
        <v>#REF!</v>
      </c>
      <c r="D530" s="63" t="e">
        <f>CONCATENATE("Variances in earnings:  ",H527,"  &amp;  ",H526)</f>
        <v>#REF!</v>
      </c>
    </row>
    <row r="531" spans="1:13">
      <c r="C531" s="42" t="e">
        <f>IF(AND(C526&gt;0,C527&gt;0,C528=0),TRUE(),FALSE())</f>
        <v>#REF!</v>
      </c>
      <c r="D531" s="63" t="e">
        <f>CONCATENATE("Variances in earnings:  ",H526)</f>
        <v>#REF!</v>
      </c>
    </row>
    <row r="532" spans="1:13">
      <c r="C532" s="42" t="e">
        <f>IF(AND(C526&gt;0,C527=0,C528&gt;0),TRUE(),FALSE())</f>
        <v>#REF!</v>
      </c>
      <c r="D532" s="63" t="e">
        <f>CONCATENATE("Variances in earnings:  ",H527)</f>
        <v>#REF!</v>
      </c>
    </row>
    <row r="533" spans="1:13">
      <c r="C533" s="42" t="e">
        <f>IF(AND(C527=0,C528=0,C529=0),TRUE(),FALSE())</f>
        <v>#REF!</v>
      </c>
      <c r="D533" s="65" t="s">
        <v>281</v>
      </c>
    </row>
    <row r="535" spans="1:13">
      <c r="A535" s="319" t="s">
        <v>282</v>
      </c>
      <c r="B535" s="319"/>
      <c r="C535" s="319"/>
      <c r="D535" s="319"/>
      <c r="E535" s="319"/>
      <c r="F535" s="319"/>
      <c r="G535" s="319"/>
      <c r="H535" s="319"/>
      <c r="I535" s="319"/>
      <c r="J535" s="319"/>
      <c r="K535" s="319"/>
      <c r="L535" s="319"/>
      <c r="M535" s="319"/>
    </row>
    <row r="537" spans="1:13">
      <c r="A537" s="65" t="s">
        <v>283</v>
      </c>
      <c r="D537" s="66" t="e">
        <f>D490</f>
        <v>#REF!</v>
      </c>
    </row>
    <row r="538" spans="1:13">
      <c r="A538" s="65" t="s">
        <v>284</v>
      </c>
      <c r="D538" s="66" t="e">
        <f>IF(D537="","",EOMONTH(DATE(YEAR(D537),1,1),2))</f>
        <v>#REF!</v>
      </c>
    </row>
    <row r="539" spans="1:13">
      <c r="A539" s="65" t="s">
        <v>285</v>
      </c>
      <c r="D539" s="66" t="e">
        <f>IF(D537&lt;D538,TRUE(),FALSE())</f>
        <v>#REF!</v>
      </c>
    </row>
    <row r="541" spans="1:13">
      <c r="A541" s="63" t="e">
        <f>CONCATENATE(" Total earnings (",B490," YTD)")</f>
        <v>#REF!</v>
      </c>
      <c r="D541" s="112" t="e">
        <f>E490</f>
        <v>#REF!</v>
      </c>
      <c r="F541" s="64">
        <f ca="1">EOMONTH(DATE(YEAR(TODAY()),1,1),2)</f>
        <v>46112</v>
      </c>
    </row>
    <row r="542" spans="1:13">
      <c r="A542" s="63" t="e">
        <f>CONCATENATE(" Total earnings (",B491,")")</f>
        <v>#REF!</v>
      </c>
      <c r="D542" s="112" t="e">
        <f>IF(D539=TRUE(),E491,0)</f>
        <v>#REF!</v>
      </c>
      <c r="F542" s="63">
        <f>EOMONTH("01/01/2016",2)</f>
        <v>42460</v>
      </c>
      <c r="G542" s="66">
        <f>F542</f>
        <v>42460</v>
      </c>
    </row>
    <row r="543" spans="1:13">
      <c r="A543" s="65" t="s">
        <v>286</v>
      </c>
      <c r="D543" s="112" t="e">
        <f>D541+D542</f>
        <v>#REF!</v>
      </c>
    </row>
    <row r="545" spans="1:10">
      <c r="A545" s="63" t="e">
        <f>CONCATENATE(" Months included (",B490," YTD)")</f>
        <v>#REF!</v>
      </c>
      <c r="D545" s="147" t="e">
        <f>IF(F490="",0,F490)</f>
        <v>#REF!</v>
      </c>
    </row>
    <row r="546" spans="1:10">
      <c r="A546" s="63" t="e">
        <f>CONCATENATE(" Months included (",B491,")")</f>
        <v>#REF!</v>
      </c>
      <c r="D546" s="147" t="e">
        <f>IF(D539=TRUE(),F491,0)</f>
        <v>#REF!</v>
      </c>
    </row>
    <row r="547" spans="1:10">
      <c r="A547" s="65" t="s">
        <v>287</v>
      </c>
      <c r="D547" s="147" t="e">
        <f>D545+D546</f>
        <v>#REF!</v>
      </c>
    </row>
    <row r="549" spans="1:10">
      <c r="A549" s="65" t="s">
        <v>286</v>
      </c>
      <c r="D549" s="115" t="e">
        <f>IF(OR(A490=FALSE(),E490=""),0,D543)</f>
        <v>#REF!</v>
      </c>
      <c r="F549" s="115"/>
      <c r="G549" s="111" t="s">
        <v>288</v>
      </c>
    </row>
    <row r="550" spans="1:10">
      <c r="A550" s="65" t="s">
        <v>289</v>
      </c>
      <c r="D550" s="147" t="e">
        <f>IF(OR(A490=FALSE(),E490="",E490=0,F490=0),0,D547)</f>
        <v>#REF!</v>
      </c>
      <c r="F550" s="140"/>
      <c r="G550" s="111" t="s">
        <v>290</v>
      </c>
    </row>
    <row r="551" spans="1:10">
      <c r="A551" s="65" t="s">
        <v>235</v>
      </c>
      <c r="D551" s="148" t="e">
        <f>D480</f>
        <v>#REF!</v>
      </c>
      <c r="F551" s="112"/>
      <c r="G551" s="111" t="s">
        <v>236</v>
      </c>
      <c r="H551" s="149"/>
      <c r="I551" s="149"/>
      <c r="J551" s="149"/>
    </row>
    <row r="552" spans="1:10">
      <c r="A552" s="65" t="s">
        <v>291</v>
      </c>
      <c r="D552" s="112" t="e">
        <f>IF(OR(D549=0,D550=0,),0,D549/D550)</f>
        <v>#REF!</v>
      </c>
      <c r="F552" s="112"/>
      <c r="G552" s="111" t="s">
        <v>292</v>
      </c>
      <c r="H552" s="149"/>
      <c r="I552" s="149"/>
      <c r="J552" s="149"/>
    </row>
    <row r="553" spans="1:10">
      <c r="A553" s="65" t="s">
        <v>293</v>
      </c>
      <c r="D553" s="112" t="e">
        <f>H493</f>
        <v>#REF!</v>
      </c>
      <c r="F553" s="112"/>
      <c r="G553" s="111" t="s">
        <v>294</v>
      </c>
      <c r="H553" s="149"/>
      <c r="I553" s="149"/>
      <c r="J553" s="149"/>
    </row>
    <row r="554" spans="1:10">
      <c r="D554" s="112"/>
      <c r="F554" s="112"/>
      <c r="G554" s="149"/>
      <c r="H554" s="149"/>
      <c r="I554" s="149"/>
      <c r="J554" s="149"/>
    </row>
    <row r="555" spans="1:10">
      <c r="A555" s="65" t="s">
        <v>295</v>
      </c>
      <c r="D555" s="112"/>
      <c r="F555" s="112"/>
      <c r="G555" s="149"/>
      <c r="H555" s="149"/>
      <c r="I555" s="149"/>
      <c r="J555" s="149"/>
    </row>
    <row r="556" spans="1:10">
      <c r="A556" s="150" t="s">
        <v>296</v>
      </c>
      <c r="D556" s="112" t="e">
        <f>D552</f>
        <v>#REF!</v>
      </c>
      <c r="F556" s="112"/>
      <c r="G556" s="149"/>
      <c r="H556" s="149"/>
      <c r="I556" s="149"/>
      <c r="J556" s="149"/>
    </row>
    <row r="557" spans="1:10">
      <c r="A557" s="150" t="s">
        <v>297</v>
      </c>
      <c r="D557" s="112" t="e">
        <f>D556*12</f>
        <v>#REF!</v>
      </c>
      <c r="F557" s="112"/>
      <c r="G557" s="149"/>
      <c r="H557" s="149"/>
      <c r="I557" s="149"/>
      <c r="J557" s="149"/>
    </row>
    <row r="558" spans="1:10">
      <c r="A558" s="150" t="s">
        <v>298</v>
      </c>
      <c r="D558" s="112" t="e">
        <f>D557/52</f>
        <v>#REF!</v>
      </c>
      <c r="F558" s="112"/>
      <c r="G558" s="149"/>
      <c r="H558" s="149"/>
      <c r="I558" s="149"/>
      <c r="J558" s="149"/>
    </row>
    <row r="559" spans="1:10">
      <c r="A559" s="150" t="s">
        <v>299</v>
      </c>
      <c r="D559" s="112" t="e">
        <f>D480</f>
        <v>#REF!</v>
      </c>
      <c r="F559" s="112"/>
      <c r="G559" s="149"/>
      <c r="H559" s="149"/>
      <c r="I559" s="149"/>
      <c r="J559" s="149"/>
    </row>
    <row r="560" spans="1:10">
      <c r="A560" s="150" t="s">
        <v>300</v>
      </c>
      <c r="D560" s="112" t="e">
        <f>IF(D559=0,0,IF(D486=TRUE(),40,IF(AND(D486=FALSE(),D559&gt;0,D482="Hourly (H)",E490=0),40,IF((D558/D559)&gt;40,40,D558/D559))))</f>
        <v>#REF!</v>
      </c>
      <c r="F560" s="112"/>
      <c r="G560" s="149"/>
      <c r="H560" s="149"/>
      <c r="I560" s="149"/>
      <c r="J560" s="149"/>
    </row>
    <row r="561" spans="1:11">
      <c r="A561" s="150" t="s">
        <v>301</v>
      </c>
      <c r="D561" s="113" t="e">
        <f>IF(D482="Hourly (H)",D560,"N/A")</f>
        <v>#REF!</v>
      </c>
      <c r="F561" s="112"/>
      <c r="G561" s="149"/>
      <c r="H561" s="149"/>
      <c r="I561" s="149"/>
      <c r="J561" s="149"/>
    </row>
    <row r="562" spans="1:11">
      <c r="A562" s="150" t="s">
        <v>302</v>
      </c>
      <c r="D562" s="112" t="e">
        <f>IF(D559=0,"Weekly",IF(OR(D482&lt;&gt;"Hourly (H)",(D558/D559)&gt;40),"Weekly","Average Weekly"))</f>
        <v>#REF!</v>
      </c>
      <c r="F562" s="112"/>
      <c r="G562" s="149"/>
      <c r="H562" s="149"/>
      <c r="I562" s="149"/>
      <c r="J562" s="149"/>
    </row>
    <row r="563" spans="1:11">
      <c r="D563" s="112"/>
      <c r="F563" s="112"/>
      <c r="G563" s="149"/>
      <c r="H563" s="149"/>
      <c r="I563" s="149"/>
      <c r="J563" s="149"/>
    </row>
    <row r="564" spans="1:11">
      <c r="A564" s="63" t="e">
        <f>CONCATENATE(" Total days (",B490," YTD)")</f>
        <v>#REF!</v>
      </c>
      <c r="D564" s="112" t="e">
        <f>IF(D490="",0,(D490-C490)+1)</f>
        <v>#REF!</v>
      </c>
      <c r="F564" s="112"/>
      <c r="G564" s="111" t="s">
        <v>303</v>
      </c>
      <c r="H564" s="149"/>
      <c r="I564" s="149"/>
      <c r="J564" s="149"/>
    </row>
    <row r="565" spans="1:11">
      <c r="A565" s="63" t="e">
        <f>CONCATENATE(" Total days (",B491,")")</f>
        <v>#REF!</v>
      </c>
      <c r="D565" s="112" t="e">
        <f>IF(D539=TRUE(),(D491-C491)+1,0)</f>
        <v>#REF!</v>
      </c>
      <c r="F565" s="112"/>
      <c r="G565" s="111" t="s">
        <v>303</v>
      </c>
      <c r="H565" s="149"/>
      <c r="I565" s="149"/>
      <c r="J565" s="149"/>
    </row>
    <row r="566" spans="1:11">
      <c r="A566" s="65" t="s">
        <v>304</v>
      </c>
      <c r="D566" s="112" t="e">
        <f>SUM(D564:D565)</f>
        <v>#REF!</v>
      </c>
      <c r="F566" s="112"/>
      <c r="G566" s="111" t="s">
        <v>305</v>
      </c>
      <c r="H566" s="149"/>
      <c r="I566" s="149"/>
      <c r="J566" s="149"/>
    </row>
    <row r="567" spans="1:11">
      <c r="D567" s="112"/>
      <c r="F567" s="112"/>
      <c r="G567" s="149"/>
      <c r="H567" s="149"/>
      <c r="I567" s="149"/>
      <c r="J567" s="149"/>
    </row>
    <row r="568" spans="1:11">
      <c r="A568" s="63" t="e">
        <f>CONCATENATE(" Total weeks (",B490," YTD)")</f>
        <v>#REF!</v>
      </c>
      <c r="D568" s="112" t="e">
        <f>ROUND(D564/7,0)</f>
        <v>#REF!</v>
      </c>
      <c r="F568" s="112"/>
      <c r="G568" s="111" t="s">
        <v>306</v>
      </c>
      <c r="H568" s="149"/>
      <c r="I568" s="149"/>
      <c r="J568" s="149"/>
    </row>
    <row r="569" spans="1:11">
      <c r="A569" s="63" t="e">
        <f>CONCATENATE(" Total weeks (",B491,")")</f>
        <v>#REF!</v>
      </c>
      <c r="D569" s="112" t="e">
        <f>IF(D539=TRUE(),ROUND(D565/7,0),0)</f>
        <v>#REF!</v>
      </c>
      <c r="F569" s="112"/>
      <c r="G569" s="111" t="s">
        <v>306</v>
      </c>
      <c r="H569" s="149"/>
      <c r="I569" s="149"/>
      <c r="J569" s="149"/>
    </row>
    <row r="570" spans="1:11">
      <c r="A570" s="65" t="s">
        <v>307</v>
      </c>
      <c r="D570" s="112" t="e">
        <f>SUM(D568:D569)</f>
        <v>#REF!</v>
      </c>
      <c r="F570" s="112"/>
      <c r="G570" s="111" t="s">
        <v>308</v>
      </c>
      <c r="H570" s="149"/>
      <c r="I570" s="149"/>
      <c r="J570" s="149"/>
    </row>
    <row r="571" spans="1:11">
      <c r="D571" s="112"/>
      <c r="F571" s="112"/>
      <c r="G571" s="149"/>
      <c r="H571" s="149"/>
      <c r="I571" s="149"/>
      <c r="J571" s="149"/>
    </row>
    <row r="572" spans="1:11">
      <c r="A572" s="65" t="s">
        <v>309</v>
      </c>
      <c r="D572" s="112" t="e">
        <f>(D552*12)/52</f>
        <v>#REF!</v>
      </c>
      <c r="F572" s="112"/>
      <c r="G572" s="111" t="s">
        <v>310</v>
      </c>
      <c r="H572" s="149"/>
      <c r="I572" s="149"/>
      <c r="J572" s="149"/>
    </row>
    <row r="573" spans="1:11">
      <c r="A573" s="65" t="s">
        <v>311</v>
      </c>
      <c r="D573" s="112" t="e">
        <f>IF(OR(D482=0,D572=0),0,IF(OR(D482=A473,D482=A474,D482=A476),D480,D480/VLOOKUP(D482,A469:E477,3)))</f>
        <v>#REF!</v>
      </c>
      <c r="F573" s="112"/>
      <c r="G573" s="111" t="s">
        <v>312</v>
      </c>
      <c r="H573" s="149"/>
      <c r="I573" s="149"/>
      <c r="J573" s="149"/>
    </row>
    <row r="574" spans="1:11">
      <c r="A574" s="65" t="s">
        <v>313</v>
      </c>
      <c r="D574" s="147" t="e">
        <f>IF(D573=0,0,ROUND(D572/D573,1))</f>
        <v>#REF!</v>
      </c>
      <c r="E574" s="112"/>
      <c r="F574" s="112"/>
      <c r="G574" s="111" t="s">
        <v>314</v>
      </c>
      <c r="K574" s="112"/>
    </row>
    <row r="576" spans="1:11">
      <c r="A576" s="65" t="s">
        <v>315</v>
      </c>
      <c r="D576" s="148" t="e">
        <f>IF(OR(D482=A473,D482=A474,D482=A476),J493,D485)</f>
        <v>#REF!</v>
      </c>
      <c r="G576" s="111" t="s">
        <v>316</v>
      </c>
    </row>
    <row r="577" spans="1:11">
      <c r="A577" s="65" t="s">
        <v>289</v>
      </c>
      <c r="D577" s="148" t="e">
        <f>IF(OR(E490="",E490=0,A490=FALSE()),"",ROUND((((D490-C490)+1)/365)*12,1))</f>
        <v>#REF!</v>
      </c>
      <c r="F577" s="63" t="e">
        <f>VLOOKUP(D482,D415:G420,4)</f>
        <v>#REF!</v>
      </c>
      <c r="G577" s="111" t="s">
        <v>317</v>
      </c>
    </row>
    <row r="578" spans="1:11">
      <c r="A578" s="65" t="s">
        <v>318</v>
      </c>
      <c r="D578" s="112" t="e">
        <f>IF(OR(D576=0,D576="",D577=0,D577=""),0,ROUND(D576*D577,0))</f>
        <v>#REF!</v>
      </c>
      <c r="G578" s="111" t="s">
        <v>319</v>
      </c>
    </row>
    <row r="580" spans="1:11">
      <c r="A580" s="314" t="s">
        <v>320</v>
      </c>
      <c r="B580" s="314"/>
      <c r="C580" s="314"/>
      <c r="D580" s="314"/>
      <c r="E580" s="314"/>
      <c r="F580" s="314"/>
      <c r="G580" s="314"/>
      <c r="H580" s="314"/>
      <c r="I580" s="314"/>
      <c r="J580" s="314"/>
      <c r="K580" s="314"/>
    </row>
    <row r="581" spans="1:11">
      <c r="B581" s="112"/>
      <c r="C581" s="140"/>
      <c r="D581" s="40"/>
    </row>
    <row r="582" spans="1:11">
      <c r="A582" s="65" t="s">
        <v>321</v>
      </c>
      <c r="B582" s="112"/>
      <c r="C582" s="140"/>
      <c r="D582" s="63" t="e">
        <f>VLOOKUP(TRUE(),C530:D533,2,FALSE())</f>
        <v>#N/A</v>
      </c>
    </row>
    <row r="583" spans="1:11">
      <c r="B583" s="112"/>
      <c r="C583" s="140"/>
    </row>
    <row r="584" spans="1:11">
      <c r="A584" s="65" t="s">
        <v>322</v>
      </c>
      <c r="B584" s="112"/>
      <c r="C584" s="140"/>
      <c r="D584" s="63" t="e">
        <f>IF(AND(D585=FALSE(),D586=FALSE(),D587=FALSE(),D588=FALSE(),D589=FALSE(),D590=FALSE()),TRUE(),FALSE())</f>
        <v>#REF!</v>
      </c>
      <c r="E584" s="65" t="s">
        <v>323</v>
      </c>
    </row>
    <row r="585" spans="1:11">
      <c r="A585" s="150" t="s">
        <v>324</v>
      </c>
      <c r="B585" s="112"/>
      <c r="C585" s="140"/>
      <c r="D585" s="65" t="b">
        <f>IF(D486=TRUE(),TRUE(),FALSE())</f>
        <v>0</v>
      </c>
      <c r="E585" s="65" t="s">
        <v>325</v>
      </c>
    </row>
    <row r="586" spans="1:11">
      <c r="A586" s="150" t="s">
        <v>0</v>
      </c>
      <c r="B586" s="112"/>
      <c r="C586" s="140"/>
      <c r="D586" s="63" t="e">
        <f>IF(AND(D486=FALSE(),D485&gt;0,D518&gt;0,D518=D485),TRUE(),FALSE())</f>
        <v>#REF!</v>
      </c>
      <c r="E586" s="65" t="s">
        <v>326</v>
      </c>
    </row>
    <row r="587" spans="1:11">
      <c r="A587" s="150" t="s">
        <v>327</v>
      </c>
      <c r="B587" s="112"/>
      <c r="C587" s="140"/>
      <c r="D587" s="63" t="e">
        <f>IF(AND(D486&lt;&gt;FALSE(),D518&lt;D485),TRUE(),FALSE())</f>
        <v>#REF!</v>
      </c>
      <c r="E587" s="65" t="s">
        <v>328</v>
      </c>
    </row>
    <row r="588" spans="1:11">
      <c r="A588" s="150" t="s">
        <v>329</v>
      </c>
      <c r="B588" s="112"/>
      <c r="C588" s="140"/>
      <c r="D588" s="63" t="e">
        <f>IF(AND(M490=TRUE(),M491=TRUE(),M492=TRUE(),OR(D482="Part-Time",D482="Varies",D482="Varies / Averaged",D482="Seasonal")),TRUE(),FALSE())</f>
        <v>#REF!</v>
      </c>
      <c r="E588" s="63" t="e">
        <f>CONCATENATE("Total qualifying income determined with earnings averaged from YTD ",B490,", Year ",B491,", and Year ",B492,".")</f>
        <v>#REF!</v>
      </c>
    </row>
    <row r="589" spans="1:11">
      <c r="A589" s="150" t="s">
        <v>330</v>
      </c>
      <c r="B589" s="112"/>
      <c r="C589" s="140"/>
      <c r="D589" s="63" t="e">
        <f>IF(AND(M490=TRUE(),M491=TRUE(),M492=FALSE(),OR(D482="Part-Time",D482="Varies",D482="Varies / Averaged",D482="Seasonal")),TRUE(),FALSE())</f>
        <v>#REF!</v>
      </c>
      <c r="E589" s="63" t="e">
        <f>CONCATENATE("Total qualifying income determined with earnings averaged from YTD ",B490,", and Year ",B491,".")</f>
        <v>#REF!</v>
      </c>
    </row>
    <row r="590" spans="1:11">
      <c r="A590" s="150" t="s">
        <v>331</v>
      </c>
      <c r="B590" s="112"/>
      <c r="C590" s="140"/>
      <c r="D590" s="63" t="e">
        <f>IF(AND(M490=TRUE(),M491=FALSE(),M492=FALSE(),D552&gt;=J493,OR(D482="Part-Time",D482="Varies",D482="Varies / Averaged",D482="Seasonal")),TRUE(),FALSE())</f>
        <v>#REF!</v>
      </c>
      <c r="E590" s="63" t="e">
        <f>CONCATENATE("Total qualifying income determined with earnings averaged from YTD ",B490,".")</f>
        <v>#REF!</v>
      </c>
    </row>
    <row r="591" spans="1:11">
      <c r="B591" s="112"/>
      <c r="C591" s="140"/>
    </row>
    <row r="592" spans="1:11">
      <c r="A592" s="65" t="s">
        <v>332</v>
      </c>
      <c r="D592" s="63" t="str">
        <f>IF(ISERROR(J493),"Total qualifying income to be determined.",VLOOKUP(TRUE(),D584:E590,2,FALSE()))</f>
        <v>Total qualifying income to be determined.</v>
      </c>
    </row>
    <row r="594" spans="1:13">
      <c r="A594" s="65" t="s">
        <v>333</v>
      </c>
      <c r="D594" s="63" t="str">
        <f>IF(ISERROR(J493),"Average weekly hours worked to be determined.",IF(AND(E490=0,E491=0,E492=0),"Average weekly hours worked to be determined.",IF(OR(D480=0,D480="",D482=A474,D482=A476),"Average weekly hours worked vary.",CONCATENATE("YTD earnings, at current rate of pay, reflect borrower is working an average of ",TEXT(D574,"##.0")," hours weekly."))))</f>
        <v>Average weekly hours worked to be determined.</v>
      </c>
    </row>
    <row r="596" spans="1:13">
      <c r="A596" s="65" t="s">
        <v>334</v>
      </c>
      <c r="D596" s="63" t="e">
        <f>IF(OR(ISERROR(J493),C490="",D578=0),"Expected amount of YTD earnings to be determined.",VLOOKUP(D482,A469:E477,5,FALSE()))</f>
        <v>#REF!</v>
      </c>
    </row>
    <row r="598" spans="1:13">
      <c r="A598" s="65" t="s">
        <v>335</v>
      </c>
      <c r="B598" s="112"/>
      <c r="C598" s="140"/>
      <c r="D598" s="63" t="e">
        <f>IF(OR(ISERROR(J493),F493=0),"Total Average Base Earnings and period covered to be determined.",CONCATENATE("Total Average Base Earnings For The Past ",Data_Income!I493," Months = ",DOLLAR(ROUND(J493,0),2)))</f>
        <v>#REF!</v>
      </c>
    </row>
    <row r="600" spans="1:13" ht="18" customHeight="1">
      <c r="A600" s="322" t="s">
        <v>342</v>
      </c>
      <c r="B600" s="322"/>
      <c r="C600" s="322"/>
      <c r="D600" s="322"/>
      <c r="E600" s="322"/>
      <c r="F600" s="322"/>
      <c r="G600" s="322"/>
      <c r="H600" s="322"/>
      <c r="I600" s="322"/>
      <c r="J600" s="322"/>
      <c r="K600" s="322"/>
      <c r="L600" s="322"/>
      <c r="M600" s="322"/>
    </row>
    <row r="601" spans="1:13">
      <c r="B601" s="112"/>
      <c r="C601" s="140"/>
      <c r="D601" s="40"/>
    </row>
    <row r="602" spans="1:13">
      <c r="A602" s="314" t="s">
        <v>183</v>
      </c>
      <c r="B602" s="314"/>
      <c r="C602" s="314"/>
      <c r="D602" s="314"/>
      <c r="E602" s="314"/>
      <c r="F602" s="314"/>
      <c r="G602" s="314"/>
      <c r="H602" s="314"/>
      <c r="I602" s="314"/>
      <c r="J602" s="314"/>
      <c r="K602" s="314"/>
    </row>
    <row r="603" spans="1:13">
      <c r="A603" s="151">
        <v>1</v>
      </c>
      <c r="B603" s="151">
        <v>2</v>
      </c>
      <c r="C603" s="151">
        <v>3</v>
      </c>
      <c r="D603" s="136">
        <v>4</v>
      </c>
      <c r="E603" s="152">
        <v>5</v>
      </c>
      <c r="F603" s="153"/>
      <c r="G603" s="153"/>
      <c r="H603" s="153"/>
      <c r="I603" s="153"/>
      <c r="J603" s="153"/>
      <c r="K603" s="154"/>
    </row>
    <row r="604" spans="1:13">
      <c r="A604" s="80" t="s">
        <v>184</v>
      </c>
      <c r="B604" s="80" t="s">
        <v>185</v>
      </c>
      <c r="C604" s="80" t="s">
        <v>186</v>
      </c>
      <c r="D604" s="80" t="s">
        <v>187</v>
      </c>
      <c r="E604" s="103" t="s">
        <v>232</v>
      </c>
      <c r="F604" s="104"/>
      <c r="G604" s="104"/>
      <c r="H604" s="104"/>
      <c r="I604" s="104"/>
      <c r="J604" s="104"/>
      <c r="K604" s="105"/>
    </row>
    <row r="605" spans="1:13">
      <c r="A605" s="50" t="str">
        <f>$C$54</f>
        <v>Annually (1)</v>
      </c>
      <c r="B605" s="83">
        <f>$E$49</f>
        <v>1</v>
      </c>
      <c r="C605" s="85">
        <f>$F$49</f>
        <v>2080</v>
      </c>
      <c r="D605" s="50" t="str">
        <f>$G$49</f>
        <v>annually</v>
      </c>
      <c r="E605" s="106" t="e">
        <f>IF(D618=0,"N/A",CONCATENATE("Working full-time at current rate of pay (",DOLLAR(D680,0)," annually), borrower's YTD earnings would need to reflect ",DOLLAR(D707,0)," as the total amount of base earnings from ",MONTH(C626),"/",DAY(C626),"/",YEAR(C626)," to ",MONTH(D626),"/",DAY(D626),"/",YEAR(D626)," (excluding bonus, commissions, differential, incentive, overtime, etc.)."))</f>
        <v>#REF!</v>
      </c>
      <c r="F605" s="104"/>
      <c r="G605" s="104"/>
      <c r="H605" s="104"/>
      <c r="I605" s="104"/>
      <c r="J605" s="104"/>
      <c r="K605" s="107"/>
    </row>
    <row r="606" spans="1:13">
      <c r="A606" s="108" t="str">
        <f>$C$51</f>
        <v>Bi-Weekly (26)</v>
      </c>
      <c r="B606" s="83">
        <f>$E$50</f>
        <v>26</v>
      </c>
      <c r="C606" s="85">
        <f>$F$50</f>
        <v>80</v>
      </c>
      <c r="D606" s="50" t="str">
        <f>$G$50</f>
        <v>bi-weekly</v>
      </c>
      <c r="E606" s="106" t="e">
        <f>IF(D618=0,"N/A",CONCATENATE("Working full-time at current rate of pay (",DOLLAR(D680,0)," bi-weekly), borrower's YTD earnings would need to reflect ",DOLLAR(D707,0)," as the total amount of base earnings from ",MONTH(C626),"/",DAY(C626),"/",YEAR(C626)," to ",MONTH(D626),"/",DAY(D626),"/",YEAR(D626)," (excluding bonus, commissions, differential, incentive, overtime, etc.)."))</f>
        <v>#REF!</v>
      </c>
      <c r="F606" s="104"/>
      <c r="G606" s="104"/>
      <c r="H606" s="104"/>
      <c r="I606" s="104"/>
      <c r="J606" s="104"/>
      <c r="K606" s="107"/>
    </row>
    <row r="607" spans="1:13">
      <c r="A607" s="50" t="str">
        <f>$C$49</f>
        <v>Hourly (H)</v>
      </c>
      <c r="B607" s="83">
        <f>$E$51</f>
        <v>2080</v>
      </c>
      <c r="C607" s="85">
        <f>$F$51</f>
        <v>1</v>
      </c>
      <c r="D607" s="50" t="str">
        <f>$G$51</f>
        <v>hourly</v>
      </c>
      <c r="E607" s="106" t="e">
        <f>IF(D618=0,"N/A",CONCATENATE("Working full-time at current rate of pay (",DOLLAR(D680,2)," hourly), borrower's YTD earnings would need to reflect ",DOLLAR(D707,0)," as the total amount of base earnings from ",MONTH(C626),"/",DAY(C626),"/",YEAR(C626)," to ",MONTH(D626),"/",DAY(D626),"/",YEAR(D626)," (excluding bonus, commissions, differential, incentive, overtime, etc.)."))</f>
        <v>#REF!</v>
      </c>
      <c r="F607" s="104"/>
      <c r="G607" s="104"/>
      <c r="H607" s="104"/>
      <c r="I607" s="104"/>
      <c r="J607" s="104"/>
      <c r="K607" s="107"/>
    </row>
    <row r="608" spans="1:13">
      <c r="A608" s="50" t="str">
        <f>$C$53</f>
        <v>Monthly (12)</v>
      </c>
      <c r="B608" s="83">
        <f>$E$52</f>
        <v>12</v>
      </c>
      <c r="C608" s="85">
        <f>$F$52</f>
        <v>173.33333333333334</v>
      </c>
      <c r="D608" s="50" t="str">
        <f>$G$52</f>
        <v>monthly</v>
      </c>
      <c r="E608" s="106" t="e">
        <f>IF(D618=0,"N/A",CONCATENATE("Working full-time at current rate of pay (",DOLLAR(D680,0)," monthly), borrower's YTD earnings would need to reflect ",DOLLAR(D707,0)," as the total amount of base earnings from ",MONTH(C626),"/",DAY(C626),"/",YEAR(C626)," to ",MONTH(D626),"/",DAY(D626),"/",YEAR(D626)," (excluding bonus, commissions, differential, incentive, overtime, etc.)."))</f>
        <v>#REF!</v>
      </c>
      <c r="F608" s="104"/>
      <c r="G608" s="104"/>
      <c r="H608" s="104"/>
      <c r="I608" s="104"/>
      <c r="J608" s="104"/>
      <c r="K608" s="107"/>
    </row>
    <row r="609" spans="1:13">
      <c r="A609" s="50" t="str">
        <f>$C$55</f>
        <v>Part-Time</v>
      </c>
      <c r="B609" s="83">
        <f>$E$53</f>
        <v>0</v>
      </c>
      <c r="C609" s="85">
        <f>$F$53</f>
        <v>0</v>
      </c>
      <c r="D609" s="50" t="str">
        <f>$G$53</f>
        <v>part-time</v>
      </c>
      <c r="E609" s="106" t="e">
        <f>IF(D618=0,"N/A",CONCATENATE("Working Part-Time at averaged monthly pay, borrower's YTD earnings would need to reflect approximately ",DOLLAR(D707,0)," as the total amount of base earnings from ",MONTH(C626),"/",DAY(C626),"/",YEAR(C626)," to ",MONTH(D626),"/",DAY(D626),"/",YEAR(D626)," (excluding bonus, commissions, differential, incentive, overtime, etc.)."))</f>
        <v>#REF!</v>
      </c>
      <c r="F609" s="104"/>
      <c r="G609" s="104"/>
      <c r="H609" s="104"/>
      <c r="I609" s="104"/>
      <c r="J609" s="104"/>
      <c r="K609" s="107"/>
    </row>
    <row r="610" spans="1:13">
      <c r="A610" s="50" t="str">
        <f>$C$56</f>
        <v>Seasonal</v>
      </c>
      <c r="B610" s="83">
        <f>$E$54</f>
        <v>0</v>
      </c>
      <c r="C610" s="85">
        <f>$F$54</f>
        <v>0</v>
      </c>
      <c r="D610" s="50" t="str">
        <f>$G$54</f>
        <v>seasonal</v>
      </c>
      <c r="E610" s="106" t="e">
        <f>IF(D618=0,"N/A",CONCATENATE("Working Seasonal at averaged monthly pay, borrower's YTD earnings would need to reflect approximately ",DOLLAR(D707,0)," as the total amount of base earnings from ",MONTH(C626),"/",DAY(C626),"/",YEAR(C626)," to ",MONTH(D626),"/",DAY(D626),"/",YEAR(D626)," (excluding bonus, commissions, differential, incentive, overtime, etc.)."))</f>
        <v>#REF!</v>
      </c>
      <c r="F610" s="104"/>
      <c r="G610" s="104"/>
      <c r="H610" s="104"/>
      <c r="I610" s="104"/>
      <c r="J610" s="104"/>
      <c r="K610" s="107"/>
    </row>
    <row r="611" spans="1:13">
      <c r="A611" s="50" t="str">
        <f>$C$52</f>
        <v>Semi-Monthly (24)</v>
      </c>
      <c r="B611" s="83">
        <f>$E$55</f>
        <v>24</v>
      </c>
      <c r="C611" s="85">
        <f>$F$55</f>
        <v>86.666666666666671</v>
      </c>
      <c r="D611" s="50" t="str">
        <f>$G$55</f>
        <v>semi-monthly</v>
      </c>
      <c r="E611" s="106" t="e">
        <f>IF(D618=0,"N/A",CONCATENATE("Working full-time at current rate of pay (",DOLLAR(D680,2)," semi-monthly), borrower's YTD earnings would need to reflect ",DOLLAR(D707,0)," as the total amount of base earnings from ",MONTH(C626),"/",DAY(C626),"/",YEAR(C626)," to ",MONTH(D626),"/",DAY(D626),"/",YEAR(D626)," (excluding bonus, commissions, differential, incentive, overtime, etc.)."))</f>
        <v>#REF!</v>
      </c>
      <c r="F611" s="104"/>
      <c r="G611" s="104"/>
      <c r="H611" s="104"/>
      <c r="I611" s="104"/>
      <c r="J611" s="104"/>
      <c r="K611" s="107"/>
    </row>
    <row r="612" spans="1:13">
      <c r="A612" s="50" t="str">
        <f>$C$57</f>
        <v>Varies / Averaged</v>
      </c>
      <c r="B612" s="83">
        <f>$E$56</f>
        <v>0</v>
      </c>
      <c r="C612" s="85">
        <f>$F$56</f>
        <v>0</v>
      </c>
      <c r="D612" s="50" t="str">
        <f>$G$56</f>
        <v>varies</v>
      </c>
      <c r="E612" s="106" t="e">
        <f>IF(D618=0,"N/A",CONCATENATE("Based on calculated averaged monthly earnings, borrower's YTD earnings should reflect approximately ",DOLLAR(D707,0)," as the total amount of base income earned from ",MONTH(C626),"/",DAY(C626),"/",YEAR(C626)," to ",MONTH(D626),"/",DAY(D626),"/",YEAR(D626)," (excluding bonus, commissions, differential, incentive, overtime, etc.)."))</f>
        <v>#REF!</v>
      </c>
      <c r="F612" s="104"/>
      <c r="G612" s="104"/>
      <c r="H612" s="104"/>
      <c r="I612" s="104"/>
      <c r="J612" s="104"/>
      <c r="K612" s="107"/>
    </row>
    <row r="613" spans="1:13">
      <c r="A613" s="50" t="str">
        <f>$C$50</f>
        <v>Weekly (52)</v>
      </c>
      <c r="B613" s="83">
        <f>$E$57</f>
        <v>52</v>
      </c>
      <c r="C613" s="85">
        <f>$F$57</f>
        <v>40</v>
      </c>
      <c r="D613" s="50" t="str">
        <f>$G$57</f>
        <v>weekly</v>
      </c>
      <c r="E613" s="106" t="e">
        <f>IF(D618=0,"N/A",CONCATENATE("Working full-time at current rate of pay (",DOLLAR(D680,2)," weekly), borrower's YTD earnings would need to reflect ",DOLLAR(D707,0)," as the total amount of base earnings from ",MONTH(C626),"/",DAY(C626),"/",YEAR(C626)," to ",MONTH(D626),"/",DAY(D626),"/",YEAR(D626)," (excluding bonus, commissions, differential, incentive, overtime, etc.)."))</f>
        <v>#REF!</v>
      </c>
      <c r="F613" s="104"/>
      <c r="G613" s="104"/>
      <c r="H613" s="104"/>
      <c r="I613" s="104"/>
      <c r="J613" s="104"/>
      <c r="K613" s="107"/>
    </row>
    <row r="615" spans="1:13">
      <c r="A615" s="65" t="s">
        <v>233</v>
      </c>
      <c r="D615" s="109" t="e">
        <f>#REF!</f>
        <v>#REF!</v>
      </c>
      <c r="F615" s="110"/>
      <c r="G615" s="111" t="s">
        <v>234</v>
      </c>
      <c r="H615" s="110"/>
      <c r="I615" s="110"/>
      <c r="J615" s="110"/>
    </row>
    <row r="616" spans="1:13">
      <c r="A616" s="65" t="s">
        <v>235</v>
      </c>
      <c r="D616" s="112" t="e">
        <f>IF(OR(#REF!="",#REF!=0),0,#REF!)</f>
        <v>#REF!</v>
      </c>
      <c r="F616" s="110"/>
      <c r="G616" s="111" t="s">
        <v>236</v>
      </c>
      <c r="H616" s="110"/>
      <c r="I616" s="110"/>
      <c r="J616" s="110"/>
    </row>
    <row r="617" spans="1:13">
      <c r="A617" s="65" t="s">
        <v>237</v>
      </c>
      <c r="D617" s="112" t="e">
        <f>IF(D618=A609,"Hourly Rate of Pay (part-time)","Rate of Pay")</f>
        <v>#REF!</v>
      </c>
      <c r="F617" s="110"/>
      <c r="G617" s="110"/>
      <c r="H617" s="110"/>
      <c r="I617" s="110"/>
      <c r="J617" s="110"/>
    </row>
    <row r="618" spans="1:13">
      <c r="A618" s="65" t="s">
        <v>238</v>
      </c>
      <c r="D618" s="113" t="e">
        <f>#REF!</f>
        <v>#REF!</v>
      </c>
      <c r="F618" s="110"/>
      <c r="G618" s="111" t="s">
        <v>239</v>
      </c>
      <c r="H618" s="110"/>
      <c r="I618" s="110"/>
      <c r="J618" s="110"/>
    </row>
    <row r="619" spans="1:13">
      <c r="A619" s="65" t="s">
        <v>240</v>
      </c>
      <c r="D619" s="112" t="e">
        <f>#REF!</f>
        <v>#REF!</v>
      </c>
      <c r="F619" s="110"/>
      <c r="G619" s="111" t="s">
        <v>241</v>
      </c>
      <c r="H619" s="110"/>
      <c r="I619" s="110"/>
      <c r="J619" s="110"/>
    </row>
    <row r="620" spans="1:13">
      <c r="A620" s="65" t="s">
        <v>242</v>
      </c>
      <c r="D620" s="112" t="e">
        <f>IF(OR(D616=0,D618=0),"",IF(D618="Hourly (H)",(D616*D619)*52,D616*VLOOKUP(D618,A605:E613,2,FALSE())))</f>
        <v>#REF!</v>
      </c>
      <c r="F620" s="110"/>
      <c r="G620" s="111" t="s">
        <v>243</v>
      </c>
      <c r="H620" s="110"/>
      <c r="I620" s="110"/>
      <c r="J620" s="110"/>
    </row>
    <row r="621" spans="1:13">
      <c r="A621" s="65" t="s">
        <v>244</v>
      </c>
      <c r="D621" s="115" t="e">
        <f>IF(OR(D616=0,D618=0),0,IF(OR(D618=A609,D618=A610,D618=A612),J629,ROUND(D620/12,0)))</f>
        <v>#REF!</v>
      </c>
      <c r="F621" s="110"/>
      <c r="G621" s="111" t="s">
        <v>245</v>
      </c>
      <c r="H621" s="110"/>
      <c r="I621" s="110"/>
      <c r="J621" s="110"/>
    </row>
    <row r="622" spans="1:13">
      <c r="A622" s="65" t="s">
        <v>246</v>
      </c>
      <c r="D622" s="65" t="b">
        <f>TRUE()</f>
        <v>1</v>
      </c>
      <c r="F622" s="110"/>
      <c r="G622" s="111" t="s">
        <v>247</v>
      </c>
      <c r="H622" s="110"/>
      <c r="I622" s="110"/>
      <c r="J622" s="110"/>
    </row>
    <row r="624" spans="1:13">
      <c r="A624" s="320" t="s">
        <v>248</v>
      </c>
      <c r="B624" s="320"/>
      <c r="C624" s="320"/>
      <c r="D624" s="320"/>
      <c r="E624" s="320"/>
      <c r="F624" s="320"/>
      <c r="G624" s="320"/>
      <c r="H624" s="320" t="s">
        <v>249</v>
      </c>
      <c r="I624" s="320"/>
      <c r="J624" s="320"/>
      <c r="K624" s="320" t="s">
        <v>250</v>
      </c>
      <c r="L624" s="320"/>
      <c r="M624" s="320"/>
    </row>
    <row r="625" spans="1:13">
      <c r="A625" s="116" t="s">
        <v>251</v>
      </c>
      <c r="B625" s="116" t="s">
        <v>91</v>
      </c>
      <c r="C625" s="116" t="s">
        <v>76</v>
      </c>
      <c r="D625" s="116" t="s">
        <v>77</v>
      </c>
      <c r="E625" s="116" t="s">
        <v>36</v>
      </c>
      <c r="F625" s="116" t="s">
        <v>68</v>
      </c>
      <c r="G625" s="116" t="s">
        <v>1</v>
      </c>
      <c r="H625" s="116" t="s">
        <v>74</v>
      </c>
      <c r="I625" s="116" t="s">
        <v>68</v>
      </c>
      <c r="J625" s="116" t="s">
        <v>36</v>
      </c>
      <c r="K625" s="116" t="s">
        <v>252</v>
      </c>
      <c r="L625" s="116" t="s">
        <v>253</v>
      </c>
      <c r="M625" s="116" t="s">
        <v>254</v>
      </c>
    </row>
    <row r="626" spans="1:13">
      <c r="A626" s="117" t="b">
        <f>TRUE()</f>
        <v>1</v>
      </c>
      <c r="B626" s="118" t="e">
        <f>#REF!</f>
        <v>#REF!</v>
      </c>
      <c r="C626" s="119" t="e">
        <f>#REF!</f>
        <v>#REF!</v>
      </c>
      <c r="D626" s="119" t="e">
        <f>#REF!</f>
        <v>#REF!</v>
      </c>
      <c r="E626" s="120" t="e">
        <f>#REF!</f>
        <v>#REF!</v>
      </c>
      <c r="F626" s="121" t="e">
        <f>IF(OR(E626="",E626=0),"",ROUND((((D626-C626)+1)/365)*12,1))</f>
        <v>#REF!</v>
      </c>
      <c r="G626" s="122" t="e">
        <f>IF(OR(E626="",E626=0),"",ROUND(E626/F626,0))</f>
        <v>#REF!</v>
      </c>
      <c r="H626" s="122" t="e">
        <f>IF(A626=TRUE(),E626,0)</f>
        <v>#REF!</v>
      </c>
      <c r="I626" s="123" t="e">
        <f>IF(A626=TRUE(),F626,0)</f>
        <v>#REF!</v>
      </c>
      <c r="J626" s="122" t="e">
        <f>IF(OR(A626=FALSE(),H626=0,I626=0),0,ROUND(H626/I626,0))</f>
        <v>#REF!</v>
      </c>
      <c r="K626" s="121" t="e">
        <f>IF(OR(G626="",G626=0,G627="",G627=0),100,IF(G626&gt;G627,((G626-G627)/G627)*100,((G627-G626)/G627)*100))</f>
        <v>#REF!</v>
      </c>
      <c r="L626" s="81" t="e">
        <f>IF(G626&gt;G627,"Increase","Decrease")</f>
        <v>#REF!</v>
      </c>
      <c r="M626" s="81" t="e">
        <f>IF(AND(A626=TRUE(),E626&gt;0),TRUE(),FALSE())</f>
        <v>#REF!</v>
      </c>
    </row>
    <row r="627" spans="1:13">
      <c r="A627" s="39" t="b">
        <f>TRUE()</f>
        <v>1</v>
      </c>
      <c r="B627" s="118" t="e">
        <f>#REF!</f>
        <v>#REF!</v>
      </c>
      <c r="C627" s="119" t="e">
        <f>#REF!</f>
        <v>#REF!</v>
      </c>
      <c r="D627" s="119" t="e">
        <f>#REF!</f>
        <v>#REF!</v>
      </c>
      <c r="E627" s="120" t="e">
        <f>#REF!</f>
        <v>#REF!</v>
      </c>
      <c r="F627" s="121" t="e">
        <f>IF(OR(E627="",E627=0),"",ROUND((((D627-C627)+1)/365)*12,1))</f>
        <v>#REF!</v>
      </c>
      <c r="G627" s="122" t="e">
        <f>IF(OR(E627="",E627=0),"",ROUND(E627/F627,0))</f>
        <v>#REF!</v>
      </c>
      <c r="H627" s="122" t="e">
        <f>IF(A627=TRUE(),E627,0)</f>
        <v>#REF!</v>
      </c>
      <c r="I627" s="123" t="e">
        <f>IF(A627=TRUE(),F627,0)</f>
        <v>#REF!</v>
      </c>
      <c r="J627" s="122" t="e">
        <f>IF(OR(A627=FALSE(),H627=0,I627=0),0,ROUND(H627/I627,0))</f>
        <v>#REF!</v>
      </c>
      <c r="K627" s="121" t="e">
        <f>IF(OR(G627="",G627=0,G628="",G628=0),100,IF(G627&gt;G628,((G627-G628)/G628)*100,((G628-G627)/G628)*100))</f>
        <v>#REF!</v>
      </c>
      <c r="L627" s="81" t="e">
        <f>IF(G627&gt;G628,"Increase","Decrease")</f>
        <v>#REF!</v>
      </c>
      <c r="M627" s="81" t="e">
        <f>IF(AND(A627=TRUE(),E627&gt;0),TRUE(),FALSE())</f>
        <v>#REF!</v>
      </c>
    </row>
    <row r="628" spans="1:13">
      <c r="A628" s="39" t="b">
        <f>TRUE()</f>
        <v>1</v>
      </c>
      <c r="B628" s="118" t="e">
        <f>#REF!</f>
        <v>#REF!</v>
      </c>
      <c r="C628" s="119" t="e">
        <f>#REF!</f>
        <v>#REF!</v>
      </c>
      <c r="D628" s="119" t="e">
        <f>#REF!</f>
        <v>#REF!</v>
      </c>
      <c r="E628" s="120" t="e">
        <f>#REF!</f>
        <v>#REF!</v>
      </c>
      <c r="F628" s="121" t="e">
        <f>IF(OR(E628="",E628=0),"",ROUND((((D628-C628)+1)/365)*12,1))</f>
        <v>#REF!</v>
      </c>
      <c r="G628" s="122" t="e">
        <f>IF(OR(E628="",E628=0),"",ROUND(E628/F628,0))</f>
        <v>#REF!</v>
      </c>
      <c r="H628" s="122" t="e">
        <f>IF(A628=TRUE(),E628,0)</f>
        <v>#REF!</v>
      </c>
      <c r="I628" s="123" t="e">
        <f>IF(A628=TRUE(),F628,0)</f>
        <v>#REF!</v>
      </c>
      <c r="J628" s="122" t="e">
        <f>IF(OR(A628=FALSE(),H628=0,I628=0),0,ROUND(H628/I628,0))</f>
        <v>#REF!</v>
      </c>
      <c r="K628" s="121" t="e">
        <f>IF(OR(G626="",G626=0,G628="",G628=0),100,IF(G626&gt;G628,((G626-G628)/G628)*100,((G628-G626)/G628)*100))</f>
        <v>#REF!</v>
      </c>
      <c r="L628" s="81" t="e">
        <f>IF(G626&gt;G628,"Increase","Decrease")</f>
        <v>#REF!</v>
      </c>
      <c r="M628" s="81" t="e">
        <f>IF(AND(A628=TRUE(),E628&gt;0),TRUE(),FALSE())</f>
        <v>#REF!</v>
      </c>
    </row>
    <row r="629" spans="1:13">
      <c r="A629" s="78" t="s">
        <v>255</v>
      </c>
      <c r="B629" s="128"/>
      <c r="C629" s="129"/>
      <c r="D629" s="129"/>
      <c r="E629" s="130" t="e">
        <f>SUM(E626:E628)</f>
        <v>#REF!</v>
      </c>
      <c r="F629" s="131" t="e">
        <f>SUM(F626:F628)</f>
        <v>#REF!</v>
      </c>
      <c r="G629" s="41" t="e">
        <f>IF(AND(D616=0,D618=0),0,IF(D622=TRUE(),D621,IF(OR(D618=A609,D618=A610,D618=A612,F626=FALSE(),F627=FALSE(),F628=FALSE()),J629,IF(D622=FALSE(),MIN(D621,G626),J629))))</f>
        <v>#REF!</v>
      </c>
      <c r="H629" s="127" t="e">
        <f>IF(SUM(E626:E628)=0,0,ROUND(SUM(H626:H628),0))</f>
        <v>#REF!</v>
      </c>
      <c r="I629" s="47" t="e">
        <f>IF(SUM(F626:F628)=0,0,ROUND(SUM(I626:I628),1))</f>
        <v>#REF!</v>
      </c>
      <c r="J629" s="127" t="e">
        <f>IF(I629=0,0,ROUND(H629/I629,0))</f>
        <v>#REF!</v>
      </c>
      <c r="K629" s="129"/>
      <c r="L629" s="129"/>
      <c r="M629" s="129"/>
    </row>
    <row r="631" spans="1:13">
      <c r="A631" s="65" t="s">
        <v>256</v>
      </c>
      <c r="D631" s="63" t="e">
        <f>IF(OR(D703=0,D703&gt;=40),"",CONCATENATE("(actual = ",D703," hrs)"))</f>
        <v>#REF!</v>
      </c>
    </row>
    <row r="633" spans="1:13">
      <c r="A633" s="323" t="s">
        <v>257</v>
      </c>
      <c r="B633" s="323"/>
      <c r="C633" s="323"/>
      <c r="D633" s="323"/>
      <c r="E633" s="323"/>
    </row>
    <row r="634" spans="1:13">
      <c r="A634" s="318" t="s">
        <v>246</v>
      </c>
      <c r="B634" s="318"/>
      <c r="C634" s="318"/>
      <c r="D634" s="39" t="b">
        <f>IF(D622=TRUE(),TRUE(),FALSE())</f>
        <v>1</v>
      </c>
      <c r="E634" s="132" t="e">
        <f>IF(AND(D634=TRUE(),D636=FALSE(),D637=FALSE()),D621,0)</f>
        <v>#REF!</v>
      </c>
      <c r="G634" s="110"/>
    </row>
    <row r="635" spans="1:13">
      <c r="A635" s="318" t="s">
        <v>258</v>
      </c>
      <c r="B635" s="318"/>
      <c r="C635" s="318"/>
      <c r="D635" s="39" t="e">
        <f>IF(AND(D634=FALSE(),E655&lt;10%,F655=" Decrease"),TRUE(),FALSE())</f>
        <v>#REF!</v>
      </c>
      <c r="E635" s="132" t="e">
        <f>IF(D635=TRUE(),G626,0)</f>
        <v>#REF!</v>
      </c>
      <c r="G635" s="110"/>
    </row>
    <row r="636" spans="1:13">
      <c r="A636" s="318" t="s">
        <v>259</v>
      </c>
      <c r="B636" s="318"/>
      <c r="C636" s="318"/>
      <c r="D636" s="39" t="e">
        <f>IF(AND(D634=FALSE(),E655&gt;10%,F655=" Decrease"),TRUE(),FALSE())</f>
        <v>#REF!</v>
      </c>
      <c r="E636" s="132" t="e">
        <f>IF(AND(D634=FALSE(),D636=TRUE(),D637=FALSE()),G626,0)</f>
        <v>#REF!</v>
      </c>
      <c r="G636" s="110"/>
    </row>
    <row r="637" spans="1:13">
      <c r="A637" s="318" t="s">
        <v>260</v>
      </c>
      <c r="B637" s="318"/>
      <c r="C637" s="318"/>
      <c r="D637" s="39" t="e">
        <f>IF(OR(D634=TRUE(),D635=TRUE(),D636=TRUE()),FALSE(),IF(OR(D618=A609,D618=A610,D618=A612),TRUE(),FALSE()))</f>
        <v>#REF!</v>
      </c>
      <c r="E637" s="132" t="e">
        <f>IF(AND(D634=FALSE(),D636=FALSE(),D637=TRUE()),J629,0)</f>
        <v>#REF!</v>
      </c>
    </row>
    <row r="638" spans="1:13">
      <c r="A638" s="133" t="s">
        <v>261</v>
      </c>
      <c r="B638" s="133"/>
      <c r="C638" s="133"/>
      <c r="D638" s="133" t="e">
        <f>IF(AND(D634=FALSE(),D635=FALSE(),D636=FALSE(),D637=FALSE()),TRUE(),FALSE())</f>
        <v>#REF!</v>
      </c>
      <c r="E638" s="134" t="e">
        <f>IF(D638=TRUE(),G629,0)</f>
        <v>#REF!</v>
      </c>
    </row>
    <row r="639" spans="1:13">
      <c r="A639" s="321" t="s">
        <v>262</v>
      </c>
      <c r="B639" s="321"/>
      <c r="C639" s="321"/>
      <c r="D639" s="321"/>
      <c r="E639" s="135" t="e">
        <f>VLOOKUP(TRUE(),D634:E638,2,FALSE())</f>
        <v>#REF!</v>
      </c>
    </row>
    <row r="641" spans="1:13">
      <c r="A641" s="65" t="s">
        <v>263</v>
      </c>
      <c r="D641" s="63" t="e">
        <f>IF(OR(D622=TRUE(),E626=0),"",IF(D636=TRUE(),"YTD average monthly earnings reflect greater than 10% reduction",IF(G626&lt;D621,CONCATENATE("NOTE: YTD earnings reflect borrower is averaging ",D703," hours weekly."),"")))</f>
        <v>#REF!</v>
      </c>
      <c r="G641" s="110"/>
      <c r="I641" s="111" t="s">
        <v>264</v>
      </c>
    </row>
    <row r="643" spans="1:13">
      <c r="A643" s="314" t="s">
        <v>81</v>
      </c>
      <c r="B643" s="314"/>
      <c r="C643" s="314"/>
      <c r="D643" s="314"/>
      <c r="E643" s="314"/>
      <c r="F643" s="314"/>
      <c r="G643" s="314"/>
      <c r="H643" s="314"/>
      <c r="I643" s="314"/>
      <c r="J643" s="314"/>
      <c r="K643" s="314"/>
    </row>
    <row r="645" spans="1:13">
      <c r="A645" s="116" t="s">
        <v>265</v>
      </c>
      <c r="B645" s="116" t="s">
        <v>91</v>
      </c>
      <c r="C645" s="116" t="s">
        <v>266</v>
      </c>
      <c r="D645" s="116" t="s">
        <v>82</v>
      </c>
      <c r="E645" s="116" t="s">
        <v>267</v>
      </c>
      <c r="F645" s="116" t="s">
        <v>268</v>
      </c>
      <c r="G645" s="116" t="s">
        <v>36</v>
      </c>
      <c r="H645" s="116" t="s">
        <v>68</v>
      </c>
      <c r="I645" s="116"/>
      <c r="J645" s="116"/>
      <c r="K645" s="116" t="s">
        <v>84</v>
      </c>
    </row>
    <row r="646" spans="1:13">
      <c r="A646" s="137" t="b">
        <f>FALSE()</f>
        <v>0</v>
      </c>
      <c r="B646" s="83" t="e">
        <f>#REF!</f>
        <v>#REF!</v>
      </c>
      <c r="C646" s="138" t="e">
        <f>#REF!</f>
        <v>#REF!</v>
      </c>
      <c r="D646" s="48" t="e">
        <f>#REF!</f>
        <v>#REF!</v>
      </c>
      <c r="E646" s="139" t="e">
        <f>#REF!</f>
        <v>#REF!</v>
      </c>
      <c r="F646" s="130" t="e">
        <f>IF(OR(A646=FALSE(),C646=0,E646=0),0,E646*VLOOKUP(B646,$C$37:$D$42,2))</f>
        <v>#REF!</v>
      </c>
      <c r="G646" s="130" t="e">
        <f>IF(AND(C646&lt;&gt;0,D646&lt;&gt;0),0,IF(D646&lt;&gt;0,C646-D646,C646-F646))</f>
        <v>#REF!</v>
      </c>
      <c r="H646" s="131" t="e">
        <f>#REF!</f>
        <v>#REF!</v>
      </c>
      <c r="I646" s="131"/>
      <c r="J646" s="131"/>
      <c r="K646" s="130" t="str">
        <f>IF(A646=FALSE(),"",IF(AND(D646&gt;0,E646&gt;0),"Error Dep &amp; Buss",IF(OR(H646=0,H646=""),0,ROUND(G646/H646,0))))</f>
        <v/>
      </c>
    </row>
    <row r="647" spans="1:13">
      <c r="A647" s="39" t="b">
        <f>FALSE()</f>
        <v>0</v>
      </c>
      <c r="B647" s="83" t="e">
        <f>#REF!</f>
        <v>#REF!</v>
      </c>
      <c r="C647" s="138" t="e">
        <f>#REF!</f>
        <v>#REF!</v>
      </c>
      <c r="D647" s="48" t="e">
        <f>#REF!</f>
        <v>#REF!</v>
      </c>
      <c r="E647" s="139" t="e">
        <f>#REF!</f>
        <v>#REF!</v>
      </c>
      <c r="F647" s="130" t="e">
        <f>IF(OR(A647=FALSE(),C647=0,E647=0),0,E647*VLOOKUP(B647,$C$37:$D$42,2))</f>
        <v>#REF!</v>
      </c>
      <c r="G647" s="130" t="e">
        <f>IF(AND(C647&lt;&gt;0,D647&lt;&gt;0),0,IF(D647&lt;&gt;0,C647-D647,C647-F647))</f>
        <v>#REF!</v>
      </c>
      <c r="H647" s="131" t="e">
        <f>#REF!</f>
        <v>#REF!</v>
      </c>
      <c r="I647" s="131"/>
      <c r="J647" s="131"/>
      <c r="K647" s="130" t="str">
        <f>IF(A647=FALSE(),"",IF(AND(D647&gt;0,E647&gt;0),"Error Dep &amp; Buss",IF(OR(H647=0,H647=""),0,ROUND(G647/H647,0))))</f>
        <v/>
      </c>
    </row>
    <row r="648" spans="1:13">
      <c r="A648" s="78" t="s">
        <v>255</v>
      </c>
      <c r="B648" s="128"/>
      <c r="C648" s="129"/>
      <c r="D648" s="129"/>
      <c r="E648" s="139" t="e">
        <f>SUM(E646:E647)</f>
        <v>#REF!</v>
      </c>
      <c r="F648" s="130" t="e">
        <f>SUM(F646:F647)</f>
        <v>#REF!</v>
      </c>
      <c r="G648" s="130" t="e">
        <f>SUM(G646:G647)</f>
        <v>#REF!</v>
      </c>
      <c r="H648" s="131" t="e">
        <f>SUM(H646:H647)</f>
        <v>#REF!</v>
      </c>
      <c r="I648" s="131"/>
      <c r="J648" s="131"/>
      <c r="K648" s="130">
        <f>IF(ISERROR(G648/H648),0,IF(AND(A646=TRUE(),A647=TRUE()),ROUND(G648/H648,0),IF(AND(A646=TRUE(),A647=FALSE()),K646,IF(AND(A646=FALSE(),A647=TRUE()),K647,0))))</f>
        <v>0</v>
      </c>
    </row>
    <row r="649" spans="1:13">
      <c r="B649" s="112"/>
      <c r="C649" s="140"/>
      <c r="D649" s="40"/>
    </row>
    <row r="650" spans="1:13">
      <c r="A650" s="65" t="s">
        <v>269</v>
      </c>
      <c r="D650" s="65" t="b">
        <f>TRUE()</f>
        <v>1</v>
      </c>
      <c r="G650" s="111" t="s">
        <v>270</v>
      </c>
    </row>
    <row r="652" spans="1:13">
      <c r="A652" s="319" t="s">
        <v>276</v>
      </c>
      <c r="B652" s="319"/>
      <c r="C652" s="319"/>
      <c r="D652" s="319"/>
      <c r="E652" s="319"/>
      <c r="F652" s="319"/>
      <c r="G652" s="319"/>
      <c r="H652" s="319"/>
      <c r="I652" s="319"/>
      <c r="J652" s="319"/>
      <c r="K652" s="319"/>
      <c r="L652" s="319"/>
      <c r="M652" s="319"/>
    </row>
    <row r="653" spans="1:13">
      <c r="B653" s="112"/>
      <c r="C653" s="140"/>
      <c r="D653" s="40"/>
    </row>
    <row r="654" spans="1:13">
      <c r="A654" s="316"/>
      <c r="B654" s="316"/>
      <c r="C654" s="141" t="s">
        <v>277</v>
      </c>
      <c r="D654" s="142" t="s">
        <v>278</v>
      </c>
      <c r="E654" s="142" t="s">
        <v>279</v>
      </c>
      <c r="F654" s="143" t="s">
        <v>2</v>
      </c>
      <c r="G654" s="142" t="s">
        <v>280</v>
      </c>
      <c r="H654" s="317" t="s">
        <v>232</v>
      </c>
      <c r="I654" s="317"/>
      <c r="J654" s="317"/>
      <c r="K654" s="317"/>
      <c r="L654" s="317"/>
    </row>
    <row r="655" spans="1:13">
      <c r="A655" s="318" t="e">
        <f>CONCATENATE(" Total ",B626," YTD")</f>
        <v>#REF!</v>
      </c>
      <c r="B655" s="318"/>
      <c r="C655" s="41" t="e">
        <f>IF(OR(G626=0,G626=""),0,G626)</f>
        <v>#REF!</v>
      </c>
      <c r="D655" s="41" t="e">
        <f>ABS(C655-C656)</f>
        <v>#REF!</v>
      </c>
      <c r="E655" s="144" t="e">
        <f>IF(C656=0,100%,D655/C656)</f>
        <v>#REF!</v>
      </c>
      <c r="F655" s="145" t="e">
        <f>IF(C655&gt;C656," Increase"," Decrease")</f>
        <v>#REF!</v>
      </c>
      <c r="G655" s="146" t="e">
        <f>IF((C656+(C656*E655))=C655,"PASS","FAIL")</f>
        <v>#REF!</v>
      </c>
      <c r="H655" s="318" t="e">
        <f>IF(OR(C655=0,C655="")," ",CONCATENATE(B627," to ",B626," = ",TEXT(E655,"###.0%"),F655))</f>
        <v>#REF!</v>
      </c>
      <c r="I655" s="318"/>
      <c r="J655" s="318"/>
      <c r="K655" s="318"/>
      <c r="L655" s="318"/>
    </row>
    <row r="656" spans="1:13">
      <c r="A656" s="318" t="e">
        <f>CONCATENATE(" Total ",B627)</f>
        <v>#REF!</v>
      </c>
      <c r="B656" s="318"/>
      <c r="C656" s="41" t="e">
        <f>IF(OR(G627=0,G627=""),0,G627)</f>
        <v>#REF!</v>
      </c>
      <c r="D656" s="41" t="e">
        <f>ABS(C656-C657)</f>
        <v>#REF!</v>
      </c>
      <c r="E656" s="144" t="e">
        <f>IF(C657=0,100%,D656/C657)</f>
        <v>#REF!</v>
      </c>
      <c r="F656" s="145" t="e">
        <f>IF(C656&gt;C657," Increase"," Decrease")</f>
        <v>#REF!</v>
      </c>
      <c r="G656" s="146" t="e">
        <f>IF((C657+(C657*E656))=C656,"PASS","FAIL")</f>
        <v>#REF!</v>
      </c>
      <c r="H656" s="318" t="e">
        <f>IF(OR(C656=0,C656="")," ",CONCATENATE(B628," to ",B627," = ",TEXT(E656,"###.0%"),F656))</f>
        <v>#REF!</v>
      </c>
      <c r="I656" s="318"/>
      <c r="J656" s="318"/>
      <c r="K656" s="318"/>
      <c r="L656" s="318"/>
    </row>
    <row r="657" spans="1:13">
      <c r="A657" s="318" t="e">
        <f>CONCATENATE(" Total ",B628)</f>
        <v>#REF!</v>
      </c>
      <c r="B657" s="318"/>
      <c r="C657" s="41" t="e">
        <f>IF(OR(G628=0,G628=""),0,G628)</f>
        <v>#REF!</v>
      </c>
      <c r="D657" s="41" t="e">
        <f>ABS(C655-C657)</f>
        <v>#REF!</v>
      </c>
      <c r="E657" s="144" t="e">
        <f>IF(C657=0,100%,D657/C657)</f>
        <v>#REF!</v>
      </c>
      <c r="F657" s="145" t="e">
        <f>IF(C657&gt;C658," Increase"," Decrease")</f>
        <v>#REF!</v>
      </c>
      <c r="G657" s="146" t="e">
        <f>IF((C657+(C657*E657))=C655,"PASS","FAIL")</f>
        <v>#REF!</v>
      </c>
      <c r="H657" s="318" t="e">
        <f>IF(OR(C657=0,C657="")," ",CONCATENATE(B628," to ",B626," = ",TEXT(E657,"###.0%"),F657))</f>
        <v>#REF!</v>
      </c>
      <c r="I657" s="318"/>
      <c r="J657" s="318"/>
      <c r="K657" s="318"/>
      <c r="L657" s="318"/>
    </row>
    <row r="658" spans="1:13">
      <c r="C658" s="42"/>
    </row>
    <row r="659" spans="1:13">
      <c r="C659" s="155" t="e">
        <f>IF(AND(C655&gt;0,C656&gt;0,C657&gt;0),TRUE(),FALSE())</f>
        <v>#REF!</v>
      </c>
      <c r="D659" s="63" t="e">
        <f>CONCATENATE("Variances in earnings:  ",H656,"  &amp;  ",H655)</f>
        <v>#REF!</v>
      </c>
    </row>
    <row r="660" spans="1:13">
      <c r="C660" s="155" t="e">
        <f>IF(AND(C655&gt;0,C656&gt;0,C657=0),TRUE(),FALSE())</f>
        <v>#REF!</v>
      </c>
      <c r="D660" s="63" t="e">
        <f>CONCATENATE("Variances in earnings:  ",H655)</f>
        <v>#REF!</v>
      </c>
    </row>
    <row r="661" spans="1:13">
      <c r="C661" s="155" t="e">
        <f>IF(AND(C655&gt;0,C656=0,C657&gt;0),TRUE(),FALSE())</f>
        <v>#REF!</v>
      </c>
      <c r="D661" s="63" t="e">
        <f>CONCATENATE("Variances in earnings:  ",H656)</f>
        <v>#REF!</v>
      </c>
    </row>
    <row r="662" spans="1:13">
      <c r="C662" s="155" t="e">
        <f>IF(AND(C656=0,C657=0,C658=0),TRUE(),FALSE())</f>
        <v>#REF!</v>
      </c>
      <c r="D662" s="65" t="s">
        <v>281</v>
      </c>
    </row>
    <row r="664" spans="1:13">
      <c r="A664" s="319" t="s">
        <v>282</v>
      </c>
      <c r="B664" s="319"/>
      <c r="C664" s="319"/>
      <c r="D664" s="319"/>
      <c r="E664" s="319"/>
      <c r="F664" s="319"/>
      <c r="G664" s="319"/>
      <c r="H664" s="319"/>
      <c r="I664" s="319"/>
      <c r="J664" s="319"/>
      <c r="K664" s="319"/>
      <c r="L664" s="319"/>
      <c r="M664" s="319"/>
    </row>
    <row r="666" spans="1:13">
      <c r="A666" s="65" t="s">
        <v>338</v>
      </c>
      <c r="D666" s="66" t="e">
        <f>D626</f>
        <v>#REF!</v>
      </c>
    </row>
    <row r="667" spans="1:13">
      <c r="A667" s="65" t="s">
        <v>284</v>
      </c>
      <c r="D667" s="66" t="e">
        <f>IF(D666="","",EOMONTH(DATE(YEAR(D666),1,1),2))</f>
        <v>#REF!</v>
      </c>
    </row>
    <row r="668" spans="1:13">
      <c r="A668" s="65" t="s">
        <v>285</v>
      </c>
      <c r="D668" s="66" t="e">
        <f>IF(D666&lt;D667,TRUE(),FALSE())</f>
        <v>#REF!</v>
      </c>
    </row>
    <row r="670" spans="1:13">
      <c r="A670" s="63" t="e">
        <f>CONCATENATE(" Total earnings (",B626," YTD)")</f>
        <v>#REF!</v>
      </c>
      <c r="D670" s="112" t="e">
        <f>E626</f>
        <v>#REF!</v>
      </c>
      <c r="F670" s="64">
        <f ca="1">EOMONTH(DATE(YEAR(TODAY()),1,1),2)</f>
        <v>46112</v>
      </c>
    </row>
    <row r="671" spans="1:13">
      <c r="A671" s="63" t="e">
        <f>CONCATENATE(" Total earnings (",B627,")")</f>
        <v>#REF!</v>
      </c>
      <c r="D671" s="112" t="e">
        <f>IF(D668=TRUE(),E627,0)</f>
        <v>#REF!</v>
      </c>
      <c r="F671" s="63">
        <f>EOMONTH("01/01/2016",2)</f>
        <v>42460</v>
      </c>
      <c r="G671" s="66">
        <f>F671</f>
        <v>42460</v>
      </c>
    </row>
    <row r="672" spans="1:13">
      <c r="A672" s="65" t="s">
        <v>286</v>
      </c>
      <c r="D672" s="112" t="e">
        <f>D670+D671</f>
        <v>#REF!</v>
      </c>
    </row>
    <row r="674" spans="1:10">
      <c r="A674" s="63" t="e">
        <f>CONCATENATE(" Months included (",B626," YTD)")</f>
        <v>#REF!</v>
      </c>
      <c r="D674" s="147" t="e">
        <f>IF(F626="",0,F626)</f>
        <v>#REF!</v>
      </c>
    </row>
    <row r="675" spans="1:10">
      <c r="A675" s="63" t="e">
        <f>CONCATENATE(" Months included (",B627,")")</f>
        <v>#REF!</v>
      </c>
      <c r="D675" s="147" t="e">
        <f>IF(D668=TRUE(),F627,0)</f>
        <v>#REF!</v>
      </c>
    </row>
    <row r="676" spans="1:10">
      <c r="A676" s="65" t="s">
        <v>287</v>
      </c>
      <c r="D676" s="147" t="e">
        <f>D674+D675</f>
        <v>#REF!</v>
      </c>
    </row>
    <row r="678" spans="1:10">
      <c r="A678" s="65" t="s">
        <v>286</v>
      </c>
      <c r="D678" s="115" t="e">
        <f>IF(OR(A626=FALSE(),E626=""),0,D672)</f>
        <v>#REF!</v>
      </c>
      <c r="F678" s="115"/>
      <c r="G678" s="111" t="s">
        <v>288</v>
      </c>
    </row>
    <row r="679" spans="1:10">
      <c r="A679" s="65" t="s">
        <v>289</v>
      </c>
      <c r="D679" s="147" t="e">
        <f>IF(OR(A626=FALSE(),E626="",E626=0,F626=0),0,D676)</f>
        <v>#REF!</v>
      </c>
      <c r="F679" s="140"/>
      <c r="G679" s="111" t="s">
        <v>290</v>
      </c>
    </row>
    <row r="680" spans="1:10">
      <c r="A680" s="65" t="s">
        <v>235</v>
      </c>
      <c r="D680" s="148" t="e">
        <f>D616</f>
        <v>#REF!</v>
      </c>
      <c r="F680" s="112"/>
      <c r="G680" s="111" t="s">
        <v>236</v>
      </c>
      <c r="H680" s="149"/>
      <c r="I680" s="149"/>
      <c r="J680" s="149"/>
    </row>
    <row r="681" spans="1:10">
      <c r="A681" s="65" t="s">
        <v>291</v>
      </c>
      <c r="D681" s="112" t="e">
        <f>IF(OR(D678=0,D679=0,),0,D678/D679)</f>
        <v>#REF!</v>
      </c>
      <c r="F681" s="112"/>
      <c r="G681" s="111" t="s">
        <v>292</v>
      </c>
      <c r="H681" s="149"/>
      <c r="I681" s="149"/>
      <c r="J681" s="149"/>
    </row>
    <row r="682" spans="1:10">
      <c r="A682" s="65" t="s">
        <v>293</v>
      </c>
      <c r="D682" s="112" t="e">
        <f>H629</f>
        <v>#REF!</v>
      </c>
      <c r="F682" s="112"/>
      <c r="G682" s="111" t="s">
        <v>294</v>
      </c>
      <c r="H682" s="149"/>
      <c r="I682" s="149"/>
      <c r="J682" s="149"/>
    </row>
    <row r="683" spans="1:10">
      <c r="D683" s="112"/>
      <c r="F683" s="112"/>
      <c r="G683" s="149"/>
      <c r="H683" s="149"/>
      <c r="I683" s="149"/>
      <c r="J683" s="149"/>
    </row>
    <row r="684" spans="1:10">
      <c r="A684" s="65" t="s">
        <v>295</v>
      </c>
      <c r="D684" s="112"/>
      <c r="F684" s="112"/>
      <c r="G684" s="149"/>
      <c r="H684" s="149"/>
      <c r="I684" s="149"/>
      <c r="J684" s="149"/>
    </row>
    <row r="685" spans="1:10">
      <c r="A685" s="150" t="s">
        <v>296</v>
      </c>
      <c r="D685" s="112" t="e">
        <f>D681</f>
        <v>#REF!</v>
      </c>
      <c r="F685" s="112"/>
      <c r="G685" s="149"/>
      <c r="H685" s="149"/>
      <c r="I685" s="149"/>
      <c r="J685" s="149"/>
    </row>
    <row r="686" spans="1:10">
      <c r="A686" s="150" t="s">
        <v>297</v>
      </c>
      <c r="D686" s="112" t="e">
        <f>D685*12</f>
        <v>#REF!</v>
      </c>
      <c r="F686" s="112"/>
      <c r="G686" s="149"/>
      <c r="H686" s="149"/>
      <c r="I686" s="149"/>
      <c r="J686" s="149"/>
    </row>
    <row r="687" spans="1:10">
      <c r="A687" s="150" t="s">
        <v>298</v>
      </c>
      <c r="D687" s="112" t="e">
        <f>D686/52</f>
        <v>#REF!</v>
      </c>
      <c r="F687" s="112"/>
      <c r="G687" s="149"/>
      <c r="H687" s="149"/>
      <c r="I687" s="149"/>
      <c r="J687" s="149"/>
    </row>
    <row r="688" spans="1:10">
      <c r="A688" s="150" t="s">
        <v>299</v>
      </c>
      <c r="D688" s="112" t="e">
        <f>D616</f>
        <v>#REF!</v>
      </c>
      <c r="F688" s="112"/>
      <c r="G688" s="149"/>
      <c r="H688" s="149"/>
      <c r="I688" s="149"/>
      <c r="J688" s="149"/>
    </row>
    <row r="689" spans="1:11">
      <c r="A689" s="150" t="s">
        <v>300</v>
      </c>
      <c r="D689" s="112" t="e">
        <f>IF(D688=0,0,IF(D622=TRUE(),40,IF(AND(D622=FALSE(),D688&gt;0,D618="Hourly (H)",E626=0),40,IF((D687/D688)&gt;40,40,D687/D688))))</f>
        <v>#REF!</v>
      </c>
      <c r="F689" s="112"/>
      <c r="G689" s="149"/>
      <c r="H689" s="149"/>
      <c r="I689" s="149"/>
      <c r="J689" s="149"/>
    </row>
    <row r="690" spans="1:11">
      <c r="A690" s="150" t="s">
        <v>301</v>
      </c>
      <c r="D690" s="113" t="e">
        <f>IF(D618="Hourly (H)",D689,"N/A")</f>
        <v>#REF!</v>
      </c>
      <c r="F690" s="112"/>
      <c r="G690" s="149"/>
      <c r="H690" s="149"/>
      <c r="I690" s="149"/>
      <c r="J690" s="149"/>
    </row>
    <row r="691" spans="1:11">
      <c r="A691" s="150" t="s">
        <v>302</v>
      </c>
      <c r="D691" s="112" t="e">
        <f>IF(D618=0,"Weekly",IF(OR(D618&lt;&gt;"Hourly (H)",(D687/D688)&gt;40),"Weekly","Average Weekly"))</f>
        <v>#REF!</v>
      </c>
      <c r="F691" s="112"/>
      <c r="G691" s="149"/>
      <c r="H691" s="149"/>
      <c r="I691" s="149"/>
      <c r="J691" s="149"/>
    </row>
    <row r="692" spans="1:11">
      <c r="D692" s="112"/>
      <c r="F692" s="112"/>
      <c r="G692" s="149"/>
      <c r="H692" s="149"/>
      <c r="I692" s="149"/>
      <c r="J692" s="149"/>
    </row>
    <row r="693" spans="1:11">
      <c r="A693" s="63" t="e">
        <f>CONCATENATE(" Total days (",B626," YTD)")</f>
        <v>#REF!</v>
      </c>
      <c r="D693" s="112" t="e">
        <f>IF(D626="",0,(D626-C626)+1)</f>
        <v>#REF!</v>
      </c>
      <c r="F693" s="112"/>
      <c r="G693" s="111" t="s">
        <v>303</v>
      </c>
      <c r="H693" s="149"/>
      <c r="I693" s="149"/>
      <c r="J693" s="149"/>
    </row>
    <row r="694" spans="1:11">
      <c r="A694" s="63" t="e">
        <f>CONCATENATE(" Total days (",B627,")")</f>
        <v>#REF!</v>
      </c>
      <c r="D694" s="112" t="e">
        <f>IF(D668=TRUE(),(D627-C627)+1,0)</f>
        <v>#REF!</v>
      </c>
      <c r="F694" s="112"/>
      <c r="G694" s="111" t="s">
        <v>303</v>
      </c>
      <c r="H694" s="149"/>
      <c r="I694" s="149"/>
      <c r="J694" s="149"/>
    </row>
    <row r="695" spans="1:11">
      <c r="A695" s="65" t="s">
        <v>304</v>
      </c>
      <c r="D695" s="112" t="e">
        <f>SUM(D693:D694)</f>
        <v>#REF!</v>
      </c>
      <c r="F695" s="112"/>
      <c r="G695" s="111" t="s">
        <v>305</v>
      </c>
      <c r="H695" s="149"/>
      <c r="I695" s="149"/>
      <c r="J695" s="149"/>
    </row>
    <row r="696" spans="1:11">
      <c r="D696" s="112"/>
      <c r="F696" s="112"/>
      <c r="G696" s="149"/>
      <c r="H696" s="149"/>
      <c r="I696" s="149"/>
      <c r="J696" s="149"/>
    </row>
    <row r="697" spans="1:11">
      <c r="A697" s="63" t="e">
        <f>CONCATENATE(" Total weeks (",B626," YTD)")</f>
        <v>#REF!</v>
      </c>
      <c r="D697" s="112" t="e">
        <f>ROUND(D693/7,0)</f>
        <v>#REF!</v>
      </c>
      <c r="F697" s="112"/>
      <c r="G697" s="111" t="s">
        <v>306</v>
      </c>
      <c r="H697" s="149"/>
      <c r="I697" s="149"/>
      <c r="J697" s="149"/>
    </row>
    <row r="698" spans="1:11">
      <c r="A698" s="63" t="e">
        <f>CONCATENATE(" Total weeks (",B627,")")</f>
        <v>#REF!</v>
      </c>
      <c r="D698" s="112" t="e">
        <f>IF(D668=TRUE(),ROUND(D694/7,0),0)</f>
        <v>#REF!</v>
      </c>
      <c r="F698" s="112"/>
      <c r="G698" s="111" t="s">
        <v>306</v>
      </c>
      <c r="H698" s="149"/>
      <c r="I698" s="149"/>
      <c r="J698" s="149"/>
    </row>
    <row r="699" spans="1:11">
      <c r="A699" s="65" t="s">
        <v>307</v>
      </c>
      <c r="D699" s="112" t="e">
        <f>SUM(D697:D698)</f>
        <v>#REF!</v>
      </c>
      <c r="F699" s="112"/>
      <c r="G699" s="111" t="s">
        <v>308</v>
      </c>
      <c r="H699" s="149"/>
      <c r="I699" s="149"/>
      <c r="J699" s="149"/>
    </row>
    <row r="700" spans="1:11">
      <c r="D700" s="112"/>
      <c r="F700" s="112"/>
      <c r="G700" s="149"/>
      <c r="H700" s="149"/>
      <c r="I700" s="149"/>
      <c r="J700" s="149"/>
    </row>
    <row r="701" spans="1:11">
      <c r="A701" s="65" t="s">
        <v>309</v>
      </c>
      <c r="D701" s="112" t="e">
        <f>(D681*12)/52</f>
        <v>#REF!</v>
      </c>
      <c r="F701" s="112"/>
      <c r="G701" s="111" t="s">
        <v>310</v>
      </c>
      <c r="H701" s="149"/>
      <c r="I701" s="149"/>
      <c r="J701" s="149"/>
    </row>
    <row r="702" spans="1:11">
      <c r="A702" s="65" t="s">
        <v>311</v>
      </c>
      <c r="D702" s="112" t="e">
        <f>IF(OR(D618=0,D701=0),0,IF(OR(D618=A609,D618=A610,D618=A612),D616,D616/VLOOKUP(D618,A605:E613,3)))</f>
        <v>#REF!</v>
      </c>
      <c r="F702" s="112"/>
      <c r="G702" s="111" t="s">
        <v>312</v>
      </c>
      <c r="H702" s="149"/>
      <c r="I702" s="149"/>
      <c r="J702" s="149"/>
    </row>
    <row r="703" spans="1:11">
      <c r="A703" s="65" t="s">
        <v>313</v>
      </c>
      <c r="D703" s="147" t="e">
        <f>IF(D702=0,0,ROUND(D701/D702,1))</f>
        <v>#REF!</v>
      </c>
      <c r="E703" s="112"/>
      <c r="F703" s="112"/>
      <c r="G703" s="111" t="s">
        <v>314</v>
      </c>
      <c r="K703" s="112"/>
    </row>
    <row r="705" spans="1:13">
      <c r="A705" s="65" t="s">
        <v>315</v>
      </c>
      <c r="D705" s="148" t="e">
        <f>IF(OR(D618=A609,D618=A610,D618=A612),J629,D621)</f>
        <v>#REF!</v>
      </c>
      <c r="G705" s="111" t="s">
        <v>316</v>
      </c>
    </row>
    <row r="706" spans="1:13">
      <c r="A706" s="65" t="s">
        <v>289</v>
      </c>
      <c r="D706" s="148" t="e">
        <f>IF(OR(E626="",E626=0,A626=FALSE()),"",ROUND((((D626-C626)+1)/365)*12,1))</f>
        <v>#REF!</v>
      </c>
      <c r="F706" s="63" t="e">
        <f>VLOOKUP(D602,D520:G528,4)</f>
        <v>#N/A</v>
      </c>
      <c r="G706" s="111" t="s">
        <v>317</v>
      </c>
    </row>
    <row r="707" spans="1:13">
      <c r="A707" s="65" t="s">
        <v>318</v>
      </c>
      <c r="D707" s="112" t="e">
        <f>IF(OR(D705=0,D705="",D706=0,D706=""),0,ROUND(D705*D706,0))</f>
        <v>#REF!</v>
      </c>
      <c r="G707" s="111" t="s">
        <v>319</v>
      </c>
    </row>
    <row r="709" spans="1:13">
      <c r="A709" s="319" t="e">
        <f>CONCATENATE("STATISTICS  —  CALCULATIONS FOR ",#REF!," EARNINGS")</f>
        <v>#REF!</v>
      </c>
      <c r="B709" s="319"/>
      <c r="C709" s="319"/>
      <c r="D709" s="319"/>
      <c r="E709" s="319"/>
      <c r="F709" s="319"/>
      <c r="G709" s="319"/>
      <c r="H709" s="319"/>
      <c r="I709" s="319"/>
      <c r="J709" s="319"/>
      <c r="K709" s="319"/>
      <c r="L709" s="319"/>
      <c r="M709" s="319"/>
    </row>
    <row r="711" spans="1:13">
      <c r="A711" s="320" t="e">
        <f>CONCATENATE("Pay Type #1 -- ",#REF!)</f>
        <v>#REF!</v>
      </c>
      <c r="B711" s="320"/>
      <c r="C711" s="320"/>
      <c r="D711" s="320"/>
      <c r="E711" s="320"/>
      <c r="F711" s="320"/>
      <c r="G711" s="320"/>
      <c r="H711" s="320" t="s">
        <v>249</v>
      </c>
      <c r="I711" s="320"/>
      <c r="J711" s="320"/>
      <c r="K711" s="320" t="s">
        <v>250</v>
      </c>
      <c r="L711" s="320"/>
      <c r="M711" s="320"/>
    </row>
    <row r="712" spans="1:13">
      <c r="A712" s="116" t="s">
        <v>251</v>
      </c>
      <c r="B712" s="116" t="s">
        <v>91</v>
      </c>
      <c r="C712" s="116" t="s">
        <v>76</v>
      </c>
      <c r="D712" s="116" t="s">
        <v>77</v>
      </c>
      <c r="E712" s="116" t="s">
        <v>36</v>
      </c>
      <c r="F712" s="116" t="s">
        <v>68</v>
      </c>
      <c r="G712" s="116" t="s">
        <v>1</v>
      </c>
      <c r="H712" s="116" t="s">
        <v>74</v>
      </c>
      <c r="I712" s="116" t="s">
        <v>68</v>
      </c>
      <c r="J712" s="116" t="s">
        <v>36</v>
      </c>
      <c r="K712" s="116" t="s">
        <v>252</v>
      </c>
      <c r="L712" s="116" t="s">
        <v>253</v>
      </c>
      <c r="M712" s="116" t="s">
        <v>254</v>
      </c>
    </row>
    <row r="713" spans="1:13">
      <c r="A713" s="117" t="b">
        <f>TRUE()</f>
        <v>1</v>
      </c>
      <c r="B713" s="118" t="e">
        <f>#REF!</f>
        <v>#REF!</v>
      </c>
      <c r="C713" s="119" t="e">
        <f>#REF!</f>
        <v>#REF!</v>
      </c>
      <c r="D713" s="119" t="e">
        <f>#REF!</f>
        <v>#REF!</v>
      </c>
      <c r="E713" s="120" t="e">
        <f>#REF!</f>
        <v>#REF!</v>
      </c>
      <c r="F713" s="121" t="e">
        <f>IF(OR(E713="",E713=0),"",ROUND((((D713-C713)+1)/365)*12,1))</f>
        <v>#REF!</v>
      </c>
      <c r="G713" s="122" t="e">
        <f>IF(OR(E713="",E713=0),"",ROUND(E713/F713,0))</f>
        <v>#REF!</v>
      </c>
      <c r="H713" s="122" t="e">
        <f>IF(A713=TRUE(),E713,0)</f>
        <v>#REF!</v>
      </c>
      <c r="I713" s="123" t="e">
        <f>IF(A713=TRUE(),F713,0)</f>
        <v>#REF!</v>
      </c>
      <c r="J713" s="122" t="e">
        <f>IF(OR(A713=FALSE(),H713=0,I713=0),0,ROUND(H713/I713,0))</f>
        <v>#REF!</v>
      </c>
      <c r="K713" s="121" t="e">
        <f>IF(OR(G713="",G713=0,G714="",G714=0),100,IF(G713&gt;G714,((G713-G714)/G714)*100,((G714-G713)/G714)*100))</f>
        <v>#REF!</v>
      </c>
      <c r="L713" s="81" t="e">
        <f>IF(G713&gt;G714,"Increase","Decrease")</f>
        <v>#REF!</v>
      </c>
      <c r="M713" s="81" t="e">
        <f>IF(AND(A713=TRUE(),E713&gt;0),TRUE(),FALSE())</f>
        <v>#REF!</v>
      </c>
    </row>
    <row r="714" spans="1:13">
      <c r="A714" s="39" t="b">
        <f>TRUE()</f>
        <v>1</v>
      </c>
      <c r="B714" s="118" t="e">
        <f>#REF!</f>
        <v>#REF!</v>
      </c>
      <c r="C714" s="119" t="e">
        <f>#REF!</f>
        <v>#REF!</v>
      </c>
      <c r="D714" s="119" t="e">
        <f>#REF!</f>
        <v>#REF!</v>
      </c>
      <c r="E714" s="120" t="e">
        <f>#REF!</f>
        <v>#REF!</v>
      </c>
      <c r="F714" s="121" t="e">
        <f>IF(OR(E714="",E714=0),"",ROUND((((D714-C714)+1)/365)*12,1))</f>
        <v>#REF!</v>
      </c>
      <c r="G714" s="122" t="e">
        <f>IF(OR(E714="",E714=0),"",ROUND(E714/F714,0))</f>
        <v>#REF!</v>
      </c>
      <c r="H714" s="122" t="e">
        <f>IF(A714=TRUE(),E714,0)</f>
        <v>#REF!</v>
      </c>
      <c r="I714" s="123" t="e">
        <f>IF(A714=TRUE(),F714,0)</f>
        <v>#REF!</v>
      </c>
      <c r="J714" s="122" t="e">
        <f>IF(OR(A714=FALSE(),H714=0,I714=0),0,ROUND(H714/I714,0))</f>
        <v>#REF!</v>
      </c>
      <c r="K714" s="121" t="e">
        <f>IF(OR(G714="",G714=0,G715="",G715=0),100,IF(G714&gt;G715,((G714-G715)/G715)*100,((G715-G714)/G715)*100))</f>
        <v>#REF!</v>
      </c>
      <c r="L714" s="81" t="e">
        <f>IF(G714&gt;G715,"Increase","Decrease")</f>
        <v>#REF!</v>
      </c>
      <c r="M714" s="81" t="e">
        <f>IF(AND(A714=TRUE(),E714&gt;0),TRUE(),FALSE())</f>
        <v>#REF!</v>
      </c>
    </row>
    <row r="715" spans="1:13">
      <c r="A715" s="39" t="b">
        <f>TRUE()</f>
        <v>1</v>
      </c>
      <c r="B715" s="118" t="e">
        <f>#REF!</f>
        <v>#REF!</v>
      </c>
      <c r="C715" s="119" t="e">
        <f>#REF!</f>
        <v>#REF!</v>
      </c>
      <c r="D715" s="119" t="e">
        <f>#REF!</f>
        <v>#REF!</v>
      </c>
      <c r="E715" s="120" t="e">
        <f>#REF!</f>
        <v>#REF!</v>
      </c>
      <c r="F715" s="121" t="e">
        <f>IF(OR(E715="",E715=0),"",ROUND((((D715-C715)+1)/365)*12,1))</f>
        <v>#REF!</v>
      </c>
      <c r="G715" s="122" t="e">
        <f>IF(OR(E715="",E715=0),"",ROUND(E715/F715,0))</f>
        <v>#REF!</v>
      </c>
      <c r="H715" s="122" t="e">
        <f>IF(A715=TRUE(),E715,0)</f>
        <v>#REF!</v>
      </c>
      <c r="I715" s="123" t="e">
        <f>IF(A715=TRUE(),F715,0)</f>
        <v>#REF!</v>
      </c>
      <c r="J715" s="122" t="e">
        <f>IF(OR(A715=FALSE(),H715=0,I715=0),0,ROUND(H715/I715,0))</f>
        <v>#REF!</v>
      </c>
      <c r="K715" s="121" t="e">
        <f>IF(OR(G713="",G713=0,G715="",G715=0),100,IF(G713&gt;G715,((G713-G715)/G715)*100,((G715-G713)/G715)*100))</f>
        <v>#REF!</v>
      </c>
      <c r="L715" s="81" t="e">
        <f>IF(G713&gt;G715,"Increase","Decrease")</f>
        <v>#REF!</v>
      </c>
      <c r="M715" s="81" t="e">
        <f>IF(AND(A715=TRUE(),E715&gt;0),TRUE(),FALSE())</f>
        <v>#REF!</v>
      </c>
    </row>
    <row r="716" spans="1:13">
      <c r="A716" s="78" t="s">
        <v>255</v>
      </c>
      <c r="B716" s="128"/>
      <c r="C716" s="129"/>
      <c r="D716" s="129"/>
      <c r="E716" s="130" t="e">
        <f>SUM(E713:E715)</f>
        <v>#REF!</v>
      </c>
      <c r="F716" s="131" t="e">
        <f>SUM(F713:F715)</f>
        <v>#REF!</v>
      </c>
      <c r="G716" s="127" t="e">
        <f>IF(F716=0,0,ROUND(E716/F716,0))</f>
        <v>#REF!</v>
      </c>
      <c r="H716" s="127" t="e">
        <f>IF(SUM(E713:E715)=0,0,ROUND(SUM(H713:H715),0))</f>
        <v>#REF!</v>
      </c>
      <c r="I716" s="47" t="e">
        <f>IF(SUM(F713:F715)=0,0,ROUND(SUM(I713:I715),1))</f>
        <v>#REF!</v>
      </c>
      <c r="J716" s="127" t="e">
        <f>IF(I716=0,0,ROUND(H716/I716,0))</f>
        <v>#REF!</v>
      </c>
      <c r="K716" s="129"/>
      <c r="L716" s="129"/>
      <c r="M716" s="129"/>
    </row>
    <row r="717" spans="1:13">
      <c r="B717" s="112"/>
      <c r="C717" s="140"/>
      <c r="D717" s="40"/>
    </row>
    <row r="718" spans="1:13">
      <c r="A718" s="319" t="e">
        <f>CONCATENATE("STATISTICS  —  VARIANCES IN ",#REF!," EARNINGS")</f>
        <v>#REF!</v>
      </c>
      <c r="B718" s="319"/>
      <c r="C718" s="319"/>
      <c r="D718" s="319"/>
      <c r="E718" s="319"/>
      <c r="F718" s="319"/>
      <c r="G718" s="319"/>
      <c r="H718" s="319"/>
      <c r="I718" s="319"/>
      <c r="J718" s="319"/>
      <c r="K718" s="319"/>
      <c r="L718" s="319"/>
      <c r="M718" s="319"/>
    </row>
    <row r="719" spans="1:13">
      <c r="B719" s="112"/>
      <c r="C719" s="140"/>
      <c r="D719" s="40"/>
    </row>
    <row r="720" spans="1:13">
      <c r="A720" s="316"/>
      <c r="B720" s="316"/>
      <c r="C720" s="141" t="s">
        <v>277</v>
      </c>
      <c r="D720" s="142" t="s">
        <v>278</v>
      </c>
      <c r="E720" s="142" t="s">
        <v>279</v>
      </c>
      <c r="F720" s="143" t="s">
        <v>2</v>
      </c>
      <c r="G720" s="142" t="s">
        <v>280</v>
      </c>
      <c r="H720" s="317" t="s">
        <v>232</v>
      </c>
      <c r="I720" s="317"/>
      <c r="J720" s="317"/>
      <c r="K720" s="317"/>
      <c r="L720" s="317"/>
    </row>
    <row r="721" spans="1:13">
      <c r="A721" s="318" t="e">
        <f>CONCATENATE(" Total ",B713," YTD")</f>
        <v>#REF!</v>
      </c>
      <c r="B721" s="318"/>
      <c r="C721" s="41" t="e">
        <f>IF(OR(G713=0,G713=""),0,G713)</f>
        <v>#REF!</v>
      </c>
      <c r="D721" s="41" t="e">
        <f>ABS(C721-C722)</f>
        <v>#REF!</v>
      </c>
      <c r="E721" s="144" t="e">
        <f>IF(C722=0,100%,D721/C722)</f>
        <v>#REF!</v>
      </c>
      <c r="F721" s="145" t="e">
        <f>IF(C721&gt;C722," Increase"," Decrease")</f>
        <v>#REF!</v>
      </c>
      <c r="G721" s="146" t="e">
        <f>IF((C722+(C722*E721))=C721,"PASS","FAIL")</f>
        <v>#REF!</v>
      </c>
      <c r="H721" s="318" t="e">
        <f>IF(C721=""," ",IF(AND(C722=0,C721=0),CONCATENATE(B714," to ",B713," = N/A"),IF(AND(C722=0,C721&gt;0),CONCATENATE(B714," to ",B713," = 100% Increase"),IF(AND(C722&gt;0,C721=0),CONCATENATE(B714," to ",B713," = 100% Decrease"),IF(AND(C722&gt;0,C721&gt;0),CONCATENATE(B714," to ",B713," = ",TEXT(E721,"###.0%"),F721))))))</f>
        <v>#REF!</v>
      </c>
      <c r="I721" s="318"/>
      <c r="J721" s="318"/>
      <c r="K721" s="318"/>
      <c r="L721" s="318"/>
    </row>
    <row r="722" spans="1:13">
      <c r="A722" s="318" t="e">
        <f>CONCATENATE(" Total ",B714)</f>
        <v>#REF!</v>
      </c>
      <c r="B722" s="318"/>
      <c r="C722" s="41" t="e">
        <f>IF(OR(G714=0,G714=""),0,G714)</f>
        <v>#REF!</v>
      </c>
      <c r="D722" s="41" t="e">
        <f>ABS(C722-C723)</f>
        <v>#REF!</v>
      </c>
      <c r="E722" s="144" t="e">
        <f>IF(C723=0,100%,D722/C723)</f>
        <v>#REF!</v>
      </c>
      <c r="F722" s="145" t="e">
        <f>IF(C722&gt;C723," Increase"," Decrease")</f>
        <v>#REF!</v>
      </c>
      <c r="G722" s="146" t="e">
        <f>IF((C723+(C723*E722))=C722,"PASS","FAIL")</f>
        <v>#REF!</v>
      </c>
      <c r="H722" s="318" t="e">
        <f>IF(C722=""," ",IF(AND(C723=0,C722=0),CONCATENATE(B715," to ",B714," = Undetermined"),IF(AND(C723=0,C722&gt;0),CONCATENATE(B715," to ",B714," = 100% Increase"),IF(AND(C723&gt;0,C722=0),CONCATENATE(B715," to ",B714," = 100% Decrease"),IF(AND(C723&gt;0,C722&gt;0),CONCATENATE(B715," to ",B714," = ",TEXT(E722,"###.0%"),F722))))))</f>
        <v>#REF!</v>
      </c>
      <c r="I722" s="318"/>
      <c r="J722" s="318"/>
      <c r="K722" s="318"/>
      <c r="L722" s="318"/>
    </row>
    <row r="723" spans="1:13">
      <c r="A723" s="318" t="str">
        <f>CONCATENATE(" Total ",B2773)</f>
        <v xml:space="preserve"> Total </v>
      </c>
      <c r="B723" s="318"/>
      <c r="C723" s="41" t="e">
        <f>IF(OR(G715=0,G715=""),0,G715)</f>
        <v>#REF!</v>
      </c>
      <c r="D723" s="41" t="e">
        <f>ABS(C721-C723)</f>
        <v>#REF!</v>
      </c>
      <c r="E723" s="144" t="e">
        <f>IF(C723=0,100%,D723/C723)</f>
        <v>#REF!</v>
      </c>
      <c r="F723" s="145" t="e">
        <f>IF(C723&gt;C724," Increase"," Decrease")</f>
        <v>#REF!</v>
      </c>
      <c r="G723" s="146" t="e">
        <f>IF((C723+(C723*E723))=C721,"PASS","FAIL")</f>
        <v>#REF!</v>
      </c>
      <c r="H723" s="318"/>
      <c r="I723" s="318"/>
      <c r="J723" s="318"/>
      <c r="K723" s="318"/>
      <c r="L723" s="318"/>
    </row>
    <row r="724" spans="1:13">
      <c r="C724" s="42"/>
    </row>
    <row r="725" spans="1:13">
      <c r="A725" s="65" t="s">
        <v>339</v>
      </c>
      <c r="C725" s="63" t="e">
        <f>CONCATENATE("Variance in Earnings:  ",H722,"  &amp;  ",H721)</f>
        <v>#REF!</v>
      </c>
    </row>
    <row r="727" spans="1:13">
      <c r="A727" s="319" t="e">
        <f>CONCATENATE("STATISTICS  —  CALCULATIONS FOR ",#REF!," EARNINGS")</f>
        <v>#REF!</v>
      </c>
      <c r="B727" s="319"/>
      <c r="C727" s="319"/>
      <c r="D727" s="319"/>
      <c r="E727" s="319"/>
      <c r="F727" s="319"/>
      <c r="G727" s="319"/>
      <c r="H727" s="319"/>
      <c r="I727" s="319"/>
      <c r="J727" s="319"/>
      <c r="K727" s="319"/>
      <c r="L727" s="319"/>
      <c r="M727" s="319"/>
    </row>
    <row r="729" spans="1:13">
      <c r="A729" s="320" t="e">
        <f>CONCATENATE("Pay Type #3 -- ",#REF!)</f>
        <v>#REF!</v>
      </c>
      <c r="B729" s="320"/>
      <c r="C729" s="320"/>
      <c r="D729" s="320"/>
      <c r="E729" s="320"/>
      <c r="F729" s="320"/>
      <c r="G729" s="320"/>
      <c r="H729" s="320" t="s">
        <v>249</v>
      </c>
      <c r="I729" s="320"/>
      <c r="J729" s="320"/>
      <c r="K729" s="320" t="s">
        <v>250</v>
      </c>
      <c r="L729" s="320"/>
      <c r="M729" s="320"/>
    </row>
    <row r="730" spans="1:13">
      <c r="A730" s="116" t="s">
        <v>251</v>
      </c>
      <c r="B730" s="116" t="s">
        <v>91</v>
      </c>
      <c r="C730" s="116" t="s">
        <v>76</v>
      </c>
      <c r="D730" s="116" t="s">
        <v>77</v>
      </c>
      <c r="E730" s="116" t="s">
        <v>36</v>
      </c>
      <c r="F730" s="116" t="s">
        <v>68</v>
      </c>
      <c r="G730" s="116" t="s">
        <v>1</v>
      </c>
      <c r="H730" s="116" t="s">
        <v>74</v>
      </c>
      <c r="I730" s="116" t="s">
        <v>68</v>
      </c>
      <c r="J730" s="116" t="s">
        <v>36</v>
      </c>
      <c r="K730" s="116" t="s">
        <v>252</v>
      </c>
      <c r="L730" s="116" t="s">
        <v>253</v>
      </c>
      <c r="M730" s="116" t="s">
        <v>254</v>
      </c>
    </row>
    <row r="731" spans="1:13">
      <c r="A731" s="117" t="b">
        <f>FALSE()</f>
        <v>0</v>
      </c>
      <c r="B731" s="118" t="e">
        <f>#REF!</f>
        <v>#REF!</v>
      </c>
      <c r="C731" s="119" t="e">
        <f>#REF!</f>
        <v>#REF!</v>
      </c>
      <c r="D731" s="119" t="e">
        <f>#REF!</f>
        <v>#REF!</v>
      </c>
      <c r="E731" s="120" t="e">
        <f>#REF!</f>
        <v>#REF!</v>
      </c>
      <c r="F731" s="121" t="e">
        <f>IF(OR(E731="",E731=0),"",ROUND((((D731-C731)+1)/365)*12,1))</f>
        <v>#REF!</v>
      </c>
      <c r="G731" s="122" t="e">
        <f>IF(OR(E731="",E731=0),"",ROUND(E731/F731,0))</f>
        <v>#REF!</v>
      </c>
      <c r="H731" s="122">
        <f>IF(A731=TRUE(),E731,0)</f>
        <v>0</v>
      </c>
      <c r="I731" s="123">
        <f>IF(A731=TRUE(),F731,0)</f>
        <v>0</v>
      </c>
      <c r="J731" s="122">
        <f>IF(OR(A731=FALSE(),H731=0,I731=0),0,ROUND(H731/I731,0))</f>
        <v>0</v>
      </c>
      <c r="K731" s="121" t="e">
        <f>IF(OR(G731="",G731=0,G732="",G732=0),100,IF(G731&gt;G732,((G731-G732)/G732)*100,((G732-G731)/G732)*100))</f>
        <v>#REF!</v>
      </c>
      <c r="L731" s="81" t="e">
        <f>IF(G731&gt;G732,"Increase","Decrease")</f>
        <v>#REF!</v>
      </c>
      <c r="M731" s="81" t="e">
        <f>IF(AND(A731=TRUE(),E731&gt;0),TRUE(),FALSE())</f>
        <v>#REF!</v>
      </c>
    </row>
    <row r="732" spans="1:13">
      <c r="A732" s="39" t="b">
        <f>FALSE()</f>
        <v>0</v>
      </c>
      <c r="B732" s="118" t="e">
        <f>#REF!</f>
        <v>#REF!</v>
      </c>
      <c r="C732" s="119" t="e">
        <f>#REF!</f>
        <v>#REF!</v>
      </c>
      <c r="D732" s="119" t="e">
        <f>#REF!</f>
        <v>#REF!</v>
      </c>
      <c r="E732" s="120" t="e">
        <f>#REF!</f>
        <v>#REF!</v>
      </c>
      <c r="F732" s="121" t="e">
        <f>IF(OR(E732="",E732=0),"",ROUND((((D732-C732)+1)/365)*12,1))</f>
        <v>#REF!</v>
      </c>
      <c r="G732" s="122" t="e">
        <f>IF(OR(E732="",E732=0),"",ROUND(E732/F732,0))</f>
        <v>#REF!</v>
      </c>
      <c r="H732" s="122">
        <f>IF(A732=TRUE(),E732,0)</f>
        <v>0</v>
      </c>
      <c r="I732" s="123">
        <f>IF(A732=TRUE(),F732,0)</f>
        <v>0</v>
      </c>
      <c r="J732" s="122">
        <f>IF(OR(A732=FALSE(),H732=0,I732=0),0,ROUND(H732/I732,0))</f>
        <v>0</v>
      </c>
      <c r="K732" s="121" t="e">
        <f>IF(OR(G732="",G732=0,G733="",G733=0),100,IF(G732&gt;G733,((G732-G733)/G733)*100,((G733-G732)/G733)*100))</f>
        <v>#REF!</v>
      </c>
      <c r="L732" s="81" t="e">
        <f>IF(G732&gt;G733,"Increase","Decrease")</f>
        <v>#REF!</v>
      </c>
      <c r="M732" s="81" t="e">
        <f>IF(AND(A732=TRUE(),E732&gt;0),TRUE(),FALSE())</f>
        <v>#REF!</v>
      </c>
    </row>
    <row r="733" spans="1:13">
      <c r="A733" s="39" t="b">
        <f>FALSE()</f>
        <v>0</v>
      </c>
      <c r="B733" s="118" t="e">
        <f>#REF!</f>
        <v>#REF!</v>
      </c>
      <c r="C733" s="119" t="e">
        <f>#REF!</f>
        <v>#REF!</v>
      </c>
      <c r="D733" s="119" t="e">
        <f>#REF!</f>
        <v>#REF!</v>
      </c>
      <c r="E733" s="120" t="e">
        <f>#REF!</f>
        <v>#REF!</v>
      </c>
      <c r="F733" s="121" t="e">
        <f>IF(OR(E733="",E733=0),"",ROUND((((D733-C733)+1)/365)*12,1))</f>
        <v>#REF!</v>
      </c>
      <c r="G733" s="122" t="e">
        <f>IF(OR(E733="",E733=0),"",ROUND(E733/F733,0))</f>
        <v>#REF!</v>
      </c>
      <c r="H733" s="122">
        <f>IF(A733=TRUE(),E733,0)</f>
        <v>0</v>
      </c>
      <c r="I733" s="123">
        <f>IF(A733=TRUE(),F733,0)</f>
        <v>0</v>
      </c>
      <c r="J733" s="122">
        <f>IF(OR(A733=FALSE(),H733=0,I733=0),0,ROUND(H733/I733,0))</f>
        <v>0</v>
      </c>
      <c r="K733" s="121" t="e">
        <f>IF(OR(G731="",G731=0,G733="",G733=0),100,IF(G731&gt;G733,((G731-G733)/G733)*100,((G733-G731)/G733)*100))</f>
        <v>#REF!</v>
      </c>
      <c r="L733" s="81" t="e">
        <f>IF(G731&gt;G733,"Increase","Decrease")</f>
        <v>#REF!</v>
      </c>
      <c r="M733" s="81" t="e">
        <f>IF(AND(A733=TRUE(),E733&gt;0),TRUE(),FALSE())</f>
        <v>#REF!</v>
      </c>
    </row>
    <row r="734" spans="1:13">
      <c r="A734" s="78" t="s">
        <v>255</v>
      </c>
      <c r="B734" s="128"/>
      <c r="C734" s="129"/>
      <c r="D734" s="129"/>
      <c r="E734" s="130" t="e">
        <f>SUM(E731:E733)</f>
        <v>#REF!</v>
      </c>
      <c r="F734" s="131" t="e">
        <f>SUM(F731:F733)</f>
        <v>#REF!</v>
      </c>
      <c r="G734" s="127" t="e">
        <f>IF(F734=0,0,ROUND(E734/F734,0))</f>
        <v>#REF!</v>
      </c>
      <c r="H734" s="127" t="e">
        <f>IF(SUM(E731:E733)=0,0,ROUND(SUM(H731:H733),0))</f>
        <v>#REF!</v>
      </c>
      <c r="I734" s="47" t="e">
        <f>IF(SUM(F731:F733)=0,0,ROUND(SUM(I731:I733),1))</f>
        <v>#REF!</v>
      </c>
      <c r="J734" s="127" t="e">
        <f>IF(I734=0,0,ROUND(H734/I734,0))</f>
        <v>#REF!</v>
      </c>
      <c r="K734" s="129"/>
      <c r="L734" s="129"/>
      <c r="M734" s="129"/>
    </row>
    <row r="735" spans="1:13">
      <c r="B735" s="112"/>
      <c r="C735" s="140"/>
      <c r="D735" s="40"/>
    </row>
    <row r="736" spans="1:13">
      <c r="A736" s="319" t="e">
        <f>CONCATENATE("STATISTICS  —  VARIANCES IN ",#REF!," EARNINGS")</f>
        <v>#REF!</v>
      </c>
      <c r="B736" s="319"/>
      <c r="C736" s="319"/>
      <c r="D736" s="319"/>
      <c r="E736" s="319"/>
      <c r="F736" s="319"/>
      <c r="G736" s="319"/>
      <c r="H736" s="319"/>
      <c r="I736" s="319"/>
      <c r="J736" s="319"/>
      <c r="K736" s="319"/>
      <c r="L736" s="319"/>
      <c r="M736" s="319"/>
    </row>
    <row r="737" spans="1:13">
      <c r="B737" s="112"/>
      <c r="C737" s="140"/>
      <c r="D737" s="40"/>
    </row>
    <row r="738" spans="1:13">
      <c r="A738" s="316"/>
      <c r="B738" s="316"/>
      <c r="C738" s="141" t="s">
        <v>277</v>
      </c>
      <c r="D738" s="142" t="s">
        <v>278</v>
      </c>
      <c r="E738" s="142" t="s">
        <v>279</v>
      </c>
      <c r="F738" s="143" t="s">
        <v>2</v>
      </c>
      <c r="G738" s="142" t="s">
        <v>280</v>
      </c>
      <c r="H738" s="317" t="s">
        <v>232</v>
      </c>
      <c r="I738" s="317"/>
      <c r="J738" s="317"/>
      <c r="K738" s="317"/>
      <c r="L738" s="317"/>
    </row>
    <row r="739" spans="1:13">
      <c r="A739" s="318" t="e">
        <f>CONCATENATE(" Total ",B731," YTD")</f>
        <v>#REF!</v>
      </c>
      <c r="B739" s="318"/>
      <c r="C739" s="41" t="e">
        <f>IF(OR(G731=0,G731=""),0,G731)</f>
        <v>#REF!</v>
      </c>
      <c r="D739" s="41" t="e">
        <f>ABS(C739-C740)</f>
        <v>#REF!</v>
      </c>
      <c r="E739" s="144" t="e">
        <f>IF(C740=0,100%,D739/C740)</f>
        <v>#REF!</v>
      </c>
      <c r="F739" s="145" t="e">
        <f>IF(C739&gt;C740," Increase"," Decrease")</f>
        <v>#REF!</v>
      </c>
      <c r="G739" s="146" t="e">
        <f>IF((C740+(C740*E739))=C739,"PASS","FAIL")</f>
        <v>#REF!</v>
      </c>
      <c r="H739" s="318" t="e">
        <f>IF(C739=""," ",IF(AND(C740=0,C739=0),CONCATENATE(B732," to ",B731," = N/A"),IF(AND(C740=0,C739&gt;0),CONCATENATE(B732," to ",B731," = 100% Increase"),IF(AND(C740&gt;0,C739=0),CONCATENATE(B732," to ",B731," = 100% Decrease"),IF(AND(C740&gt;0,C739&gt;0),CONCATENATE(B732," to ",B731," = ",TEXT(E739,"###.0%"),F739))))))</f>
        <v>#REF!</v>
      </c>
      <c r="I739" s="318"/>
      <c r="J739" s="318"/>
      <c r="K739" s="318"/>
      <c r="L739" s="318"/>
    </row>
    <row r="740" spans="1:13">
      <c r="A740" s="318" t="e">
        <f>CONCATENATE(" Total ",B732)</f>
        <v>#REF!</v>
      </c>
      <c r="B740" s="318"/>
      <c r="C740" s="41" t="e">
        <f>IF(OR(G732=0,G732=""),0,G732)</f>
        <v>#REF!</v>
      </c>
      <c r="D740" s="41" t="e">
        <f>ABS(C740-C741)</f>
        <v>#REF!</v>
      </c>
      <c r="E740" s="144" t="e">
        <f>IF(C741=0,100%,D740/C741)</f>
        <v>#REF!</v>
      </c>
      <c r="F740" s="145" t="e">
        <f>IF(C740&gt;C741," Increase"," Decrease")</f>
        <v>#REF!</v>
      </c>
      <c r="G740" s="146" t="e">
        <f>IF((C741+(C741*E740))=C740,"PASS","FAIL")</f>
        <v>#REF!</v>
      </c>
      <c r="H740" s="318" t="e">
        <f>IF(C740=""," ",IF(AND(C741=0,C740=0),CONCATENATE(B733," to ",B732," = Undetermined"),IF(AND(C741=0,C740&gt;0),CONCATENATE(B733," to ",B732," = 100% Increase"),IF(AND(C741&gt;0,C740=0),CONCATENATE(B733," to ",B732," = 100% Decrease"),IF(AND(C741&gt;0,C740&gt;0),CONCATENATE(B733," to ",B732," = ",TEXT(E740,"###.0%"),F740))))))</f>
        <v>#REF!</v>
      </c>
      <c r="I740" s="318"/>
      <c r="J740" s="318"/>
      <c r="K740" s="318"/>
      <c r="L740" s="318"/>
    </row>
    <row r="741" spans="1:13">
      <c r="A741" s="318" t="str">
        <f>CONCATENATE(" Total ",B2794)</f>
        <v xml:space="preserve"> Total </v>
      </c>
      <c r="B741" s="318"/>
      <c r="C741" s="41" t="e">
        <f>IF(OR(G733=0,G733=""),0,G733)</f>
        <v>#REF!</v>
      </c>
      <c r="D741" s="41" t="e">
        <f>ABS(C739-C741)</f>
        <v>#REF!</v>
      </c>
      <c r="E741" s="144" t="e">
        <f>IF(C741=0,100%,D741/C741)</f>
        <v>#REF!</v>
      </c>
      <c r="F741" s="145" t="e">
        <f>IF(C741&gt;C742," Increase"," Decrease")</f>
        <v>#REF!</v>
      </c>
      <c r="G741" s="146" t="e">
        <f>IF((C741+(C741*E741))=C739,"PASS","FAIL")</f>
        <v>#REF!</v>
      </c>
      <c r="H741" s="318"/>
      <c r="I741" s="318"/>
      <c r="J741" s="318"/>
      <c r="K741" s="318"/>
      <c r="L741" s="318"/>
    </row>
    <row r="742" spans="1:13">
      <c r="C742" s="42"/>
    </row>
    <row r="743" spans="1:13">
      <c r="A743" s="65" t="s">
        <v>339</v>
      </c>
      <c r="C743" s="63" t="e">
        <f>CONCATENATE("Variance in Earnings:  ",H740,"  &amp;  ",H739)</f>
        <v>#REF!</v>
      </c>
    </row>
    <row r="745" spans="1:13">
      <c r="A745" s="319" t="e">
        <f>CONCATENATE("STATISTICS  —  CALCULATIONS FOR ",#REF!," EARNINGS")</f>
        <v>#REF!</v>
      </c>
      <c r="B745" s="319"/>
      <c r="C745" s="319"/>
      <c r="D745" s="319"/>
      <c r="E745" s="319"/>
      <c r="F745" s="319"/>
      <c r="G745" s="319"/>
      <c r="H745" s="319"/>
      <c r="I745" s="319"/>
      <c r="J745" s="319"/>
      <c r="K745" s="319"/>
      <c r="L745" s="319"/>
      <c r="M745" s="319"/>
    </row>
    <row r="747" spans="1:13">
      <c r="A747" s="320" t="e">
        <f>CONCATENATE("Pay Type #3 -- ",#REF!)</f>
        <v>#REF!</v>
      </c>
      <c r="B747" s="320"/>
      <c r="C747" s="320"/>
      <c r="D747" s="320"/>
      <c r="E747" s="320"/>
      <c r="F747" s="320"/>
      <c r="G747" s="320"/>
      <c r="H747" s="320" t="s">
        <v>249</v>
      </c>
      <c r="I747" s="320"/>
      <c r="J747" s="320"/>
      <c r="K747" s="320" t="s">
        <v>250</v>
      </c>
      <c r="L747" s="320"/>
      <c r="M747" s="320"/>
    </row>
    <row r="748" spans="1:13">
      <c r="A748" s="116" t="s">
        <v>251</v>
      </c>
      <c r="B748" s="116" t="s">
        <v>91</v>
      </c>
      <c r="C748" s="116" t="s">
        <v>76</v>
      </c>
      <c r="D748" s="116" t="s">
        <v>77</v>
      </c>
      <c r="E748" s="116" t="s">
        <v>36</v>
      </c>
      <c r="F748" s="116" t="s">
        <v>68</v>
      </c>
      <c r="G748" s="116" t="s">
        <v>1</v>
      </c>
      <c r="H748" s="116" t="s">
        <v>74</v>
      </c>
      <c r="I748" s="116" t="s">
        <v>68</v>
      </c>
      <c r="J748" s="116" t="s">
        <v>36</v>
      </c>
      <c r="K748" s="116" t="s">
        <v>252</v>
      </c>
      <c r="L748" s="116" t="s">
        <v>253</v>
      </c>
      <c r="M748" s="116" t="s">
        <v>254</v>
      </c>
    </row>
    <row r="749" spans="1:13">
      <c r="A749" s="117" t="b">
        <f>FALSE()</f>
        <v>0</v>
      </c>
      <c r="B749" s="118" t="e">
        <f>#REF!</f>
        <v>#REF!</v>
      </c>
      <c r="C749" s="119" t="e">
        <f>#REF!</f>
        <v>#REF!</v>
      </c>
      <c r="D749" s="119" t="e">
        <f>#REF!</f>
        <v>#REF!</v>
      </c>
      <c r="E749" s="120" t="e">
        <f>#REF!</f>
        <v>#REF!</v>
      </c>
      <c r="F749" s="121" t="e">
        <f>IF(OR(E749="",E749=0),"",ROUND((((D749-C749)+1)/365)*12,1))</f>
        <v>#REF!</v>
      </c>
      <c r="G749" s="122" t="e">
        <f>IF(OR(E749="",E749=0),"",ROUND(E749/F749,0))</f>
        <v>#REF!</v>
      </c>
      <c r="H749" s="122">
        <f>IF(A749=TRUE(),E749,0)</f>
        <v>0</v>
      </c>
      <c r="I749" s="123">
        <f>IF(A749=TRUE(),F749,0)</f>
        <v>0</v>
      </c>
      <c r="J749" s="122">
        <f>IF(OR(A749=FALSE(),H749=0,I749=0),0,ROUND(H749/I749,0))</f>
        <v>0</v>
      </c>
      <c r="K749" s="121" t="e">
        <f>IF(OR(G749="",G749=0,G750="",G750=0),100,IF(G749&gt;G750,((G749-G750)/G750)*100,((G750-G749)/G750)*100))</f>
        <v>#REF!</v>
      </c>
      <c r="L749" s="81" t="e">
        <f>IF(G749&gt;G750,"Increase","Decrease")</f>
        <v>#REF!</v>
      </c>
      <c r="M749" s="81" t="e">
        <f>IF(AND(A749=TRUE(),E749&gt;0),TRUE(),FALSE())</f>
        <v>#REF!</v>
      </c>
    </row>
    <row r="750" spans="1:13">
      <c r="A750" s="39" t="b">
        <f>FALSE()</f>
        <v>0</v>
      </c>
      <c r="B750" s="118" t="e">
        <f>#REF!</f>
        <v>#REF!</v>
      </c>
      <c r="C750" s="119" t="e">
        <f>#REF!</f>
        <v>#REF!</v>
      </c>
      <c r="D750" s="119" t="e">
        <f>#REF!</f>
        <v>#REF!</v>
      </c>
      <c r="E750" s="120" t="e">
        <f>#REF!</f>
        <v>#REF!</v>
      </c>
      <c r="F750" s="121" t="e">
        <f>IF(OR(E750="",E750=0),"",ROUND((((D750-C750)+1)/365)*12,1))</f>
        <v>#REF!</v>
      </c>
      <c r="G750" s="122" t="e">
        <f>IF(OR(E750="",E750=0),"",ROUND(E750/F750,0))</f>
        <v>#REF!</v>
      </c>
      <c r="H750" s="122">
        <f>IF(A750=TRUE(),E750,0)</f>
        <v>0</v>
      </c>
      <c r="I750" s="123">
        <f>IF(A750=TRUE(),F750,0)</f>
        <v>0</v>
      </c>
      <c r="J750" s="122">
        <f>IF(OR(A750=FALSE(),H750=0,I750=0),0,ROUND(H750/I750,0))</f>
        <v>0</v>
      </c>
      <c r="K750" s="121" t="e">
        <f>IF(OR(G750="",G750=0,G751="",G751=0),100,IF(G750&gt;G751,((G750-G751)/G751)*100,((G751-G750)/G751)*100))</f>
        <v>#REF!</v>
      </c>
      <c r="L750" s="81" t="e">
        <f>IF(G750&gt;G751,"Increase","Decrease")</f>
        <v>#REF!</v>
      </c>
      <c r="M750" s="81" t="e">
        <f>IF(AND(A750=TRUE(),E750&gt;0),TRUE(),FALSE())</f>
        <v>#REF!</v>
      </c>
    </row>
    <row r="751" spans="1:13">
      <c r="A751" s="39" t="b">
        <f>FALSE()</f>
        <v>0</v>
      </c>
      <c r="B751" s="118" t="e">
        <f>#REF!</f>
        <v>#REF!</v>
      </c>
      <c r="C751" s="119" t="e">
        <f>#REF!</f>
        <v>#REF!</v>
      </c>
      <c r="D751" s="119" t="e">
        <f>#REF!</f>
        <v>#REF!</v>
      </c>
      <c r="E751" s="120" t="e">
        <f>#REF!</f>
        <v>#REF!</v>
      </c>
      <c r="F751" s="121" t="e">
        <f>IF(OR(E751="",E751=0),"",ROUND((((D751-C751)+1)/365)*12,1))</f>
        <v>#REF!</v>
      </c>
      <c r="G751" s="122" t="e">
        <f>IF(OR(E751="",E751=0),"",ROUND(E751/F751,0))</f>
        <v>#REF!</v>
      </c>
      <c r="H751" s="122">
        <f>IF(A751=TRUE(),E751,0)</f>
        <v>0</v>
      </c>
      <c r="I751" s="123">
        <f>IF(A751=TRUE(),F751,0)</f>
        <v>0</v>
      </c>
      <c r="J751" s="122">
        <f>IF(OR(A751=FALSE(),H751=0,I751=0),0,ROUND(H751/I751,0))</f>
        <v>0</v>
      </c>
      <c r="K751" s="121" t="e">
        <f>IF(OR(G749="",G749=0,G751="",G751=0),100,IF(G749&gt;G751,((G749-G751)/G751)*100,((G751-G749)/G751)*100))</f>
        <v>#REF!</v>
      </c>
      <c r="L751" s="81" t="e">
        <f>IF(G749&gt;G751,"Increase","Decrease")</f>
        <v>#REF!</v>
      </c>
      <c r="M751" s="81" t="e">
        <f>IF(AND(A751=TRUE(),E751&gt;0),TRUE(),FALSE())</f>
        <v>#REF!</v>
      </c>
    </row>
    <row r="752" spans="1:13">
      <c r="A752" s="78" t="s">
        <v>255</v>
      </c>
      <c r="B752" s="128"/>
      <c r="C752" s="129"/>
      <c r="D752" s="129"/>
      <c r="E752" s="130" t="e">
        <f>SUM(E749:E751)</f>
        <v>#REF!</v>
      </c>
      <c r="F752" s="131" t="e">
        <f>SUM(F749:F751)</f>
        <v>#REF!</v>
      </c>
      <c r="G752" s="127" t="e">
        <f>IF(F752=0,0,ROUND(E752/F752,0))</f>
        <v>#REF!</v>
      </c>
      <c r="H752" s="127" t="e">
        <f>IF(SUM(E749:E751)=0,0,ROUND(SUM(H749:H751),0))</f>
        <v>#REF!</v>
      </c>
      <c r="I752" s="47" t="e">
        <f>IF(SUM(F749:F751)=0,0,ROUND(SUM(I749:I751),1))</f>
        <v>#REF!</v>
      </c>
      <c r="J752" s="127" t="e">
        <f>IF(I752=0,0,ROUND(H752/I752,0))</f>
        <v>#REF!</v>
      </c>
      <c r="K752" s="129"/>
      <c r="L752" s="129"/>
      <c r="M752" s="129"/>
    </row>
    <row r="753" spans="1:13">
      <c r="B753" s="112"/>
      <c r="C753" s="140"/>
      <c r="D753" s="40"/>
    </row>
    <row r="754" spans="1:13">
      <c r="A754" s="319" t="e">
        <f>CONCATENATE("STATISTICS  —  VARIANCES IN ",#REF!," EARNINGS")</f>
        <v>#REF!</v>
      </c>
      <c r="B754" s="319"/>
      <c r="C754" s="319"/>
      <c r="D754" s="319"/>
      <c r="E754" s="319"/>
      <c r="F754" s="319"/>
      <c r="G754" s="319"/>
      <c r="H754" s="319"/>
      <c r="I754" s="319"/>
      <c r="J754" s="319"/>
      <c r="K754" s="319"/>
      <c r="L754" s="319"/>
      <c r="M754" s="319"/>
    </row>
    <row r="755" spans="1:13">
      <c r="B755" s="112"/>
      <c r="C755" s="140"/>
      <c r="D755" s="40"/>
    </row>
    <row r="756" spans="1:13">
      <c r="A756" s="316"/>
      <c r="B756" s="316"/>
      <c r="C756" s="141" t="s">
        <v>277</v>
      </c>
      <c r="D756" s="142" t="s">
        <v>278</v>
      </c>
      <c r="E756" s="142" t="s">
        <v>279</v>
      </c>
      <c r="F756" s="143" t="s">
        <v>2</v>
      </c>
      <c r="G756" s="142" t="s">
        <v>280</v>
      </c>
      <c r="H756" s="317" t="s">
        <v>232</v>
      </c>
      <c r="I756" s="317"/>
      <c r="J756" s="317"/>
      <c r="K756" s="317"/>
      <c r="L756" s="317"/>
    </row>
    <row r="757" spans="1:13">
      <c r="A757" s="318" t="e">
        <f>CONCATENATE(" Total ",B749," YTD")</f>
        <v>#REF!</v>
      </c>
      <c r="B757" s="318"/>
      <c r="C757" s="41" t="e">
        <f>IF(OR(G749=0,G749=""),0,G749)</f>
        <v>#REF!</v>
      </c>
      <c r="D757" s="41" t="e">
        <f>ABS(C757-C758)</f>
        <v>#REF!</v>
      </c>
      <c r="E757" s="144" t="e">
        <f>IF(C758=0,100%,D757/C758)</f>
        <v>#REF!</v>
      </c>
      <c r="F757" s="145" t="e">
        <f>IF(C757&gt;C758," Increase"," Decrease")</f>
        <v>#REF!</v>
      </c>
      <c r="G757" s="146" t="e">
        <f>IF((C758+(C758*E757))=C757,"PASS","FAIL")</f>
        <v>#REF!</v>
      </c>
      <c r="H757" s="318" t="e">
        <f>IF(C757=""," ",IF(AND(C758=0,C757=0),CONCATENATE(B750," to ",B749," = N/A"),IF(AND(C758=0,C757&gt;0),CONCATENATE(B750," to ",B749," = 100% Increase"),IF(AND(C758&gt;0,C757=0),CONCATENATE(B750," to ",B749," = 100% Decrease"),IF(AND(C758&gt;0,C757&gt;0),CONCATENATE(B750," to ",B749," = ",TEXT(E757,"###.0%"),F757))))))</f>
        <v>#REF!</v>
      </c>
      <c r="I757" s="318"/>
      <c r="J757" s="318"/>
      <c r="K757" s="318"/>
      <c r="L757" s="318"/>
    </row>
    <row r="758" spans="1:13">
      <c r="A758" s="318" t="e">
        <f>CONCATENATE(" Total ",B750)</f>
        <v>#REF!</v>
      </c>
      <c r="B758" s="318"/>
      <c r="C758" s="41" t="e">
        <f>IF(OR(G750=0,G750=""),0,G750)</f>
        <v>#REF!</v>
      </c>
      <c r="D758" s="41" t="e">
        <f>ABS(C758-C759)</f>
        <v>#REF!</v>
      </c>
      <c r="E758" s="144" t="e">
        <f>IF(C759=0,100%,D758/C759)</f>
        <v>#REF!</v>
      </c>
      <c r="F758" s="145" t="e">
        <f>IF(C758&gt;C759," Increase"," Decrease")</f>
        <v>#REF!</v>
      </c>
      <c r="G758" s="146" t="e">
        <f>IF((C759+(C759*E758))=C758,"PASS","FAIL")</f>
        <v>#REF!</v>
      </c>
      <c r="H758" s="318" t="e">
        <f>IF(C758=""," ",IF(AND(C759=0,C758=0),CONCATENATE(B751," to ",B750," = Undetermined"),IF(AND(C759=0,C758&gt;0),CONCATENATE(B751," to ",B750," = 100% Increase"),IF(AND(C759&gt;0,C758=0),CONCATENATE(B751," to ",B750," = 100% Decrease"),IF(AND(C759&gt;0,C758&gt;0),CONCATENATE(B751," to ",B750," = ",TEXT(E758,"###.0%"),F758))))))</f>
        <v>#REF!</v>
      </c>
      <c r="I758" s="318"/>
      <c r="J758" s="318"/>
      <c r="K758" s="318"/>
      <c r="L758" s="318"/>
    </row>
    <row r="759" spans="1:13">
      <c r="A759" s="318" t="str">
        <f>CONCATENATE(" Total ",B2815)</f>
        <v xml:space="preserve"> Total </v>
      </c>
      <c r="B759" s="318"/>
      <c r="C759" s="41" t="e">
        <f>IF(OR(G751=0,G751=""),0,G751)</f>
        <v>#REF!</v>
      </c>
      <c r="D759" s="41" t="e">
        <f>ABS(C757-C759)</f>
        <v>#REF!</v>
      </c>
      <c r="E759" s="144" t="e">
        <f>IF(C759=0,100%,D759/C759)</f>
        <v>#REF!</v>
      </c>
      <c r="F759" s="145" t="e">
        <f>IF(C759&gt;C760," Increase"," Decrease")</f>
        <v>#REF!</v>
      </c>
      <c r="G759" s="146" t="e">
        <f>IF((C759+(C759*E759))=C757,"PASS","FAIL")</f>
        <v>#REF!</v>
      </c>
      <c r="H759" s="318"/>
      <c r="I759" s="318"/>
      <c r="J759" s="318"/>
      <c r="K759" s="318"/>
      <c r="L759" s="318"/>
    </row>
    <row r="760" spans="1:13">
      <c r="C760" s="42"/>
    </row>
    <row r="761" spans="1:13">
      <c r="A761" s="65" t="s">
        <v>339</v>
      </c>
      <c r="C761" s="63" t="e">
        <f>CONCATENATE("Variance in Earnings:  ",H758,"  &amp;  ",H757)</f>
        <v>#REF!</v>
      </c>
    </row>
    <row r="762" spans="1:13">
      <c r="B762" s="112"/>
      <c r="C762" s="140"/>
      <c r="D762" s="40"/>
    </row>
    <row r="763" spans="1:13">
      <c r="A763" s="319" t="s">
        <v>271</v>
      </c>
      <c r="B763" s="319"/>
      <c r="C763" s="319"/>
      <c r="D763" s="319"/>
      <c r="E763" s="319"/>
      <c r="F763" s="319"/>
      <c r="G763" s="319"/>
      <c r="H763" s="319"/>
      <c r="I763" s="319"/>
      <c r="J763" s="319"/>
      <c r="K763" s="319"/>
      <c r="L763" s="319"/>
      <c r="M763" s="319"/>
    </row>
    <row r="765" spans="1:13">
      <c r="A765" s="65" t="s">
        <v>272</v>
      </c>
      <c r="D765" s="115" t="e">
        <f>G629</f>
        <v>#REF!</v>
      </c>
      <c r="F765" s="63" t="e">
        <f>IF(OR(D618=A609,D618=A610,D618=A612),CONCATENATE("total average earnings for the past ",I629," months"),"(lower of Current Rate or YTD avg, or explanation provided)")</f>
        <v>#REF!</v>
      </c>
    </row>
    <row r="766" spans="1:13">
      <c r="A766" s="65" t="s">
        <v>273</v>
      </c>
      <c r="D766" s="115">
        <f>IF(K648=0,0,IF(D650=TRUE(),K648,0))</f>
        <v>0</v>
      </c>
    </row>
    <row r="767" spans="1:13">
      <c r="A767" s="65" t="s">
        <v>275</v>
      </c>
      <c r="D767" s="115" t="e">
        <f>D765-D766</f>
        <v>#REF!</v>
      </c>
    </row>
    <row r="768" spans="1:13">
      <c r="D768" s="115"/>
    </row>
    <row r="769" spans="1:11">
      <c r="A769" s="63" t="e">
        <f>CONCATENATE(" Total ",A711)</f>
        <v>#REF!</v>
      </c>
      <c r="D769" s="115" t="b">
        <f>FALSE()</f>
        <v>0</v>
      </c>
    </row>
    <row r="770" spans="1:11">
      <c r="A770" s="63" t="e">
        <f>CONCATENATE(" Total ",A711)</f>
        <v>#REF!</v>
      </c>
      <c r="D770" s="115">
        <f>IF(D769=TRUE(),J716,0)</f>
        <v>0</v>
      </c>
      <c r="F770" s="63" t="e">
        <f>IF(AND(#REF!&lt;&gt;"",I716&lt;&gt;0),CONCATENATE(" Additional ",#REF!," Earnings"),CONCATENATE(" Total ",I716," Months Average Monthly ",PROPER(#REF!)," Earnings"))</f>
        <v>#REF!</v>
      </c>
    </row>
    <row r="771" spans="1:11">
      <c r="D771" s="115"/>
    </row>
    <row r="772" spans="1:11">
      <c r="A772" s="63" t="e">
        <f>CONCATENATE(" Total ",A729)</f>
        <v>#REF!</v>
      </c>
      <c r="D772" s="115" t="b">
        <f>FALSE()</f>
        <v>0</v>
      </c>
    </row>
    <row r="773" spans="1:11">
      <c r="A773" s="63" t="e">
        <f>CONCATENATE(" Total ",A729)</f>
        <v>#REF!</v>
      </c>
      <c r="D773" s="115">
        <f>IF(D772=TRUE(),J734,0)</f>
        <v>0</v>
      </c>
      <c r="F773" s="63" t="e">
        <f>IF(AND(#REF!&lt;&gt;"",I734&lt;&gt;0),CONCATENATE(" Additional ",#REF!," Earnings"),CONCATENATE(" Total ",I734," Months Average Monthly ",PROPER(#REF!)," Earnings"))</f>
        <v>#REF!</v>
      </c>
    </row>
    <row r="774" spans="1:11">
      <c r="D774" s="115"/>
    </row>
    <row r="775" spans="1:11">
      <c r="A775" s="63" t="e">
        <f>CONCATENATE(" Total ",A747)</f>
        <v>#REF!</v>
      </c>
      <c r="D775" s="115" t="b">
        <f>FALSE()</f>
        <v>0</v>
      </c>
    </row>
    <row r="776" spans="1:11">
      <c r="A776" s="63" t="e">
        <f>CONCATENATE(" Total ",A747)</f>
        <v>#REF!</v>
      </c>
      <c r="D776" s="115">
        <f>IF(D775=TRUE(),J752,0)</f>
        <v>0</v>
      </c>
      <c r="F776" s="63" t="e">
        <f>IF(AND(#REF!&lt;&gt;"",I752&lt;&gt;0),CONCATENATE(" Additional ",#REF!," Earnings"),CONCATENATE(" Total ",I752," Months Average Monthly ",PROPER(#REF!)," Earnings"))</f>
        <v>#REF!</v>
      </c>
    </row>
    <row r="777" spans="1:11">
      <c r="D777" s="115"/>
    </row>
    <row r="778" spans="1:11">
      <c r="A778" s="65" t="s">
        <v>274</v>
      </c>
      <c r="D778" s="115" t="e">
        <f>#REF!</f>
        <v>#REF!</v>
      </c>
    </row>
    <row r="780" spans="1:11">
      <c r="A780" s="65" t="s">
        <v>94</v>
      </c>
      <c r="B780" s="112"/>
      <c r="C780" s="140"/>
      <c r="D780" s="115" t="e">
        <f>D767+D770+D773+D776+D778</f>
        <v>#REF!</v>
      </c>
    </row>
    <row r="781" spans="1:11">
      <c r="B781" s="112"/>
      <c r="C781" s="140"/>
      <c r="D781" s="40"/>
    </row>
    <row r="782" spans="1:11">
      <c r="A782" s="314" t="s">
        <v>320</v>
      </c>
      <c r="B782" s="314"/>
      <c r="C782" s="314"/>
      <c r="D782" s="314"/>
      <c r="E782" s="314"/>
      <c r="F782" s="314"/>
      <c r="G782" s="314"/>
      <c r="H782" s="314"/>
      <c r="I782" s="314"/>
      <c r="J782" s="314"/>
      <c r="K782" s="314"/>
    </row>
    <row r="783" spans="1:11">
      <c r="B783" s="112"/>
      <c r="C783" s="140"/>
      <c r="D783" s="40"/>
    </row>
    <row r="784" spans="1:11">
      <c r="A784" s="65" t="s">
        <v>321</v>
      </c>
      <c r="B784" s="112"/>
      <c r="C784" s="140"/>
      <c r="D784" s="63" t="e">
        <f>VLOOKUP(TRUE(),C659:D662,2,FALSE())</f>
        <v>#N/A</v>
      </c>
    </row>
    <row r="785" spans="1:5">
      <c r="B785" s="112"/>
      <c r="C785" s="140"/>
    </row>
    <row r="786" spans="1:5">
      <c r="A786" s="65" t="s">
        <v>322</v>
      </c>
      <c r="B786" s="112"/>
      <c r="C786" s="140"/>
      <c r="D786" s="65" t="e">
        <f>IF(AND(D787=FALSE(),D788=FALSE(),D789=FALSE(),D790=FALSE(),D791=FALSE(),D792=FALSE()),TRUE(),FALSE())</f>
        <v>#REF!</v>
      </c>
      <c r="E786" s="65" t="s">
        <v>323</v>
      </c>
    </row>
    <row r="787" spans="1:5">
      <c r="A787" s="150" t="s">
        <v>324</v>
      </c>
      <c r="B787" s="112"/>
      <c r="C787" s="140"/>
      <c r="D787" s="65" t="b">
        <f>IF(D622=TRUE(),TRUE(),FALSE())</f>
        <v>1</v>
      </c>
      <c r="E787" s="65" t="s">
        <v>325</v>
      </c>
    </row>
    <row r="788" spans="1:5">
      <c r="A788" s="150" t="s">
        <v>0</v>
      </c>
      <c r="B788" s="112"/>
      <c r="C788" s="140"/>
      <c r="D788" s="65" t="e">
        <f>IF(AND(D622=FALSE(),D621&gt;0,D765&gt;0,D765=D621),TRUE(),FALSE())</f>
        <v>#REF!</v>
      </c>
      <c r="E788" s="65" t="s">
        <v>326</v>
      </c>
    </row>
    <row r="789" spans="1:5">
      <c r="A789" s="150" t="s">
        <v>327</v>
      </c>
      <c r="B789" s="112"/>
      <c r="C789" s="140"/>
      <c r="D789" s="65" t="e">
        <f>IF(AND(D622&lt;&gt;FALSE(),D765&lt;D621),TRUE(),FALSE())</f>
        <v>#REF!</v>
      </c>
      <c r="E789" s="65" t="s">
        <v>328</v>
      </c>
    </row>
    <row r="790" spans="1:5">
      <c r="A790" s="150" t="s">
        <v>329</v>
      </c>
      <c r="B790" s="112"/>
      <c r="C790" s="140"/>
      <c r="D790" s="65" t="e">
        <f>IF(AND(M626=TRUE(),M627=TRUE(),M628=TRUE(),OR(D618="Part-Time",D618="Varies",D618="Varies / Averaged",D618="Seasonal")),TRUE(),FALSE())</f>
        <v>#REF!</v>
      </c>
      <c r="E790" s="63" t="e">
        <f>CONCATENATE("Total qualifying income determined with earnings averaged from YTD ",B626,", Year ",B627,", and Year ",B628,".")</f>
        <v>#REF!</v>
      </c>
    </row>
    <row r="791" spans="1:5">
      <c r="A791" s="150" t="s">
        <v>330</v>
      </c>
      <c r="B791" s="112"/>
      <c r="C791" s="140"/>
      <c r="D791" s="65" t="e">
        <f>IF(AND(M626=TRUE(),M627=TRUE(),M628=FALSE(),OR(D618="Part-Time",D618="Varies",D618="Varies / Averaged",D618="Seasonal")),TRUE(),FALSE())</f>
        <v>#REF!</v>
      </c>
      <c r="E791" s="63" t="e">
        <f>CONCATENATE("Total qualifying income determined with earnings averaged from YTD ",B626,", and Year ",B627,".")</f>
        <v>#REF!</v>
      </c>
    </row>
    <row r="792" spans="1:5">
      <c r="A792" s="150" t="s">
        <v>331</v>
      </c>
      <c r="B792" s="112"/>
      <c r="C792" s="140"/>
      <c r="D792" s="65" t="e">
        <f>IF(AND(M626=TRUE(),M627=FALSE(),M628=FALSE(),OR(D618="Part-Time",D618="Varies",D618="Varies / Averaged",D618="Seasonal")),TRUE(),FALSE())</f>
        <v>#REF!</v>
      </c>
      <c r="E792" s="63" t="e">
        <f>CONCATENATE("Total qualifying income determined with earnings averaged from YTD ",B626,".")</f>
        <v>#REF!</v>
      </c>
    </row>
    <row r="793" spans="1:5">
      <c r="B793" s="112"/>
      <c r="C793" s="140"/>
    </row>
    <row r="794" spans="1:5">
      <c r="A794" s="65" t="s">
        <v>332</v>
      </c>
      <c r="D794" s="63" t="str">
        <f>IF(ISERROR(G765),"Total qualifying income to be determined.",VLOOKUP(TRUE(),D786:E792,2,FALSE()))</f>
        <v>Total qualifying income determined on current pay rate even if not supported with YTD earnings (may be due to pay increase earlier this year, or time off taken without pay, etc.). LOE required.</v>
      </c>
    </row>
    <row r="796" spans="1:5">
      <c r="A796" s="65" t="s">
        <v>333</v>
      </c>
      <c r="D796" s="63" t="e">
        <f>IF(ISERROR(G765),"Average weekly hours worked to be determined.",IF(AND(E626=0,E627=0,E628=0),"Average weekly hours worked to be determined.",IF(OR(D616=0,D616="",D618=A610,D618=A612),"Average weekly hours worked vary.",CONCATENATE("YTD earnings, at current rate of pay, reflect borrower is working an average of ",TEXT(D703,"##.0")," hours weekly."))))</f>
        <v>#REF!</v>
      </c>
    </row>
    <row r="798" spans="1:5">
      <c r="A798" s="65" t="s">
        <v>334</v>
      </c>
      <c r="D798" s="63" t="e">
        <f>IF(OR(ISERROR(D765),C626="",D707=0),"Expected amount of YTD earnings to be determined.",VLOOKUP(D618,A605:E613,5,FALSE()))</f>
        <v>#REF!</v>
      </c>
    </row>
    <row r="800" spans="1:5">
      <c r="A800" s="65" t="s">
        <v>335</v>
      </c>
      <c r="B800" s="112"/>
      <c r="C800" s="140"/>
      <c r="D800" s="63" t="e">
        <f>IF(OR(ISERROR(D765),F629=0),"Total Average Base Earnings and period covered to be determined.",CONCATENATE("Total Average Base Earnings For The Past ",Data_Income!F629," Months = ",DOLLAR(ROUND(E629/F629,0),2)))</f>
        <v>#REF!</v>
      </c>
    </row>
    <row r="801" spans="1:11">
      <c r="B801" s="112"/>
      <c r="C801" s="140"/>
      <c r="D801" s="40"/>
    </row>
    <row r="802" spans="1:11">
      <c r="A802" s="63" t="e">
        <f>IF(#REF!="~  ENTER DESCRIPTION OF ADDITIONAL EARNINGS  ~","Additional Earnings Type 1",CONCATENATE(#REF!," Earnings"))</f>
        <v>#REF!</v>
      </c>
      <c r="B802" s="112"/>
      <c r="C802" s="140"/>
      <c r="D802" s="40"/>
    </row>
    <row r="803" spans="1:11">
      <c r="A803" s="65" t="s">
        <v>321</v>
      </c>
      <c r="B803" s="112"/>
      <c r="C803" s="140"/>
      <c r="D803" s="76" t="e">
        <f>IF(AND(E713=0,E714=0,E715=0),"Variances in earnings not determined.",C725)</f>
        <v>#REF!</v>
      </c>
    </row>
    <row r="804" spans="1:11">
      <c r="B804" s="112"/>
      <c r="C804" s="140"/>
    </row>
    <row r="805" spans="1:11">
      <c r="A805" s="63" t="e">
        <f>IF(#REF!="~  ENTER DESCRIPTION OF ADDITIONAL EARNINGS  ~","Additional Earnings Type 2",CONCATENATE(#REF!," Earnings"))</f>
        <v>#REF!</v>
      </c>
      <c r="B805" s="112"/>
      <c r="C805" s="140"/>
    </row>
    <row r="806" spans="1:11">
      <c r="A806" s="65" t="s">
        <v>321</v>
      </c>
      <c r="B806" s="112"/>
      <c r="C806" s="140"/>
      <c r="D806" s="63" t="e">
        <f>IF(AND(E731=0,E732=0,E733=0),"Variances in earnings not determined.",C743)</f>
        <v>#REF!</v>
      </c>
    </row>
    <row r="807" spans="1:11">
      <c r="B807" s="112"/>
      <c r="C807" s="140"/>
    </row>
    <row r="808" spans="1:11">
      <c r="A808" s="63" t="e">
        <f>IF(#REF!="~  ENTER DESCRIPTION OF ADDITIONAL EARNINGS  ~","Additional Earnings Type 3",CONCATENATE(#REF!," Earnings"))</f>
        <v>#REF!</v>
      </c>
      <c r="B808" s="112"/>
      <c r="C808" s="140"/>
    </row>
    <row r="809" spans="1:11">
      <c r="A809" s="65" t="s">
        <v>321</v>
      </c>
      <c r="B809" s="112"/>
      <c r="C809" s="140"/>
      <c r="D809" s="63" t="e">
        <f>IF(AND(E749=0,E750=0,E751=0),"Variances in earnings not determined.",C761)</f>
        <v>#REF!</v>
      </c>
    </row>
    <row r="811" spans="1:11" ht="15.75" customHeight="1">
      <c r="A811" s="305" t="s">
        <v>343</v>
      </c>
      <c r="B811" s="305"/>
      <c r="C811" s="305"/>
      <c r="D811" s="305"/>
      <c r="E811" s="305"/>
      <c r="F811" s="305"/>
      <c r="G811" s="305"/>
      <c r="H811" s="305"/>
      <c r="I811" s="305"/>
      <c r="J811" s="305"/>
      <c r="K811" s="305"/>
    </row>
    <row r="813" spans="1:11">
      <c r="A813" s="65" t="s">
        <v>344</v>
      </c>
      <c r="C813" s="65" t="s">
        <v>92</v>
      </c>
    </row>
    <row r="814" spans="1:11">
      <c r="C814" s="65" t="s">
        <v>345</v>
      </c>
    </row>
    <row r="815" spans="1:11">
      <c r="C815" s="65" t="s">
        <v>346</v>
      </c>
    </row>
    <row r="816" spans="1:11">
      <c r="C816" s="65" t="s">
        <v>347</v>
      </c>
    </row>
    <row r="817" spans="1:11">
      <c r="C817" s="65" t="s">
        <v>348</v>
      </c>
    </row>
    <row r="818" spans="1:11">
      <c r="C818" s="65" t="s">
        <v>349</v>
      </c>
    </row>
    <row r="819" spans="1:11">
      <c r="C819" s="65" t="s">
        <v>350</v>
      </c>
    </row>
    <row r="820" spans="1:11">
      <c r="C820" s="65" t="s">
        <v>351</v>
      </c>
    </row>
    <row r="821" spans="1:11">
      <c r="C821" s="65" t="s">
        <v>352</v>
      </c>
    </row>
    <row r="822" spans="1:11">
      <c r="C822" s="65" t="s">
        <v>353</v>
      </c>
    </row>
    <row r="823" spans="1:11">
      <c r="C823" s="65" t="s">
        <v>354</v>
      </c>
    </row>
    <row r="824" spans="1:11">
      <c r="C824" s="65" t="s">
        <v>355</v>
      </c>
    </row>
    <row r="825" spans="1:11">
      <c r="C825" s="65" t="s">
        <v>356</v>
      </c>
    </row>
    <row r="826" spans="1:11">
      <c r="C826" s="65" t="s">
        <v>357</v>
      </c>
    </row>
    <row r="827" spans="1:11">
      <c r="C827" s="65" t="s">
        <v>358</v>
      </c>
    </row>
    <row r="828" spans="1:11">
      <c r="C828" s="65" t="s">
        <v>359</v>
      </c>
    </row>
    <row r="830" spans="1:11">
      <c r="A830" s="310" t="s">
        <v>183</v>
      </c>
      <c r="B830" s="310"/>
      <c r="C830" s="310"/>
      <c r="D830" s="310"/>
      <c r="E830" s="310"/>
      <c r="F830" s="310"/>
      <c r="G830" s="310"/>
      <c r="H830" s="310"/>
      <c r="I830" s="310"/>
      <c r="J830" s="310"/>
      <c r="K830" s="310"/>
    </row>
    <row r="831" spans="1:11">
      <c r="A831" s="99">
        <v>1</v>
      </c>
      <c r="B831" s="99">
        <v>2</v>
      </c>
      <c r="C831" s="99">
        <v>3</v>
      </c>
      <c r="D831" s="98">
        <v>4</v>
      </c>
      <c r="E831" s="100">
        <v>5</v>
      </c>
      <c r="F831" s="101"/>
      <c r="G831" s="101"/>
      <c r="H831" s="101"/>
      <c r="I831" s="101"/>
      <c r="J831" s="101"/>
      <c r="K831" s="102"/>
    </row>
    <row r="832" spans="1:11">
      <c r="A832" s="80" t="s">
        <v>184</v>
      </c>
      <c r="B832" s="80" t="s">
        <v>185</v>
      </c>
      <c r="C832" s="80" t="s">
        <v>186</v>
      </c>
      <c r="D832" s="80" t="s">
        <v>187</v>
      </c>
      <c r="E832" s="103" t="s">
        <v>232</v>
      </c>
      <c r="F832" s="104"/>
      <c r="G832" s="104"/>
      <c r="H832" s="104"/>
      <c r="I832" s="104"/>
      <c r="J832" s="104"/>
      <c r="K832" s="105"/>
    </row>
    <row r="833" spans="1:11">
      <c r="A833" s="50" t="str">
        <f>$C$54</f>
        <v>Annually (1)</v>
      </c>
      <c r="B833" s="83">
        <f>$E$49</f>
        <v>1</v>
      </c>
      <c r="C833" s="85">
        <f>$F$49</f>
        <v>2080</v>
      </c>
      <c r="D833" s="50" t="str">
        <f>$G$49</f>
        <v>annually</v>
      </c>
      <c r="E833" s="106" t="e">
        <f>IF(D846=0,"N/A",CONCATENATE("Working full-time at current rate of pay (",DOLLAR(D844,0)," annually), borrower's YTD earnings would need to reflect ",DOLLAR(D894,0)," as the total amount of base earnings from ",MONTH(C855),"/",DAY(C855),"/",YEAR(C855)," to ",MONTH(D855),"/",DAY(D855),"/",YEAR(D855)," (excluding bonus, commissions, differential, incentive, overtime, etc.)."))</f>
        <v>#REF!</v>
      </c>
      <c r="F833" s="104"/>
      <c r="G833" s="104"/>
      <c r="H833" s="104"/>
      <c r="I833" s="104"/>
      <c r="J833" s="104"/>
      <c r="K833" s="107"/>
    </row>
    <row r="834" spans="1:11">
      <c r="A834" s="108" t="str">
        <f>$C$51</f>
        <v>Bi-Weekly (26)</v>
      </c>
      <c r="B834" s="83">
        <f>$E$50</f>
        <v>26</v>
      </c>
      <c r="C834" s="85">
        <f>$F$50</f>
        <v>80</v>
      </c>
      <c r="D834" s="50" t="str">
        <f>$G$50</f>
        <v>bi-weekly</v>
      </c>
      <c r="E834" s="106" t="e">
        <f>IF(D846=0,"N/A",CONCATENATE("Working full-time at current rate of pay (",DOLLAR(D844,0)," bi-weekly), borrower's YTD earnings would need to reflect ",DOLLAR(D894,0)," as the total amount of base earnings from ",MONTH(C855),"/",DAY(C855),"/",YEAR(C855)," to ",MONTH(D855),"/",DAY(D855),"/",YEAR(D855)," (excluding bonus, commissions, differential, incentive, overtime, etc.)."))</f>
        <v>#REF!</v>
      </c>
      <c r="F834" s="104"/>
      <c r="G834" s="104"/>
      <c r="H834" s="104"/>
      <c r="I834" s="104"/>
      <c r="J834" s="104"/>
      <c r="K834" s="107"/>
    </row>
    <row r="835" spans="1:11">
      <c r="A835" s="50" t="str">
        <f>$C$49</f>
        <v>Hourly (H)</v>
      </c>
      <c r="B835" s="83">
        <f>$E$51</f>
        <v>2080</v>
      </c>
      <c r="C835" s="85">
        <f>$F$51</f>
        <v>1</v>
      </c>
      <c r="D835" s="50" t="str">
        <f>$G$51</f>
        <v>hourly</v>
      </c>
      <c r="E835" s="106" t="e">
        <f>IF(D846=0,"N/A",CONCATENATE("Working full-time at current rate of pay (",DOLLAR(D844,2)," hourly), borrower's YTD earnings would need to reflect ",DOLLAR(D894,0)," as the total amount of base earnings from ",MONTH(C855),"/",DAY(C855),"/",YEAR(C855)," to ",MONTH(D855),"/",DAY(D855),"/",YEAR(D855)," (excluding bonus, commissions, differential, incentive, overtime, etc.)."))</f>
        <v>#REF!</v>
      </c>
      <c r="F835" s="104"/>
      <c r="G835" s="104"/>
      <c r="H835" s="104"/>
      <c r="I835" s="104"/>
      <c r="J835" s="104"/>
      <c r="K835" s="107"/>
    </row>
    <row r="836" spans="1:11">
      <c r="A836" s="50" t="str">
        <f>$C$53</f>
        <v>Monthly (12)</v>
      </c>
      <c r="B836" s="83">
        <f>$E$52</f>
        <v>12</v>
      </c>
      <c r="C836" s="85">
        <f>$F$52</f>
        <v>173.33333333333334</v>
      </c>
      <c r="D836" s="50" t="str">
        <f>$G$52</f>
        <v>monthly</v>
      </c>
      <c r="E836" s="106" t="e">
        <f>IF(D846=0,"N/A",CONCATENATE("Working full-time at current rate of pay (",DOLLAR(D844,0)," monthly), borrower's YTD earnings would need to reflect ",DOLLAR(D894,0)," as the total amount of base earnings from ",MONTH(C855),"/",DAY(C855),"/",YEAR(C855)," to ",MONTH(D855),"/",DAY(D855),"/",YEAR(D855)," (excluding bonus, commissions, differential, incentive, overtime, etc.)."))</f>
        <v>#REF!</v>
      </c>
      <c r="F836" s="104"/>
      <c r="G836" s="104"/>
      <c r="H836" s="104"/>
      <c r="I836" s="104"/>
      <c r="J836" s="104"/>
      <c r="K836" s="107"/>
    </row>
    <row r="837" spans="1:11">
      <c r="A837" s="50" t="str">
        <f>$C$55</f>
        <v>Part-Time</v>
      </c>
      <c r="B837" s="83">
        <f>$E$53</f>
        <v>0</v>
      </c>
      <c r="C837" s="85">
        <f>$F$53</f>
        <v>0</v>
      </c>
      <c r="D837" s="50" t="str">
        <f>$G$53</f>
        <v>part-time</v>
      </c>
      <c r="E837" s="106" t="e">
        <f>IF(D846=0,"N/A",CONCATENATE("Working Part-Time at averaged monthly pay, borrower's YTD earnings would need to reflect approximately ",DOLLAR(D894,0)," as the total amount of base earnings from ",MONTH(C855),"/",DAY(C855),"/",YEAR(C855)," to ",MONTH(D855),"/",DAY(D855),"/",YEAR(D855)," (excluding bonus, commissions, differential, incentive, overtime, etc.)."))</f>
        <v>#REF!</v>
      </c>
      <c r="F837" s="104"/>
      <c r="G837" s="104"/>
      <c r="H837" s="104"/>
      <c r="I837" s="104"/>
      <c r="J837" s="104"/>
      <c r="K837" s="107"/>
    </row>
    <row r="838" spans="1:11">
      <c r="A838" s="50" t="str">
        <f>$C$56</f>
        <v>Seasonal</v>
      </c>
      <c r="B838" s="83">
        <f>$E$54</f>
        <v>0</v>
      </c>
      <c r="C838" s="85">
        <f>$F$54</f>
        <v>0</v>
      </c>
      <c r="D838" s="50" t="str">
        <f>$G$54</f>
        <v>seasonal</v>
      </c>
      <c r="E838" s="106" t="e">
        <f>IF(D846=0,"N/A",CONCATENATE("Working Seasonal at averaged monthly pay, borrower's YTD earnings would need to reflect approximately ",DOLLAR(D894,0)," as the total amount of base earnings from ",MONTH(C855),"/",DAY(C855),"/",YEAR(C855)," to ",MONTH(D855),"/",DAY(D855),"/",YEAR(D855)," (excluding bonus, commissions, differential, incentive, overtime, etc.)."))</f>
        <v>#REF!</v>
      </c>
      <c r="F838" s="104"/>
      <c r="G838" s="104"/>
      <c r="H838" s="104"/>
      <c r="I838" s="104"/>
      <c r="J838" s="104"/>
      <c r="K838" s="107"/>
    </row>
    <row r="839" spans="1:11">
      <c r="A839" s="50" t="str">
        <f>$C$52</f>
        <v>Semi-Monthly (24)</v>
      </c>
      <c r="B839" s="83">
        <f>$E$55</f>
        <v>24</v>
      </c>
      <c r="C839" s="85">
        <f>$F$55</f>
        <v>86.666666666666671</v>
      </c>
      <c r="D839" s="50" t="str">
        <f>$G$55</f>
        <v>semi-monthly</v>
      </c>
      <c r="E839" s="106" t="e">
        <f>IF(D846=0,"N/A",CONCATENATE("Working full-time at current rate of pay (",DOLLAR(D844,2)," semi-monthly), borrower's YTD earnings would need to reflect ",DOLLAR(D894,0)," as the total amount of base earnings from ",MONTH(C855),"/",DAY(C855),"/",YEAR(C855)," to ",MONTH(D855),"/",DAY(D855),"/",YEAR(D855)," (excluding bonus, commissions, differential, incentive, overtime, etc.)."))</f>
        <v>#REF!</v>
      </c>
      <c r="F839" s="104"/>
      <c r="G839" s="104"/>
      <c r="H839" s="104"/>
      <c r="I839" s="104"/>
      <c r="J839" s="104"/>
      <c r="K839" s="107"/>
    </row>
    <row r="840" spans="1:11">
      <c r="A840" s="50" t="str">
        <f>$C$57</f>
        <v>Varies / Averaged</v>
      </c>
      <c r="B840" s="83">
        <f>$E$56</f>
        <v>0</v>
      </c>
      <c r="C840" s="85">
        <f>$F$56</f>
        <v>0</v>
      </c>
      <c r="D840" s="50" t="str">
        <f>$G$56</f>
        <v>varies</v>
      </c>
      <c r="E840" s="106" t="e">
        <f>IF(D846=0,"N/A",CONCATENATE("Based on calculated averaged monthly earnings, borrower's YTD earnings should reflect approximately ",DOLLAR(D894,0)," as the total amount of base income earned from ",MONTH(C855),"/",DAY(C855),"/",YEAR(C855)," to ",MONTH(D855),"/",DAY(D855),"/",YEAR(D855)," (excluding bonus, commissions, differential, incentive, overtime, etc.)."))</f>
        <v>#REF!</v>
      </c>
      <c r="F840" s="104"/>
      <c r="G840" s="104"/>
      <c r="H840" s="104"/>
      <c r="I840" s="104"/>
      <c r="J840" s="104"/>
      <c r="K840" s="107"/>
    </row>
    <row r="841" spans="1:11">
      <c r="A841" s="50" t="str">
        <f>$C$50</f>
        <v>Weekly (52)</v>
      </c>
      <c r="B841" s="83">
        <f>$E$57</f>
        <v>52</v>
      </c>
      <c r="C841" s="85">
        <f>$F$57</f>
        <v>40</v>
      </c>
      <c r="D841" s="50" t="str">
        <f>$G$57</f>
        <v>weekly</v>
      </c>
      <c r="E841" s="106" t="e">
        <f>IF(D846=0,"N/A",CONCATENATE("Working full-time at current rate of pay (",DOLLAR(D844,2)," weekly), borrower's YTD earnings would need to reflect ",DOLLAR(D894,0)," as the total amount of base earnings from ",MONTH(C855),"/",DAY(C855),"/",YEAR(C855)," to ",MONTH(D855),"/",DAY(D855),"/",YEAR(D855)," (excluding bonus, commissions, differential, incentive, overtime, etc.)."))</f>
        <v>#REF!</v>
      </c>
      <c r="F841" s="104"/>
      <c r="G841" s="104"/>
      <c r="H841" s="104"/>
      <c r="I841" s="104"/>
      <c r="J841" s="104"/>
      <c r="K841" s="107"/>
    </row>
    <row r="843" spans="1:11">
      <c r="A843" s="65" t="s">
        <v>233</v>
      </c>
      <c r="D843" s="109" t="e">
        <f>IF(#REF!="","",#REF!)</f>
        <v>#REF!</v>
      </c>
      <c r="F843" s="110"/>
      <c r="G843" s="111" t="s">
        <v>234</v>
      </c>
      <c r="H843" s="110"/>
      <c r="I843" s="110"/>
      <c r="J843" s="110"/>
    </row>
    <row r="844" spans="1:11">
      <c r="A844" s="65" t="s">
        <v>235</v>
      </c>
      <c r="D844" s="112" t="e">
        <f>IF(OR(#REF!=0,#REF!=""),0,#REF!)</f>
        <v>#REF!</v>
      </c>
      <c r="F844" s="110"/>
      <c r="G844" s="111" t="s">
        <v>236</v>
      </c>
      <c r="H844" s="110"/>
      <c r="I844" s="110"/>
      <c r="J844" s="110"/>
    </row>
    <row r="845" spans="1:11">
      <c r="A845" s="65" t="s">
        <v>237</v>
      </c>
      <c r="D845" s="112" t="e">
        <f>IF(D846=A837,"Hourly Rate of Pay (part-time)","Rate of Pay")</f>
        <v>#REF!</v>
      </c>
      <c r="F845" s="110"/>
      <c r="G845" s="110"/>
      <c r="H845" s="110"/>
      <c r="I845" s="110"/>
      <c r="J845" s="110"/>
    </row>
    <row r="846" spans="1:11">
      <c r="A846" s="65" t="s">
        <v>238</v>
      </c>
      <c r="D846" s="113" t="e">
        <f>#REF!</f>
        <v>#REF!</v>
      </c>
      <c r="F846" s="110"/>
      <c r="G846" s="111" t="s">
        <v>239</v>
      </c>
      <c r="H846" s="110"/>
      <c r="I846" s="110"/>
      <c r="J846" s="110"/>
    </row>
    <row r="847" spans="1:11">
      <c r="A847" s="65" t="s">
        <v>240</v>
      </c>
      <c r="D847" s="112" t="e">
        <f>#REF!</f>
        <v>#REF!</v>
      </c>
      <c r="F847" s="110"/>
      <c r="G847" s="111" t="s">
        <v>241</v>
      </c>
      <c r="H847" s="110"/>
      <c r="I847" s="110"/>
      <c r="J847" s="110"/>
    </row>
    <row r="848" spans="1:11">
      <c r="A848" s="65" t="s">
        <v>242</v>
      </c>
      <c r="D848" s="112" t="e">
        <f>IF(OR(D844=0,D846=0),"",IF(D846="Hourly (H)",(D844*D847)*52,D844*VLOOKUP(D846,A833:E841,2)))</f>
        <v>#REF!</v>
      </c>
      <c r="F848" s="110"/>
      <c r="G848" s="111" t="s">
        <v>243</v>
      </c>
      <c r="H848" s="110"/>
      <c r="I848" s="110"/>
      <c r="J848" s="110"/>
    </row>
    <row r="849" spans="1:13">
      <c r="A849" s="65" t="s">
        <v>244</v>
      </c>
      <c r="D849" s="115" t="e">
        <f>IF(OR(D844=0,D846=0),"",IF(OR(D846=A837,D846=A838,D846=A840),J857,ROUND(D848/12,0)))</f>
        <v>#REF!</v>
      </c>
      <c r="F849" s="110"/>
      <c r="G849" s="111" t="s">
        <v>245</v>
      </c>
      <c r="H849" s="110"/>
      <c r="I849" s="110"/>
      <c r="J849" s="110"/>
    </row>
    <row r="850" spans="1:13">
      <c r="A850" s="65" t="s">
        <v>246</v>
      </c>
      <c r="D850" s="65" t="b">
        <f>FALSE()</f>
        <v>0</v>
      </c>
      <c r="F850" s="110"/>
      <c r="G850" s="111" t="s">
        <v>247</v>
      </c>
      <c r="H850" s="110"/>
      <c r="I850" s="110"/>
      <c r="J850" s="110"/>
    </row>
    <row r="852" spans="1:13">
      <c r="A852" s="315" t="s">
        <v>248</v>
      </c>
      <c r="B852" s="315"/>
      <c r="C852" s="315"/>
      <c r="D852" s="315"/>
      <c r="E852" s="315"/>
      <c r="F852" s="315"/>
      <c r="G852" s="315"/>
      <c r="H852" s="315" t="s">
        <v>249</v>
      </c>
      <c r="I852" s="315"/>
      <c r="J852" s="315"/>
      <c r="K852" s="315" t="s">
        <v>250</v>
      </c>
      <c r="L852" s="315"/>
      <c r="M852" s="315"/>
    </row>
    <row r="853" spans="1:13">
      <c r="A853" s="157" t="s">
        <v>251</v>
      </c>
      <c r="B853" s="157" t="s">
        <v>91</v>
      </c>
      <c r="C853" s="157" t="s">
        <v>76</v>
      </c>
      <c r="D853" s="157" t="s">
        <v>77</v>
      </c>
      <c r="E853" s="157" t="s">
        <v>36</v>
      </c>
      <c r="F853" s="157" t="s">
        <v>68</v>
      </c>
      <c r="G853" s="157" t="s">
        <v>1</v>
      </c>
      <c r="H853" s="157" t="s">
        <v>74</v>
      </c>
      <c r="I853" s="157" t="s">
        <v>68</v>
      </c>
      <c r="J853" s="157" t="s">
        <v>36</v>
      </c>
      <c r="K853" s="157" t="s">
        <v>252</v>
      </c>
      <c r="L853" s="157" t="s">
        <v>253</v>
      </c>
      <c r="M853" s="157" t="s">
        <v>254</v>
      </c>
    </row>
    <row r="854" spans="1:13">
      <c r="A854" s="117" t="b">
        <f>TRUE()</f>
        <v>1</v>
      </c>
      <c r="B854" s="118" t="e">
        <f>#REF!</f>
        <v>#REF!</v>
      </c>
      <c r="C854" s="119" t="e">
        <f>#REF!</f>
        <v>#REF!</v>
      </c>
      <c r="D854" s="119" t="e">
        <f>#REF!</f>
        <v>#REF!</v>
      </c>
      <c r="E854" s="120" t="e">
        <f>IF(#REF!="",0,#REF!)</f>
        <v>#REF!</v>
      </c>
      <c r="F854" s="121" t="e">
        <f>IF(OR(E854="",E854=0),"",ROUND((((D854-C854)+1)/365)*12,1))</f>
        <v>#REF!</v>
      </c>
      <c r="G854" s="122" t="e">
        <f>IF(OR(E854="",E854=0),"",ROUND(E854/F854,0))</f>
        <v>#REF!</v>
      </c>
      <c r="H854" s="122" t="e">
        <f>IF(A854=TRUE(),E854,0)</f>
        <v>#REF!</v>
      </c>
      <c r="I854" s="123" t="e">
        <f>IF(A854=TRUE(),F854,0)</f>
        <v>#REF!</v>
      </c>
      <c r="J854" s="122" t="e">
        <f>IF(OR(A854=FALSE(),H854=0,I854=0),0,ROUND(H854/I854,0))</f>
        <v>#REF!</v>
      </c>
      <c r="K854" s="121" t="e">
        <f>IF(OR(G854="",G854=0,G855="",G855=0),100,IF(G854&gt;G855,((G854-G855)/G855)*100,((G855-G854)/G855)*100))</f>
        <v>#REF!</v>
      </c>
      <c r="L854" s="81" t="e">
        <f>IF(G854&gt;G855,"Increase","Decrease")</f>
        <v>#REF!</v>
      </c>
      <c r="M854" s="81" t="e">
        <f>IF(AND(A854=TRUE(),E854&gt;0),TRUE(),FALSE())</f>
        <v>#REF!</v>
      </c>
    </row>
    <row r="855" spans="1:13">
      <c r="A855" s="39" t="b">
        <f>TRUE()</f>
        <v>1</v>
      </c>
      <c r="B855" s="124" t="e">
        <f>#REF!</f>
        <v>#REF!</v>
      </c>
      <c r="C855" s="125" t="e">
        <f>#REF!</f>
        <v>#REF!</v>
      </c>
      <c r="D855" s="126" t="e">
        <f>#REF!</f>
        <v>#REF!</v>
      </c>
      <c r="E855" s="120" t="e">
        <f>IF(#REF!="",0,#REF!)</f>
        <v>#REF!</v>
      </c>
      <c r="F855" s="121" t="e">
        <f>IF(OR(E855="",E855=0),"",ROUND((((D855-C855)+1)/365)*12,1))</f>
        <v>#REF!</v>
      </c>
      <c r="G855" s="122" t="e">
        <f>IF(OR(E855="",E855=0),"",ROUND(E855/F855,0))</f>
        <v>#REF!</v>
      </c>
      <c r="H855" s="122" t="e">
        <f>IF(A855=TRUE(),E855,0)</f>
        <v>#REF!</v>
      </c>
      <c r="I855" s="123" t="e">
        <f>IF(A855=TRUE(),F855,0)</f>
        <v>#REF!</v>
      </c>
      <c r="J855" s="122" t="e">
        <f>IF(OR(A855=FALSE(),H855=0,I855=0),0,ROUND(H855/I855,0))</f>
        <v>#REF!</v>
      </c>
      <c r="K855" s="121" t="e">
        <f>IF(OR(G855="",G855=0,G856="",G856=0),100,IF(G855&gt;G856,((G855-G856)/G856)*100,((G856-G855)/G856)*100))</f>
        <v>#REF!</v>
      </c>
      <c r="L855" s="81" t="e">
        <f>IF(G855&gt;G856,"Increase","Decrease")</f>
        <v>#REF!</v>
      </c>
      <c r="M855" s="81" t="e">
        <f>IF(AND(A855=TRUE(),E855&gt;0),TRUE(),FALSE())</f>
        <v>#REF!</v>
      </c>
    </row>
    <row r="856" spans="1:13">
      <c r="A856" s="39" t="b">
        <f>TRUE()</f>
        <v>1</v>
      </c>
      <c r="B856" s="124" t="e">
        <f>#REF!</f>
        <v>#REF!</v>
      </c>
      <c r="C856" s="125" t="e">
        <f>#REF!</f>
        <v>#REF!</v>
      </c>
      <c r="D856" s="126" t="e">
        <f>#REF!</f>
        <v>#REF!</v>
      </c>
      <c r="E856" s="120" t="e">
        <f>IF(#REF!="",0,#REF!)</f>
        <v>#REF!</v>
      </c>
      <c r="F856" s="121" t="e">
        <f>IF(OR(E856="",E856=0),"",ROUND((((D856-C856)+1)/365)*12,1))</f>
        <v>#REF!</v>
      </c>
      <c r="G856" s="122" t="e">
        <f>IF(OR(E856="",E856=0),"",ROUND(E856/F856,0))</f>
        <v>#REF!</v>
      </c>
      <c r="H856" s="122" t="e">
        <f>IF(A856=TRUE(),E856,0)</f>
        <v>#REF!</v>
      </c>
      <c r="I856" s="123" t="e">
        <f>IF(A856=TRUE(),F856,0)</f>
        <v>#REF!</v>
      </c>
      <c r="J856" s="122" t="e">
        <f>IF(OR(A856=FALSE(),H856=0,I856=0),0,ROUND(H856/I856,0))</f>
        <v>#REF!</v>
      </c>
      <c r="K856" s="121" t="e">
        <f>IF(OR(G854="",G854=0,G856="",G856=0),100,IF(G854&gt;G856,((G854-G856)/G856)*100,((G856-G854)/G856)*100))</f>
        <v>#REF!</v>
      </c>
      <c r="L856" s="81" t="e">
        <f>IF(G854&gt;G856,"Increase","Decrease")</f>
        <v>#REF!</v>
      </c>
      <c r="M856" s="81" t="e">
        <f>IF(AND(A856=TRUE(),E856&gt;0),TRUE(),FALSE())</f>
        <v>#REF!</v>
      </c>
    </row>
    <row r="857" spans="1:13">
      <c r="A857" s="78" t="s">
        <v>255</v>
      </c>
      <c r="B857" s="128"/>
      <c r="C857" s="129"/>
      <c r="D857" s="129"/>
      <c r="E857" s="130" t="e">
        <f>SUM(E854:E856)</f>
        <v>#REF!</v>
      </c>
      <c r="F857" s="131" t="e">
        <f>SUM(F854:F856)</f>
        <v>#REF!</v>
      </c>
      <c r="G857" s="41" t="e">
        <f>IF(AND(D844=0,D846=0),0,IF(D850=TRUE(),D849,IF(OR(D846=A837,D846=A838,D846=A840,F854=FALSE(),F855=FALSE(),F856=FALSE()),J857,IF(D850=FALSE(),MIN(D849,G854),J857))))</f>
        <v>#REF!</v>
      </c>
      <c r="H857" s="127" t="e">
        <f>IF(SUM(E854:E856)=0,0,ROUND(SUM(H854:H856),0))</f>
        <v>#REF!</v>
      </c>
      <c r="I857" s="47" t="e">
        <f>IF(SUM(F854:F856)=0,0,ROUND(SUM(I854:I856),1))</f>
        <v>#REF!</v>
      </c>
      <c r="J857" s="127" t="e">
        <f>IF(I857=0,0,ROUND(H857/I857,0))</f>
        <v>#REF!</v>
      </c>
      <c r="K857" s="129"/>
      <c r="L857" s="129"/>
      <c r="M857" s="129"/>
    </row>
    <row r="859" spans="1:13">
      <c r="A859" s="65" t="s">
        <v>360</v>
      </c>
      <c r="B859" s="42" t="e">
        <f>CONCATENATE(B856," – ",B855)</f>
        <v>#REF!</v>
      </c>
      <c r="C859" s="42"/>
      <c r="D859" s="63" t="e">
        <f>IF(AND(E855=0,E856=0),CONCATENATE(B856," to ",B855," = N/A +/–"),IF(AND(E855=0,E856&gt;0),CONCATENATE(B856," to ",B855," = 100% Decrease"),IF(AND(E855&gt;0,E856=0),CONCATENATE(B856," to ",B855," = 100% Increase"),IF(AND(E855&gt;0,E856&gt;0),CONCATENATE(B856," to ",B855," = ",ABS(FIXED(K855,1)),"% ",IF(G855&gt;G856,"Increase","Decrease"))))))</f>
        <v>#REF!</v>
      </c>
      <c r="G859" s="111" t="s">
        <v>361</v>
      </c>
    </row>
    <row r="860" spans="1:13">
      <c r="A860" s="65" t="s">
        <v>362</v>
      </c>
      <c r="B860" s="42" t="e">
        <f>CONCATENATE(B855," – ",B854)</f>
        <v>#REF!</v>
      </c>
      <c r="C860" s="42"/>
      <c r="D860" s="63" t="e">
        <f>IF(AND(E854=0,E856=0),CONCATENATE(B855," to ",B854," = N/A +/–"),IF(AND(E854=0,E855&gt;0),CONCATENATE(B855," to ",B854," = 100% Decrease"),IF(AND(E854&gt;0,E855=0),CONCATENATE(B855," to ",B854," = 100% Increase"),IF(AND(E854&gt;0,E855&gt;0),CONCATENATE(B855," to ",B854," = ",ABS(FIXED(K854,1)),"% ",IF(G854&gt;G855,"Increase","Decrease"))))))</f>
        <v>#REF!</v>
      </c>
      <c r="G860" s="111" t="s">
        <v>361</v>
      </c>
    </row>
    <row r="861" spans="1:13">
      <c r="A861" s="65" t="s">
        <v>363</v>
      </c>
      <c r="B861" s="42" t="e">
        <f>CONCATENATE(B856," – ",B854)</f>
        <v>#REF!</v>
      </c>
      <c r="C861" s="42"/>
      <c r="D861" s="63" t="e">
        <f>IF(OR(E854=0,E856=0),CONCATENATE(B856," to ",B854," = N/A +/–"),IF(AND(E854=0,E856&gt;0),CONCATENATE(B856," to ",B854," = 100% Decrease"),IF(AND(E854&gt;0,E856=0),CONCATENATE(B856," to ",B854," = 100% Increase"),IF(AND(E854&gt;0,E856&gt;0),CONCATENATE(B856," to ",B854," = ",ABS(FIXED(K856,1)),"% ",IF(G854&gt;G856,"Increase","Decrease"))))))</f>
        <v>#REF!</v>
      </c>
      <c r="G861" s="111" t="s">
        <v>361</v>
      </c>
    </row>
    <row r="863" spans="1:13">
      <c r="A863" s="65" t="s">
        <v>364</v>
      </c>
      <c r="D863" s="115" t="e">
        <f>IF(OR(A854=FALSE(),E854=""),0,E854)</f>
        <v>#REF!</v>
      </c>
      <c r="F863" s="115"/>
      <c r="G863" s="111" t="s">
        <v>288</v>
      </c>
    </row>
    <row r="864" spans="1:13">
      <c r="A864" s="65" t="s">
        <v>289</v>
      </c>
      <c r="D864" s="147" t="e">
        <f>IF(OR(A854=FALSE(),E854="",E854=0,F854=0),"",F854)</f>
        <v>#REF!</v>
      </c>
      <c r="F864" s="140"/>
      <c r="G864" s="111" t="s">
        <v>290</v>
      </c>
    </row>
    <row r="865" spans="1:10">
      <c r="A865" s="65" t="s">
        <v>235</v>
      </c>
      <c r="D865" s="148" t="e">
        <f>D844</f>
        <v>#REF!</v>
      </c>
      <c r="F865" s="112"/>
      <c r="G865" s="111" t="s">
        <v>236</v>
      </c>
      <c r="H865" s="149"/>
      <c r="I865" s="149"/>
      <c r="J865" s="149"/>
    </row>
    <row r="866" spans="1:10">
      <c r="A866" s="65" t="s">
        <v>291</v>
      </c>
      <c r="D866" s="112" t="e">
        <f>IF(OR(D863=0,D864=0,),0,D863/D864)</f>
        <v>#REF!</v>
      </c>
      <c r="F866" s="112"/>
      <c r="G866" s="111" t="s">
        <v>292</v>
      </c>
      <c r="H866" s="149"/>
      <c r="I866" s="149"/>
      <c r="J866" s="149"/>
    </row>
    <row r="867" spans="1:10">
      <c r="A867" s="65" t="s">
        <v>365</v>
      </c>
      <c r="D867" s="112" t="e">
        <f>H857</f>
        <v>#REF!</v>
      </c>
      <c r="F867" s="112"/>
      <c r="G867" s="111" t="s">
        <v>294</v>
      </c>
      <c r="H867" s="149"/>
      <c r="I867" s="149"/>
      <c r="J867" s="149"/>
    </row>
    <row r="868" spans="1:10">
      <c r="D868" s="112"/>
      <c r="F868" s="112"/>
      <c r="G868" s="149"/>
      <c r="H868" s="149"/>
      <c r="I868" s="149"/>
      <c r="J868" s="149"/>
    </row>
    <row r="869" spans="1:10">
      <c r="A869" s="65" t="s">
        <v>295</v>
      </c>
      <c r="D869" s="112"/>
      <c r="F869" s="112"/>
      <c r="G869" s="149"/>
      <c r="H869" s="149"/>
      <c r="I869" s="149"/>
      <c r="J869" s="149"/>
    </row>
    <row r="870" spans="1:10">
      <c r="A870" s="150" t="s">
        <v>296</v>
      </c>
      <c r="D870" s="112" t="e">
        <f>D866</f>
        <v>#REF!</v>
      </c>
      <c r="F870" s="112"/>
      <c r="G870" s="149"/>
      <c r="H870" s="149"/>
      <c r="I870" s="149"/>
      <c r="J870" s="149"/>
    </row>
    <row r="871" spans="1:10">
      <c r="A871" s="150" t="s">
        <v>297</v>
      </c>
      <c r="D871" s="112" t="e">
        <f>D870*12</f>
        <v>#REF!</v>
      </c>
      <c r="F871" s="112"/>
      <c r="G871" s="149"/>
      <c r="H871" s="149"/>
      <c r="I871" s="149"/>
      <c r="J871" s="149"/>
    </row>
    <row r="872" spans="1:10">
      <c r="A872" s="150" t="s">
        <v>298</v>
      </c>
      <c r="D872" s="112" t="e">
        <f>D871/52</f>
        <v>#REF!</v>
      </c>
      <c r="F872" s="112"/>
      <c r="G872" s="149"/>
      <c r="H872" s="149"/>
      <c r="I872" s="149"/>
      <c r="J872" s="149"/>
    </row>
    <row r="873" spans="1:10">
      <c r="A873" s="150" t="s">
        <v>299</v>
      </c>
      <c r="D873" s="112" t="e">
        <f>D844</f>
        <v>#REF!</v>
      </c>
      <c r="F873" s="112"/>
      <c r="G873" s="149"/>
      <c r="H873" s="149"/>
      <c r="I873" s="149"/>
      <c r="J873" s="149"/>
    </row>
    <row r="874" spans="1:10">
      <c r="A874" s="150" t="s">
        <v>300</v>
      </c>
      <c r="D874" s="112" t="e">
        <f>IF(D873=0,0,IF((D872/D873)&gt;40,40,D872/D873))</f>
        <v>#REF!</v>
      </c>
      <c r="F874" s="112"/>
      <c r="G874" s="149"/>
      <c r="H874" s="149"/>
      <c r="I874" s="149"/>
      <c r="J874" s="149"/>
    </row>
    <row r="875" spans="1:10">
      <c r="A875" s="150" t="s">
        <v>301</v>
      </c>
      <c r="D875" s="113" t="e">
        <f>IF(D846="Hourly (H)",D874,"N/A")</f>
        <v>#REF!</v>
      </c>
      <c r="F875" s="112"/>
      <c r="G875" s="149"/>
      <c r="H875" s="149"/>
      <c r="I875" s="149"/>
      <c r="J875" s="149"/>
    </row>
    <row r="876" spans="1:10">
      <c r="A876" s="150" t="s">
        <v>302</v>
      </c>
      <c r="D876" s="112" t="e">
        <f>IF(D873=0,"Weekly",IF(OR(D846&lt;&gt;"Hourly (H)",(D872/D873)&gt;40),"Weekly","Average Weekly"))</f>
        <v>#REF!</v>
      </c>
      <c r="F876" s="112"/>
      <c r="G876" s="149"/>
      <c r="H876" s="149"/>
      <c r="I876" s="149"/>
      <c r="J876" s="149"/>
    </row>
    <row r="877" spans="1:10">
      <c r="D877" s="112"/>
      <c r="F877" s="112"/>
      <c r="G877" s="149"/>
      <c r="H877" s="149"/>
      <c r="I877" s="149"/>
      <c r="J877" s="149"/>
    </row>
    <row r="878" spans="1:10">
      <c r="A878" s="63" t="e">
        <f>CONCATENATE("Total days (",B854," YTD)")</f>
        <v>#REF!</v>
      </c>
      <c r="D878" s="112" t="e">
        <f>IF(D854="",0,ROUND(D854-C854,0))</f>
        <v>#REF!</v>
      </c>
      <c r="F878" s="112"/>
      <c r="G878" s="111" t="s">
        <v>303</v>
      </c>
      <c r="H878" s="149"/>
      <c r="I878" s="149"/>
      <c r="J878" s="149"/>
    </row>
    <row r="879" spans="1:10">
      <c r="A879" s="63" t="e">
        <f>CONCATENATE("Total days (",B855,")")</f>
        <v>#REF!</v>
      </c>
      <c r="D879" s="112" t="e">
        <f>IF(OR(D846=A837,D846=A838,D846=A840),ROUND(D855-C855,0),0)</f>
        <v>#REF!</v>
      </c>
      <c r="F879" s="112"/>
      <c r="G879" s="111" t="s">
        <v>303</v>
      </c>
      <c r="H879" s="149"/>
      <c r="I879" s="149"/>
      <c r="J879" s="149"/>
    </row>
    <row r="880" spans="1:10">
      <c r="A880" s="63" t="e">
        <f>CONCATENATE("Total days (",B856,")")</f>
        <v>#REF!</v>
      </c>
      <c r="D880" s="112" t="e">
        <f>IF(OR(D846=A837,D846=A838,D846=A840),ROUND(D856-C856,0),0)</f>
        <v>#REF!</v>
      </c>
      <c r="F880" s="112"/>
      <c r="G880" s="111" t="s">
        <v>303</v>
      </c>
      <c r="H880" s="149"/>
      <c r="I880" s="149"/>
      <c r="J880" s="149"/>
    </row>
    <row r="881" spans="1:11">
      <c r="A881" s="65" t="s">
        <v>366</v>
      </c>
      <c r="D881" s="112" t="e">
        <f>SUM(D878:D880)</f>
        <v>#REF!</v>
      </c>
      <c r="F881" s="112"/>
      <c r="G881" s="111" t="s">
        <v>305</v>
      </c>
      <c r="H881" s="149"/>
      <c r="I881" s="149"/>
      <c r="J881" s="149"/>
    </row>
    <row r="882" spans="1:11">
      <c r="D882" s="112"/>
      <c r="F882" s="112"/>
      <c r="G882" s="149"/>
      <c r="H882" s="149"/>
      <c r="I882" s="149"/>
      <c r="J882" s="149"/>
    </row>
    <row r="883" spans="1:11">
      <c r="A883" s="63" t="e">
        <f>CONCATENATE("Total weeks (",B854," YTD)")</f>
        <v>#REF!</v>
      </c>
      <c r="D883" s="112" t="e">
        <f>ROUND(D878/7,0)</f>
        <v>#REF!</v>
      </c>
      <c r="F883" s="112"/>
      <c r="G883" s="111" t="s">
        <v>306</v>
      </c>
      <c r="H883" s="149"/>
      <c r="I883" s="149"/>
      <c r="J883" s="149"/>
    </row>
    <row r="884" spans="1:11">
      <c r="A884" s="63" t="e">
        <f>CONCATENATE("Total weeks (",B855,")")</f>
        <v>#REF!</v>
      </c>
      <c r="D884" s="112" t="e">
        <f>IF(OR(D846=A837,D846=A838,D846=A840),ROUND(D879/7,0),0)</f>
        <v>#REF!</v>
      </c>
      <c r="F884" s="112"/>
      <c r="G884" s="111" t="s">
        <v>306</v>
      </c>
      <c r="H884" s="149"/>
      <c r="I884" s="149"/>
      <c r="J884" s="149"/>
    </row>
    <row r="885" spans="1:11">
      <c r="A885" s="63" t="e">
        <f>CONCATENATE("Total weeks (",B856,")")</f>
        <v>#REF!</v>
      </c>
      <c r="D885" s="112" t="e">
        <f>IF(OR(D846=A837,D846=A838,D846=A840),ROUND(D880/7,0),0)</f>
        <v>#REF!</v>
      </c>
      <c r="F885" s="112"/>
      <c r="G885" s="111" t="s">
        <v>306</v>
      </c>
      <c r="H885" s="149"/>
      <c r="I885" s="149"/>
      <c r="J885" s="149"/>
    </row>
    <row r="886" spans="1:11">
      <c r="A886" s="65" t="s">
        <v>367</v>
      </c>
      <c r="D886" s="112" t="e">
        <f>SUM(D883:D885)</f>
        <v>#REF!</v>
      </c>
      <c r="F886" s="112"/>
      <c r="G886" s="111" t="s">
        <v>308</v>
      </c>
      <c r="H886" s="149"/>
      <c r="I886" s="149"/>
      <c r="J886" s="149"/>
    </row>
    <row r="887" spans="1:11">
      <c r="D887" s="112"/>
      <c r="F887" s="112"/>
      <c r="G887" s="149"/>
      <c r="H887" s="149"/>
      <c r="I887" s="149"/>
      <c r="J887" s="149"/>
    </row>
    <row r="888" spans="1:11">
      <c r="A888" s="65" t="s">
        <v>309</v>
      </c>
      <c r="D888" s="112" t="e">
        <f>IF(OR(D886=0,D883=0),0,IF(OR(D846=A837,D846=A838,D846=A840),E857/D886,D863/D883))</f>
        <v>#REF!</v>
      </c>
      <c r="F888" s="112"/>
      <c r="G888" s="111" t="s">
        <v>310</v>
      </c>
      <c r="H888" s="149"/>
      <c r="I888" s="149"/>
      <c r="J888" s="149"/>
    </row>
    <row r="889" spans="1:11">
      <c r="A889" s="65" t="s">
        <v>311</v>
      </c>
      <c r="D889" s="112" t="e">
        <f>IF(D888=0,0,IF(OR(D846=A837,D846=A838,D846=A840),D844,D844/VLOOKUP(D846,A833:E841,3)))</f>
        <v>#REF!</v>
      </c>
      <c r="F889" s="112"/>
      <c r="G889" s="111" t="s">
        <v>312</v>
      </c>
      <c r="H889" s="149"/>
      <c r="I889" s="149"/>
      <c r="J889" s="149"/>
    </row>
    <row r="890" spans="1:11">
      <c r="A890" s="65" t="s">
        <v>313</v>
      </c>
      <c r="D890" s="147" t="e">
        <f>IF(D889=0,0,ROUND(D888/D889,1))</f>
        <v>#REF!</v>
      </c>
      <c r="E890" s="112"/>
      <c r="F890" s="112"/>
      <c r="G890" s="111" t="s">
        <v>314</v>
      </c>
      <c r="K890" s="112"/>
    </row>
    <row r="892" spans="1:11">
      <c r="A892" s="65" t="s">
        <v>368</v>
      </c>
      <c r="D892" s="148" t="e">
        <f>MIN(G854,G857)</f>
        <v>#REF!</v>
      </c>
      <c r="G892" s="111" t="s">
        <v>316</v>
      </c>
    </row>
    <row r="893" spans="1:11">
      <c r="A893" s="65" t="s">
        <v>289</v>
      </c>
      <c r="D893" s="148" t="e">
        <f>IF(OR(E854="",E854=0,A854=FALSE()),"",ROUND(((D854-C854)/365)*12,1))</f>
        <v>#REF!</v>
      </c>
      <c r="F893" s="63" t="e">
        <f>VLOOKUP(D846,#REF!,4)</f>
        <v>#REF!</v>
      </c>
      <c r="G893" s="111" t="s">
        <v>317</v>
      </c>
    </row>
    <row r="894" spans="1:11">
      <c r="A894" s="65" t="s">
        <v>318</v>
      </c>
      <c r="D894" s="112" t="e">
        <f>IF(OR(D892=0,D892="",D893=0,D893=""),0,ROUND(D892*D893,0))</f>
        <v>#REF!</v>
      </c>
      <c r="G894" s="111" t="s">
        <v>319</v>
      </c>
    </row>
    <row r="896" spans="1:11">
      <c r="A896" s="310" t="s">
        <v>81</v>
      </c>
      <c r="B896" s="310"/>
      <c r="C896" s="310"/>
      <c r="D896" s="310"/>
      <c r="E896" s="310"/>
      <c r="F896" s="310"/>
      <c r="G896" s="310"/>
      <c r="H896" s="310"/>
      <c r="I896" s="310"/>
      <c r="J896" s="310"/>
      <c r="K896" s="310"/>
    </row>
    <row r="898" spans="1:11">
      <c r="A898" s="157" t="s">
        <v>265</v>
      </c>
      <c r="B898" s="157" t="s">
        <v>91</v>
      </c>
      <c r="C898" s="157" t="s">
        <v>266</v>
      </c>
      <c r="D898" s="157" t="s">
        <v>82</v>
      </c>
      <c r="E898" s="157" t="s">
        <v>267</v>
      </c>
      <c r="F898" s="157" t="s">
        <v>268</v>
      </c>
      <c r="G898" s="157" t="s">
        <v>36</v>
      </c>
      <c r="H898" s="157" t="s">
        <v>68</v>
      </c>
      <c r="I898" s="157"/>
      <c r="J898" s="157"/>
      <c r="K898" s="157" t="s">
        <v>84</v>
      </c>
    </row>
    <row r="899" spans="1:11">
      <c r="A899" s="137" t="b">
        <f>TRUE()</f>
        <v>1</v>
      </c>
      <c r="B899" s="83" t="e">
        <f>#REF!</f>
        <v>#REF!</v>
      </c>
      <c r="C899" s="138" t="e">
        <f>#REF!</f>
        <v>#REF!</v>
      </c>
      <c r="D899" s="48" t="e">
        <f>#REF!</f>
        <v>#REF!</v>
      </c>
      <c r="E899" s="139" t="e">
        <f>#REF!</f>
        <v>#REF!</v>
      </c>
      <c r="F899" s="130" t="e">
        <f>IF(OR(A899=FALSE(),C899=0,E899=0),0,E899*VLOOKUP(B899,$C$37:$D$42,2))</f>
        <v>#REF!</v>
      </c>
      <c r="G899" s="130" t="e">
        <f>IF(AND(C899&lt;&gt;0,D899&lt;&gt;0),0,IF(D899&lt;&gt;0,C899-D899,C899-F899))</f>
        <v>#REF!</v>
      </c>
      <c r="H899" s="131" t="e">
        <f>#REF!</f>
        <v>#REF!</v>
      </c>
      <c r="I899" s="131"/>
      <c r="J899" s="131"/>
      <c r="K899" s="130" t="e">
        <f>IF(A899=FALSE(),"",IF(AND(D899&gt;0,E899&gt;0),"Error Dep &amp; Buss",IF(OR(H899=0,H899=""),0,ROUND(G899/H899,0))))</f>
        <v>#REF!</v>
      </c>
    </row>
    <row r="900" spans="1:11">
      <c r="A900" s="39" t="b">
        <f>TRUE()</f>
        <v>1</v>
      </c>
      <c r="B900" s="83" t="e">
        <f>#REF!</f>
        <v>#REF!</v>
      </c>
      <c r="C900" s="138" t="e">
        <f>#REF!</f>
        <v>#REF!</v>
      </c>
      <c r="D900" s="48" t="e">
        <f>#REF!</f>
        <v>#REF!</v>
      </c>
      <c r="E900" s="139" t="e">
        <f>#REF!</f>
        <v>#REF!</v>
      </c>
      <c r="F900" s="130" t="e">
        <f>IF(OR(A900=FALSE(),C900=0,E900=0),0,E900*VLOOKUP(B900,$C$37:$D$42,2))</f>
        <v>#REF!</v>
      </c>
      <c r="G900" s="130" t="e">
        <f>IF(AND(C900&lt;&gt;0,D900&lt;&gt;0),0,IF(D900&lt;&gt;0,C900-D900,C900-F900))</f>
        <v>#REF!</v>
      </c>
      <c r="H900" s="131" t="e">
        <f>#REF!</f>
        <v>#REF!</v>
      </c>
      <c r="I900" s="131"/>
      <c r="J900" s="131"/>
      <c r="K900" s="130" t="e">
        <f>IF(A900=FALSE(),"",IF(AND(D900&gt;0,E900&gt;0),"Error Dep &amp; Buss",IF(OR(H900=0,H900=""),0,ROUND(G900/H900,0))))</f>
        <v>#REF!</v>
      </c>
    </row>
    <row r="901" spans="1:11">
      <c r="A901" s="78" t="s">
        <v>255</v>
      </c>
      <c r="B901" s="128"/>
      <c r="C901" s="129"/>
      <c r="D901" s="129"/>
      <c r="E901" s="139" t="e">
        <f>SUM(E899:E900)</f>
        <v>#REF!</v>
      </c>
      <c r="F901" s="130" t="e">
        <f>SUM(F899:F900)</f>
        <v>#REF!</v>
      </c>
      <c r="G901" s="130" t="e">
        <f>SUM(G899:G900)</f>
        <v>#REF!</v>
      </c>
      <c r="H901" s="131" t="e">
        <f>SUM(H899:H900)</f>
        <v>#REF!</v>
      </c>
      <c r="I901" s="131"/>
      <c r="J901" s="131"/>
      <c r="K901" s="130">
        <f>IF(ISERROR(G901/H901),0,IF(AND(A899=TRUE(),A900=TRUE()),ROUND(G901/H901,0),IF(AND(A899=TRUE(),A900=FALSE()),K899,IF(AND(A899=FALSE(),A900=TRUE()),K900,0))))</f>
        <v>0</v>
      </c>
    </row>
    <row r="903" spans="1:11">
      <c r="A903" s="65" t="s">
        <v>269</v>
      </c>
      <c r="D903" s="65" t="b">
        <f>TRUE()</f>
        <v>1</v>
      </c>
      <c r="G903" s="111" t="s">
        <v>270</v>
      </c>
    </row>
    <row r="905" spans="1:11">
      <c r="A905" s="310" t="s">
        <v>369</v>
      </c>
      <c r="B905" s="310"/>
      <c r="C905" s="310"/>
      <c r="D905" s="310"/>
      <c r="E905" s="310"/>
      <c r="F905" s="310"/>
      <c r="G905" s="310"/>
      <c r="H905" s="310"/>
      <c r="I905" s="310"/>
      <c r="J905" s="310"/>
      <c r="K905" s="310"/>
    </row>
    <row r="907" spans="1:11">
      <c r="D907" s="42">
        <v>2016</v>
      </c>
    </row>
    <row r="908" spans="1:11">
      <c r="A908" s="65" t="s">
        <v>370</v>
      </c>
      <c r="D908" s="63">
        <v>253.63</v>
      </c>
      <c r="G908" s="110"/>
    </row>
    <row r="909" spans="1:11">
      <c r="A909" s="65" t="s">
        <v>371</v>
      </c>
      <c r="D909" s="63">
        <v>368.29</v>
      </c>
      <c r="G909" s="110"/>
    </row>
    <row r="910" spans="1:11">
      <c r="G910" s="110"/>
    </row>
    <row r="911" spans="1:11">
      <c r="A911" s="65" t="s">
        <v>372</v>
      </c>
      <c r="D911" s="112" t="e">
        <f>#REF!</f>
        <v>#REF!</v>
      </c>
      <c r="G911" s="110"/>
    </row>
    <row r="912" spans="1:11">
      <c r="D912" s="112"/>
      <c r="G912" s="110"/>
    </row>
    <row r="913" spans="1:11">
      <c r="A913" s="65" t="s">
        <v>373</v>
      </c>
      <c r="D913" s="63" t="e">
        <f ca="1">IF(D911=0,CONCATENATE("BAS rate for year ",YEAR(TODAY())),IF(D911&lt;350,CONCATENATE("BAS rate for Officers for year ",YEAR(TODAY())),CONCATENATE("BAS rate for Enlisted Personnal for year ",YEAR(TODAY()))))</f>
        <v>#REF!</v>
      </c>
    </row>
    <row r="915" spans="1:11">
      <c r="A915" s="310" t="s">
        <v>271</v>
      </c>
      <c r="B915" s="310"/>
      <c r="C915" s="310"/>
      <c r="D915" s="310"/>
      <c r="E915" s="310"/>
      <c r="F915" s="310"/>
      <c r="G915" s="310"/>
      <c r="H915" s="310"/>
      <c r="I915" s="310"/>
      <c r="J915" s="310"/>
      <c r="K915" s="310"/>
    </row>
    <row r="917" spans="1:11">
      <c r="A917" s="65" t="s">
        <v>272</v>
      </c>
      <c r="D917" s="115" t="e">
        <f>G857</f>
        <v>#REF!</v>
      </c>
      <c r="F917" s="63" t="e">
        <f>IF(OR(D856=A847,D856=A848,D856=A850),CONCATENATE("total average earnings for the past ",I857," months"),"(lower of Current Rate or YTD avg, or explanation provided)")</f>
        <v>#REF!</v>
      </c>
    </row>
    <row r="918" spans="1:11">
      <c r="A918" s="65" t="s">
        <v>374</v>
      </c>
      <c r="D918" s="115" t="e">
        <f>ROUND(#REF!+(#REF!*#REF!),0)</f>
        <v>#REF!</v>
      </c>
    </row>
    <row r="919" spans="1:11">
      <c r="A919" s="65" t="s">
        <v>375</v>
      </c>
      <c r="D919" s="115" t="e">
        <f>ROUND(#REF!+(#REF!*#REF!),0)</f>
        <v>#REF!</v>
      </c>
    </row>
    <row r="920" spans="1:11">
      <c r="A920" s="65" t="s">
        <v>273</v>
      </c>
      <c r="D920" s="115">
        <f>IF(K901=0,0,IF(D903=TRUE(),K901,0))</f>
        <v>0</v>
      </c>
    </row>
    <row r="921" spans="1:11">
      <c r="A921" s="65" t="s">
        <v>274</v>
      </c>
      <c r="D921" s="115" t="e">
        <f>#REF!</f>
        <v>#REF!</v>
      </c>
    </row>
    <row r="922" spans="1:11">
      <c r="A922" s="65" t="s">
        <v>275</v>
      </c>
      <c r="D922" s="115" t="e">
        <f>SUM(D917:D921)</f>
        <v>#REF!</v>
      </c>
    </row>
    <row r="923" spans="1:11">
      <c r="B923" s="112"/>
      <c r="C923" s="140"/>
      <c r="D923" s="40"/>
    </row>
    <row r="924" spans="1:11">
      <c r="A924" s="310" t="s">
        <v>320</v>
      </c>
      <c r="B924" s="310"/>
      <c r="C924" s="310"/>
      <c r="D924" s="310"/>
      <c r="E924" s="310"/>
      <c r="F924" s="310"/>
      <c r="G924" s="310"/>
      <c r="H924" s="310"/>
      <c r="I924" s="310"/>
      <c r="J924" s="310"/>
      <c r="K924" s="310"/>
    </row>
    <row r="925" spans="1:11">
      <c r="B925" s="112"/>
      <c r="C925" s="140"/>
      <c r="D925" s="40"/>
    </row>
    <row r="926" spans="1:11">
      <c r="A926" s="65" t="s">
        <v>321</v>
      </c>
      <c r="B926" s="112"/>
      <c r="C926" s="140"/>
      <c r="D926" s="63" t="e">
        <f>IF(AND(E854=0,E855=0,E856=0),"Variances in annual earnings to be determined",IF(AND(E854&gt;0,E855&gt;0,E856&gt;0),CONCATENATE("Variances in annual earnings:  ",D859," &amp; ",D860),IF(AND(E854&gt;0,E855&gt;0,E856=0),CONCATENATE("Variances in annual earnings:  ",D860),IF(AND(E854=0,E855&gt;0,E856&gt;0),CONCATENATE("Variances in annual earnings:  ",D859),IF(AND(E854&gt;0,E855=0,E856&gt;0),CONCATENATE("Variances in annual earnings:  ",D861),"")))))</f>
        <v>#REF!</v>
      </c>
    </row>
    <row r="927" spans="1:11">
      <c r="A927" s="65" t="s">
        <v>332</v>
      </c>
      <c r="D927" s="63" t="e">
        <f>IF(AND(E854=0,E855=0,E856=0),"Years included in Total Qualifying Income calculations to be determined",CONCATENATE("Total qualifying income determined with earnings from ",IF(AND(M854=TRUE(),M855=TRUE(),M856=TRUE()),CONCATENATE("YTD ",B854,", Year ",B855,", and Year ",B856),IF(AND(M854=TRUE(),M855=TRUE(),M856=FALSE()),CONCATENATE("YTD ",B854,", and Year ",B855),IF(AND(M854=TRUE(),M855=FALSE(),M856=TRUE()),CONCATENATE("YTD ",B854," and Year ",B856),IF(AND(M854=FALSE(),M855=TRUE(),M856=TRUE()),CONCATENATE("Year ",B855," and Year ",B856),IF(AND(M854=FALSE(),M855=TRUE(),M856=FALSE()),CONCATENATE("Year ",B855),IF(AND(A854=FALSE(),A855=FALSE(),A856=TRUE()),CONCATENATE("Year ",B856),))))))))</f>
        <v>#REF!</v>
      </c>
    </row>
    <row r="928" spans="1:11">
      <c r="A928" s="65" t="s">
        <v>333</v>
      </c>
      <c r="D928" s="63" t="e">
        <f>IF(AND(E854=0,E855=0,E856=0),"Average weekly hours worked to be determined",IF(OR(D844=0,D844="",D846=A838,D846=A840),"Average weekly hours worked vary.",CONCATENATE("YTD earnings, at current rate of pay, reflect borrower is working an average of ",TEXT(D890,"##.0")," hours weekly.")))</f>
        <v>#REF!</v>
      </c>
    </row>
    <row r="929" spans="1:11">
      <c r="A929" s="65" t="s">
        <v>334</v>
      </c>
      <c r="D929" s="63" t="e">
        <f>IF(OR(C854="",D894=0),"Expected amount of YTD earnings to be determined.",VLOOKUP(D846,A833:E841,5))</f>
        <v>#REF!</v>
      </c>
    </row>
    <row r="930" spans="1:11">
      <c r="A930" s="65" t="s">
        <v>335</v>
      </c>
      <c r="B930" s="112"/>
      <c r="C930" s="140"/>
      <c r="D930" s="63" t="e">
        <f>IF(F857=0,"Total Average Base Earnings and period covered to be determined",CONCATENATE("Total Average Base Earnings For The Past ",Data_Income!I857," Months = ",DOLLAR(ROUND(J857,0),2)))</f>
        <v>#REF!</v>
      </c>
    </row>
    <row r="932" spans="1:11" ht="15.75" customHeight="1">
      <c r="A932" s="305" t="s">
        <v>376</v>
      </c>
      <c r="B932" s="305"/>
      <c r="C932" s="305"/>
      <c r="D932" s="305"/>
      <c r="E932" s="305"/>
      <c r="F932" s="305"/>
      <c r="G932" s="305"/>
      <c r="H932" s="305"/>
      <c r="I932" s="305"/>
      <c r="J932" s="305"/>
      <c r="K932" s="305"/>
    </row>
    <row r="934" spans="1:11">
      <c r="A934" s="65" t="s">
        <v>377</v>
      </c>
    </row>
    <row r="936" spans="1:11" ht="15.75" customHeight="1">
      <c r="A936" s="305" t="s">
        <v>378</v>
      </c>
      <c r="B936" s="305"/>
      <c r="C936" s="305"/>
      <c r="D936" s="305"/>
      <c r="E936" s="305"/>
      <c r="F936" s="305"/>
      <c r="G936" s="305"/>
      <c r="H936" s="305"/>
      <c r="I936" s="305"/>
      <c r="J936" s="305"/>
      <c r="K936" s="305"/>
    </row>
    <row r="938" spans="1:11">
      <c r="A938" s="311" t="s">
        <v>379</v>
      </c>
      <c r="B938" s="311"/>
      <c r="C938" s="158" t="s">
        <v>380</v>
      </c>
    </row>
    <row r="939" spans="1:11">
      <c r="A939" s="312" t="s">
        <v>381</v>
      </c>
      <c r="B939" s="312"/>
      <c r="C939" s="159">
        <f>'Back-to-Work'!CK11</f>
        <v>0</v>
      </c>
    </row>
    <row r="940" spans="1:11">
      <c r="A940" s="313" t="s">
        <v>382</v>
      </c>
      <c r="B940" s="313"/>
      <c r="C940" s="159">
        <f>C939+1</f>
        <v>1</v>
      </c>
    </row>
    <row r="941" spans="1:11">
      <c r="A941" s="313" t="s">
        <v>383</v>
      </c>
      <c r="B941" s="313"/>
      <c r="C941" s="159">
        <f>EDATE(C940,6)</f>
        <v>183</v>
      </c>
    </row>
    <row r="943" spans="1:11">
      <c r="A943" s="158" t="s">
        <v>384</v>
      </c>
      <c r="B943" s="158" t="s">
        <v>385</v>
      </c>
      <c r="C943" s="158" t="s">
        <v>386</v>
      </c>
      <c r="D943" s="158" t="s">
        <v>68</v>
      </c>
      <c r="E943" s="158" t="s">
        <v>84</v>
      </c>
    </row>
    <row r="944" spans="1:11">
      <c r="A944" s="160" t="s">
        <v>387</v>
      </c>
      <c r="B944" s="161">
        <f>'Back-to-Work'!CK12</f>
        <v>0</v>
      </c>
      <c r="C944" s="161">
        <f>'Back-to-Work'!CK19</f>
        <v>0</v>
      </c>
      <c r="D944" s="162">
        <f>IF(OR(B944=0,C944=0),0,((C941-C939)/365)*12)</f>
        <v>0</v>
      </c>
      <c r="E944" s="161">
        <f>IF(OR(B944=0,C944=0),0,C944/D944)</f>
        <v>0</v>
      </c>
    </row>
    <row r="945" spans="1:11">
      <c r="A945" s="145" t="s">
        <v>388</v>
      </c>
      <c r="B945" s="161">
        <f>'Back-to-Work'!CK13</f>
        <v>0</v>
      </c>
      <c r="C945" s="161">
        <f>'Back-to-Work'!CK20</f>
        <v>0</v>
      </c>
      <c r="D945" s="162">
        <f>IF(OR(B945=0,C945=0),0,((C941-C939)/365)*12)</f>
        <v>0</v>
      </c>
      <c r="E945" s="161">
        <f>IF(OR(B945=0,C945=0),0,C945/D945)</f>
        <v>0</v>
      </c>
    </row>
    <row r="946" spans="1:11">
      <c r="A946" s="145" t="s">
        <v>255</v>
      </c>
      <c r="B946" s="163">
        <f>SUM(B944:B945)</f>
        <v>0</v>
      </c>
      <c r="C946" s="163">
        <f>SUM(C944:C945)</f>
        <v>0</v>
      </c>
      <c r="D946" s="164">
        <f>IF(OR(B946=0,C946=0),0,((C941-C939)/365)*12)</f>
        <v>0</v>
      </c>
      <c r="E946" s="161">
        <f>IF(OR(B946=0,C946=0),0,ROUND(C946/D946,0))</f>
        <v>0</v>
      </c>
      <c r="F946" s="144" t="str">
        <f>IF(OR(B946=0,C946=0)," ",(B946-E946)/B946)</f>
        <v xml:space="preserve"> </v>
      </c>
    </row>
    <row r="948" spans="1:11">
      <c r="A948" s="65" t="s">
        <v>389</v>
      </c>
      <c r="B948" s="63" t="str">
        <f>IF(C939=""," ",CONCATENATE(" Borrower's total income beginning on ",MONTH(C940),"/",DAY(C940),"/",YEAR(C940)," and ending on ",MONTH(C941),"/",DAY(C941),"/",YEAR(C941)))</f>
        <v xml:space="preserve"> Borrower's total income beginning on 1/1/1900 and ending on 7/1/1900</v>
      </c>
      <c r="G948" s="165" t="s">
        <v>390</v>
      </c>
      <c r="H948" s="165"/>
      <c r="I948" s="165"/>
      <c r="J948" s="165"/>
    </row>
    <row r="949" spans="1:11">
      <c r="A949" s="65" t="s">
        <v>391</v>
      </c>
      <c r="B949" s="63" t="str">
        <f>IF(C939=""," ",CONCATENATE(" Other household total income beginning on ",MONTH(C940),"/",DAY(C940),"/",YEAR(C940)," and ending on ",MONTH(C941),"/",DAY(C941),"/",YEAR(C941)))</f>
        <v xml:space="preserve"> Other household total income beginning on 1/1/1900 and ending on 7/1/1900</v>
      </c>
      <c r="G949" s="165" t="s">
        <v>392</v>
      </c>
    </row>
    <row r="950" spans="1:11">
      <c r="A950" s="65" t="s">
        <v>393</v>
      </c>
      <c r="B950" s="63" t="str">
        <f>IF(C939=""," ",CONCATENATE(" Grand Total Household Income beginning on ",MONTH(C940),"/",DAY(C940),"/",YEAR(C940)," and ending on ",MONTH(C941),"/",DAY(C941),"/",YEAR(C941)))</f>
        <v xml:space="preserve"> Grand Total Household Income beginning on 1/1/1900 and ending on 7/1/1900</v>
      </c>
      <c r="G950" s="165" t="s">
        <v>394</v>
      </c>
    </row>
    <row r="951" spans="1:11">
      <c r="A951" s="65" t="s">
        <v>395</v>
      </c>
      <c r="B951" s="63" t="str">
        <f>IF(C939=""," ",CONCATENATE(" Grand Total Household Monthly Income Average for the period of ",MONTH(C940),"/",DAY(C940),"/",YEAR(C940)," to ",MONTH(C941),"/",DAY(C941),"/",YEAR(C941)))</f>
        <v xml:space="preserve"> Grand Total Household Monthly Income Average for the period of 1/1/1900 to 7/1/1900</v>
      </c>
      <c r="G951" s="165" t="s">
        <v>396</v>
      </c>
    </row>
    <row r="953" spans="1:11">
      <c r="A953" s="65" t="s">
        <v>397</v>
      </c>
      <c r="B953" s="63" t="str">
        <f>IF(F946=" "," ",CONCATENATE("Based on figures above, it appears the Economic Event caused a reduction in borrower's household income of ",ROUND(F946*100,1),"% for a period of ",ROUND(((C941-C939)/365)*12,1)," months following the economic event."))</f>
        <v xml:space="preserve"> </v>
      </c>
      <c r="G953" s="165" t="s">
        <v>398</v>
      </c>
    </row>
    <row r="954" spans="1:11">
      <c r="A954" s="65" t="s">
        <v>399</v>
      </c>
      <c r="B954" s="63" t="str">
        <f>IF(F946=" "," ",IF(F946&gt;19.99%,B956,B957))</f>
        <v xml:space="preserve"> </v>
      </c>
      <c r="G954" s="165" t="s">
        <v>400</v>
      </c>
    </row>
    <row r="956" spans="1:11">
      <c r="A956" s="65" t="s">
        <v>401</v>
      </c>
      <c r="B956" s="65" t="s">
        <v>402</v>
      </c>
    </row>
    <row r="957" spans="1:11">
      <c r="A957" s="65" t="s">
        <v>403</v>
      </c>
      <c r="B957" s="65" t="s">
        <v>404</v>
      </c>
    </row>
    <row r="959" spans="1:11" ht="15">
      <c r="A959" s="305" t="s">
        <v>405</v>
      </c>
      <c r="B959" s="305"/>
      <c r="C959" s="305"/>
      <c r="D959" s="305"/>
      <c r="E959" s="305"/>
      <c r="F959" s="305"/>
      <c r="G959" s="305"/>
      <c r="H959" s="305"/>
      <c r="I959" s="305"/>
      <c r="J959" s="305"/>
      <c r="K959" s="305"/>
    </row>
    <row r="961" spans="1:4">
      <c r="A961" s="65" t="s">
        <v>406</v>
      </c>
      <c r="C961" s="166" t="e">
        <f>#REF!</f>
        <v>#REF!</v>
      </c>
      <c r="D961" s="167" t="e">
        <f>#REF!</f>
        <v>#REF!</v>
      </c>
    </row>
    <row r="962" spans="1:4">
      <c r="A962" s="168" t="s">
        <v>407</v>
      </c>
      <c r="C962" s="169" t="e">
        <f>#REF!</f>
        <v>#REF!</v>
      </c>
      <c r="D962" s="169" t="e">
        <f>#REF!</f>
        <v>#REF!</v>
      </c>
    </row>
    <row r="963" spans="1:4">
      <c r="A963" s="168" t="s">
        <v>408</v>
      </c>
      <c r="C963" s="169" t="e">
        <f>#REF!+#REF!</f>
        <v>#REF!</v>
      </c>
      <c r="D963" s="169" t="e">
        <f>#REF!+#REF!</f>
        <v>#REF!</v>
      </c>
    </row>
    <row r="964" spans="1:4">
      <c r="A964" s="168" t="s">
        <v>409</v>
      </c>
      <c r="C964" s="169" t="e">
        <f>(SUM(#REF!)+#REF!+#REF!)-#REF!</f>
        <v>#REF!</v>
      </c>
      <c r="D964" s="169" t="e">
        <f>(SUM(#REF!)+#REF!+#REF!)-#REF!</f>
        <v>#REF!</v>
      </c>
    </row>
    <row r="965" spans="1:4">
      <c r="A965" s="168" t="s">
        <v>410</v>
      </c>
      <c r="C965" s="169" t="e">
        <f>#REF!</f>
        <v>#REF!</v>
      </c>
      <c r="D965" s="169" t="e">
        <f>#REF!</f>
        <v>#REF!</v>
      </c>
    </row>
    <row r="966" spans="1:4">
      <c r="A966" s="168" t="s">
        <v>411</v>
      </c>
      <c r="C966" s="169" t="e">
        <f>(#REF!+#REF!)-#REF!</f>
        <v>#REF!</v>
      </c>
      <c r="D966" s="169" t="e">
        <f>(#REF!+#REF!)-#REF!</f>
        <v>#REF!</v>
      </c>
    </row>
    <row r="967" spans="1:4">
      <c r="A967" s="168" t="s">
        <v>412</v>
      </c>
      <c r="C967" s="169" t="e">
        <f>SUM(#REF!)</f>
        <v>#REF!</v>
      </c>
      <c r="D967" s="169" t="e">
        <f>SUM(#REF!)</f>
        <v>#REF!</v>
      </c>
    </row>
    <row r="968" spans="1:4">
      <c r="A968" s="168"/>
      <c r="C968" s="169"/>
      <c r="D968" s="169"/>
    </row>
    <row r="969" spans="1:4">
      <c r="A969" s="168" t="s">
        <v>413</v>
      </c>
      <c r="C969" s="169" t="e">
        <f>SUM(#REF!)</f>
        <v>#REF!</v>
      </c>
      <c r="D969" s="169" t="e">
        <f>SUM(#REF!)</f>
        <v>#REF!</v>
      </c>
    </row>
    <row r="970" spans="1:4">
      <c r="A970" s="168"/>
      <c r="C970" s="169"/>
      <c r="D970" s="169"/>
    </row>
    <row r="971" spans="1:4">
      <c r="A971" s="168" t="s">
        <v>414</v>
      </c>
      <c r="C971" s="169" t="e">
        <f>SUM(#REF!)-(#REF!+#REF!)</f>
        <v>#REF!</v>
      </c>
      <c r="D971" s="169" t="e">
        <f>SUM(#REF!)-(#REF!+#REF!)</f>
        <v>#REF!</v>
      </c>
    </row>
    <row r="972" spans="1:4">
      <c r="A972" s="168" t="s">
        <v>415</v>
      </c>
      <c r="C972" s="170" t="e">
        <f>#REF!</f>
        <v>#REF!</v>
      </c>
      <c r="D972" s="170" t="e">
        <f>#REF!</f>
        <v>#REF!</v>
      </c>
    </row>
    <row r="973" spans="1:4">
      <c r="A973" s="168" t="s">
        <v>416</v>
      </c>
      <c r="C973" s="169" t="e">
        <f>C971*C972</f>
        <v>#REF!</v>
      </c>
      <c r="D973" s="169" t="e">
        <f>D971*D972</f>
        <v>#REF!</v>
      </c>
    </row>
    <row r="974" spans="1:4">
      <c r="A974" s="168"/>
      <c r="C974" s="169"/>
      <c r="D974" s="169"/>
    </row>
    <row r="975" spans="1:4">
      <c r="A975" s="168" t="s">
        <v>417</v>
      </c>
      <c r="C975" s="169" t="e">
        <f>#REF!+#REF!</f>
        <v>#REF!</v>
      </c>
      <c r="D975" s="169" t="e">
        <f>#REF!+#REF!</f>
        <v>#REF!</v>
      </c>
    </row>
    <row r="976" spans="1:4">
      <c r="A976" s="168"/>
      <c r="C976" s="169"/>
      <c r="D976" s="169"/>
    </row>
    <row r="977" spans="1:9">
      <c r="A977" s="168" t="s">
        <v>418</v>
      </c>
      <c r="C977" s="169" t="e">
        <f>SUM(#REF!)-(#REF!+#REF!)</f>
        <v>#REF!</v>
      </c>
      <c r="D977" s="169" t="e">
        <f>SUM(#REF!)-(#REF!+#REF!)</f>
        <v>#REF!</v>
      </c>
    </row>
    <row r="978" spans="1:9">
      <c r="A978" s="168" t="s">
        <v>419</v>
      </c>
      <c r="C978" s="170" t="e">
        <f>#REF!</f>
        <v>#REF!</v>
      </c>
      <c r="D978" s="170" t="e">
        <f>#REF!</f>
        <v>#REF!</v>
      </c>
    </row>
    <row r="979" spans="1:9">
      <c r="A979" s="168" t="s">
        <v>420</v>
      </c>
      <c r="C979" s="169" t="e">
        <f>C977*C978</f>
        <v>#REF!</v>
      </c>
      <c r="D979" s="169" t="e">
        <f>D977*D978</f>
        <v>#REF!</v>
      </c>
    </row>
    <row r="980" spans="1:9">
      <c r="A980" s="168"/>
      <c r="C980" s="169"/>
      <c r="D980" s="169"/>
    </row>
    <row r="981" spans="1:9">
      <c r="A981" s="168" t="s">
        <v>421</v>
      </c>
      <c r="C981" s="169" t="e">
        <f>(#REF!+SUM(#REF!))-(#REF!+#REF!+#REF!)</f>
        <v>#REF!</v>
      </c>
      <c r="D981" s="169" t="e">
        <f>(#REF!+SUM(#REF!))-(#REF!+#REF!+#REF!)</f>
        <v>#REF!</v>
      </c>
    </row>
    <row r="982" spans="1:9">
      <c r="A982" s="168" t="s">
        <v>422</v>
      </c>
      <c r="C982" s="169" t="e">
        <f>#REF!</f>
        <v>#REF!</v>
      </c>
      <c r="D982" s="169" t="e">
        <f>#REF!</f>
        <v>#REF!</v>
      </c>
    </row>
    <row r="983" spans="1:9">
      <c r="A983" s="168" t="s">
        <v>423</v>
      </c>
      <c r="C983" s="169" t="e">
        <f>C981-C982</f>
        <v>#REF!</v>
      </c>
      <c r="D983" s="169" t="e">
        <f>D981-D982</f>
        <v>#REF!</v>
      </c>
    </row>
    <row r="984" spans="1:9">
      <c r="A984" s="168"/>
    </row>
    <row r="985" spans="1:9">
      <c r="A985" s="65" t="s">
        <v>255</v>
      </c>
      <c r="D985" s="77" t="e">
        <f>#REF!</f>
        <v>#REF!</v>
      </c>
      <c r="F985" s="77" t="e">
        <f>#REF!</f>
        <v>#REF!</v>
      </c>
    </row>
    <row r="986" spans="1:9">
      <c r="A986" s="168" t="s">
        <v>424</v>
      </c>
      <c r="D986" s="65" t="b">
        <f>TRUE()</f>
        <v>1</v>
      </c>
      <c r="E986" s="171" t="e">
        <f t="shared" ref="E986:E991" si="10">IF(D986=TRUE(),C962,0)</f>
        <v>#REF!</v>
      </c>
      <c r="F986" s="65" t="b">
        <f>TRUE()</f>
        <v>1</v>
      </c>
      <c r="G986" s="171" t="e">
        <f t="shared" ref="G986:G991" si="11">IF(F986=TRUE(),D962,0)</f>
        <v>#REF!</v>
      </c>
      <c r="H986" s="77">
        <f t="shared" ref="H986:H996" si="12">IF(AND(D986=FALSE(),F986=TRUE()),12,IF(AND(D986=TRUE(),F986=FALSE()),12,IF(AND(D986=TRUE(),F986=TRUE()),24,0)))</f>
        <v>24</v>
      </c>
      <c r="I986" s="171" t="e">
        <f t="shared" ref="I986:I996" si="13">IF(H986=0,0,(E986+G986)/H986)</f>
        <v>#REF!</v>
      </c>
    </row>
    <row r="987" spans="1:9">
      <c r="A987" s="168" t="s">
        <v>425</v>
      </c>
      <c r="D987" s="65" t="b">
        <f>FALSE()</f>
        <v>0</v>
      </c>
      <c r="E987" s="171">
        <f t="shared" si="10"/>
        <v>0</v>
      </c>
      <c r="F987" s="65" t="b">
        <f>FALSE()</f>
        <v>0</v>
      </c>
      <c r="G987" s="171">
        <f t="shared" si="11"/>
        <v>0</v>
      </c>
      <c r="H987" s="77">
        <f t="shared" si="12"/>
        <v>0</v>
      </c>
      <c r="I987" s="171">
        <f t="shared" si="13"/>
        <v>0</v>
      </c>
    </row>
    <row r="988" spans="1:9">
      <c r="A988" s="168" t="s">
        <v>426</v>
      </c>
      <c r="D988" s="65" t="b">
        <f>FALSE()</f>
        <v>0</v>
      </c>
      <c r="E988" s="171">
        <f t="shared" si="10"/>
        <v>0</v>
      </c>
      <c r="F988" s="65" t="b">
        <f>FALSE()</f>
        <v>0</v>
      </c>
      <c r="G988" s="171">
        <f t="shared" si="11"/>
        <v>0</v>
      </c>
      <c r="H988" s="77">
        <f t="shared" si="12"/>
        <v>0</v>
      </c>
      <c r="I988" s="171">
        <f t="shared" si="13"/>
        <v>0</v>
      </c>
    </row>
    <row r="989" spans="1:9">
      <c r="A989" s="168" t="s">
        <v>427</v>
      </c>
      <c r="D989" s="65" t="b">
        <f>FALSE()</f>
        <v>0</v>
      </c>
      <c r="E989" s="171">
        <f t="shared" si="10"/>
        <v>0</v>
      </c>
      <c r="F989" s="65" t="b">
        <f>FALSE()</f>
        <v>0</v>
      </c>
      <c r="G989" s="171">
        <f t="shared" si="11"/>
        <v>0</v>
      </c>
      <c r="H989" s="77">
        <f t="shared" si="12"/>
        <v>0</v>
      </c>
      <c r="I989" s="171">
        <f t="shared" si="13"/>
        <v>0</v>
      </c>
    </row>
    <row r="990" spans="1:9">
      <c r="A990" s="168" t="s">
        <v>428</v>
      </c>
      <c r="D990" s="65" t="b">
        <f>FALSE()</f>
        <v>0</v>
      </c>
      <c r="E990" s="171">
        <f t="shared" si="10"/>
        <v>0</v>
      </c>
      <c r="F990" s="65" t="b">
        <f>FALSE()</f>
        <v>0</v>
      </c>
      <c r="G990" s="171">
        <f t="shared" si="11"/>
        <v>0</v>
      </c>
      <c r="H990" s="77">
        <f t="shared" si="12"/>
        <v>0</v>
      </c>
      <c r="I990" s="171">
        <f t="shared" si="13"/>
        <v>0</v>
      </c>
    </row>
    <row r="991" spans="1:9">
      <c r="A991" s="168" t="s">
        <v>429</v>
      </c>
      <c r="D991" s="65" t="b">
        <f>FALSE()</f>
        <v>0</v>
      </c>
      <c r="E991" s="171">
        <f t="shared" si="10"/>
        <v>0</v>
      </c>
      <c r="F991" s="65" t="b">
        <f>FALSE()</f>
        <v>0</v>
      </c>
      <c r="G991" s="171">
        <f t="shared" si="11"/>
        <v>0</v>
      </c>
      <c r="H991" s="77">
        <f t="shared" si="12"/>
        <v>0</v>
      </c>
      <c r="I991" s="171">
        <f t="shared" si="13"/>
        <v>0</v>
      </c>
    </row>
    <row r="992" spans="1:9">
      <c r="A992" s="168" t="s">
        <v>430</v>
      </c>
      <c r="D992" s="65" t="b">
        <f>FALSE()</f>
        <v>0</v>
      </c>
      <c r="E992" s="171">
        <f>IF(D992=TRUE(),C969,0)</f>
        <v>0</v>
      </c>
      <c r="F992" s="65" t="b">
        <f>FALSE()</f>
        <v>0</v>
      </c>
      <c r="G992" s="171">
        <f>IF(F992=TRUE(),D969,0)</f>
        <v>0</v>
      </c>
      <c r="H992" s="77">
        <f t="shared" si="12"/>
        <v>0</v>
      </c>
      <c r="I992" s="171">
        <f t="shared" si="13"/>
        <v>0</v>
      </c>
    </row>
    <row r="993" spans="1:66">
      <c r="A993" s="168" t="s">
        <v>431</v>
      </c>
      <c r="D993" s="65" t="b">
        <f>FALSE()</f>
        <v>0</v>
      </c>
      <c r="E993" s="171">
        <f>IF(D993=TRUE(),C973,0)</f>
        <v>0</v>
      </c>
      <c r="F993" s="65" t="b">
        <f>FALSE()</f>
        <v>0</v>
      </c>
      <c r="G993" s="171">
        <f>IF(F993=TRUE(),D973,0)</f>
        <v>0</v>
      </c>
      <c r="H993" s="77">
        <f t="shared" si="12"/>
        <v>0</v>
      </c>
      <c r="I993" s="171">
        <f t="shared" si="13"/>
        <v>0</v>
      </c>
    </row>
    <row r="994" spans="1:66">
      <c r="A994" s="168" t="s">
        <v>432</v>
      </c>
      <c r="D994" s="65" t="b">
        <f>FALSE()</f>
        <v>0</v>
      </c>
      <c r="E994" s="171">
        <f>IF(D994=TRUE(),C975,0)</f>
        <v>0</v>
      </c>
      <c r="F994" s="65" t="b">
        <f>FALSE()</f>
        <v>0</v>
      </c>
      <c r="G994" s="171">
        <f>IF(F994=TRUE(),D975,0)</f>
        <v>0</v>
      </c>
      <c r="H994" s="77">
        <f t="shared" si="12"/>
        <v>0</v>
      </c>
      <c r="I994" s="171">
        <f t="shared" si="13"/>
        <v>0</v>
      </c>
    </row>
    <row r="995" spans="1:66">
      <c r="A995" s="168" t="s">
        <v>433</v>
      </c>
      <c r="D995" s="65" t="b">
        <f>FALSE()</f>
        <v>0</v>
      </c>
      <c r="E995" s="171">
        <f>IF(D995=TRUE(),C979,0)</f>
        <v>0</v>
      </c>
      <c r="F995" s="65" t="b">
        <f>TRUE()</f>
        <v>1</v>
      </c>
      <c r="G995" s="171" t="e">
        <f>IF(F995=TRUE(),D979,0)</f>
        <v>#REF!</v>
      </c>
      <c r="H995" s="77">
        <f t="shared" si="12"/>
        <v>12</v>
      </c>
      <c r="I995" s="171" t="e">
        <f t="shared" si="13"/>
        <v>#REF!</v>
      </c>
    </row>
    <row r="996" spans="1:66">
      <c r="A996" s="168" t="s">
        <v>434</v>
      </c>
      <c r="D996" s="65" t="b">
        <f>FALSE()</f>
        <v>0</v>
      </c>
      <c r="E996" s="171">
        <f>IF(D996=TRUE(),C983,0)</f>
        <v>0</v>
      </c>
      <c r="F996" s="65" t="b">
        <f>FALSE()</f>
        <v>0</v>
      </c>
      <c r="G996" s="171">
        <f>IF(F996=TRUE(),D983,0)</f>
        <v>0</v>
      </c>
      <c r="H996" s="77">
        <f t="shared" si="12"/>
        <v>0</v>
      </c>
      <c r="I996" s="171">
        <f t="shared" si="13"/>
        <v>0</v>
      </c>
    </row>
    <row r="997" spans="1:66">
      <c r="A997" s="65" t="s">
        <v>435</v>
      </c>
      <c r="E997" s="171"/>
      <c r="G997" s="171"/>
      <c r="H997" s="77"/>
      <c r="I997" s="171" t="e">
        <f>SUM(I986:I996)</f>
        <v>#REF!</v>
      </c>
    </row>
    <row r="998" spans="1:66">
      <c r="E998" s="171"/>
      <c r="G998" s="171"/>
      <c r="H998" s="77"/>
      <c r="I998" s="171"/>
    </row>
    <row r="999" spans="1:66">
      <c r="A999" s="65" t="s">
        <v>436</v>
      </c>
      <c r="E999" s="172" t="e">
        <f>#REF!</f>
        <v>#REF!</v>
      </c>
      <c r="G999" s="171"/>
      <c r="H999" s="77"/>
      <c r="I999" s="171"/>
    </row>
    <row r="1000" spans="1:66">
      <c r="A1000" s="173" t="s">
        <v>437</v>
      </c>
      <c r="B1000" s="173"/>
      <c r="C1000" s="173"/>
      <c r="D1000" s="173"/>
      <c r="E1000" s="174" t="e">
        <f>#REF!</f>
        <v>#REF!</v>
      </c>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c r="AA1000" s="173"/>
      <c r="AB1000" s="173"/>
      <c r="AC1000" s="173"/>
      <c r="AD1000" s="173"/>
      <c r="AE1000" s="173"/>
      <c r="AF1000" s="173"/>
      <c r="AG1000" s="173"/>
      <c r="AH1000" s="173"/>
      <c r="AI1000" s="173"/>
      <c r="AJ1000" s="173"/>
      <c r="AK1000" s="173"/>
      <c r="AL1000" s="173"/>
      <c r="AM1000" s="173"/>
      <c r="AN1000" s="173"/>
      <c r="AO1000" s="173"/>
      <c r="AP1000" s="173"/>
      <c r="AQ1000" s="173"/>
      <c r="AR1000" s="173"/>
      <c r="AS1000" s="173"/>
      <c r="AT1000" s="173"/>
      <c r="AU1000" s="173"/>
      <c r="AV1000" s="173"/>
      <c r="AW1000" s="173"/>
      <c r="AX1000" s="173"/>
      <c r="AY1000" s="173"/>
      <c r="AZ1000" s="173"/>
      <c r="BA1000" s="173"/>
      <c r="BB1000" s="173"/>
      <c r="BC1000" s="173"/>
      <c r="BD1000" s="173"/>
      <c r="BE1000" s="173"/>
      <c r="BF1000" s="173"/>
      <c r="BG1000" s="173"/>
      <c r="BH1000" s="173"/>
      <c r="BI1000" s="173"/>
      <c r="BJ1000" s="173"/>
      <c r="BK1000" s="173"/>
      <c r="BL1000" s="173"/>
      <c r="BM1000" s="173"/>
      <c r="BN1000" s="173"/>
    </row>
    <row r="1001" spans="1:66">
      <c r="A1001" s="173" t="s">
        <v>438</v>
      </c>
      <c r="B1001" s="173"/>
      <c r="C1001" s="173"/>
      <c r="D1001" s="173"/>
      <c r="E1001" s="174" t="e">
        <f>#REF!</f>
        <v>#REF!</v>
      </c>
      <c r="F1001" s="173"/>
      <c r="G1001" s="173"/>
      <c r="H1001" s="173"/>
      <c r="I1001" s="173"/>
      <c r="J1001" s="173"/>
      <c r="K1001" s="173"/>
      <c r="L1001" s="173"/>
      <c r="M1001" s="173"/>
      <c r="N1001" s="173"/>
      <c r="O1001" s="173"/>
      <c r="P1001" s="173"/>
      <c r="Q1001" s="173"/>
      <c r="R1001" s="173"/>
      <c r="S1001" s="173"/>
      <c r="T1001" s="173"/>
      <c r="U1001" s="173"/>
      <c r="V1001" s="173"/>
      <c r="W1001" s="173"/>
      <c r="X1001" s="173"/>
      <c r="Y1001" s="173"/>
      <c r="Z1001" s="173"/>
      <c r="AA1001" s="173"/>
      <c r="AB1001" s="173"/>
      <c r="AC1001" s="173"/>
      <c r="AD1001" s="173"/>
      <c r="AE1001" s="173"/>
      <c r="AF1001" s="173"/>
      <c r="AG1001" s="173"/>
      <c r="AH1001" s="173"/>
      <c r="AI1001" s="173"/>
      <c r="AJ1001" s="173"/>
      <c r="AK1001" s="173"/>
      <c r="AL1001" s="173"/>
      <c r="AM1001" s="173"/>
      <c r="AN1001" s="173"/>
      <c r="AO1001" s="173"/>
      <c r="AP1001" s="173"/>
      <c r="AQ1001" s="173"/>
      <c r="AR1001" s="173"/>
      <c r="AS1001" s="173"/>
      <c r="AT1001" s="173"/>
      <c r="AU1001" s="173"/>
      <c r="AV1001" s="173"/>
      <c r="AW1001" s="173"/>
      <c r="AX1001" s="173"/>
      <c r="AY1001" s="173"/>
      <c r="AZ1001" s="173"/>
      <c r="BA1001" s="173"/>
      <c r="BB1001" s="173"/>
      <c r="BC1001" s="173"/>
      <c r="BD1001" s="173"/>
      <c r="BE1001" s="173"/>
      <c r="BF1001" s="173"/>
      <c r="BG1001" s="173"/>
      <c r="BH1001" s="173"/>
      <c r="BI1001" s="173"/>
      <c r="BJ1001" s="173"/>
      <c r="BK1001" s="173"/>
      <c r="BL1001" s="173"/>
      <c r="BM1001" s="173"/>
      <c r="BN1001" s="173"/>
    </row>
    <row r="1002" spans="1:66">
      <c r="A1002" s="173" t="s">
        <v>439</v>
      </c>
      <c r="B1002" s="173"/>
      <c r="C1002" s="173"/>
      <c r="D1002" s="173"/>
      <c r="E1002" s="174" t="e">
        <f>#REF!</f>
        <v>#REF!</v>
      </c>
      <c r="F1002" s="173"/>
      <c r="G1002" s="173"/>
      <c r="H1002" s="173"/>
      <c r="I1002" s="173"/>
      <c r="J1002" s="173"/>
      <c r="K1002" s="173"/>
      <c r="L1002" s="173"/>
      <c r="M1002" s="173"/>
      <c r="N1002" s="173"/>
      <c r="O1002" s="173"/>
      <c r="P1002" s="173"/>
      <c r="Q1002" s="173"/>
      <c r="R1002" s="173"/>
      <c r="S1002" s="173"/>
      <c r="T1002" s="173"/>
      <c r="U1002" s="173"/>
      <c r="V1002" s="173"/>
      <c r="W1002" s="173"/>
      <c r="X1002" s="173"/>
      <c r="Y1002" s="173"/>
      <c r="Z1002" s="173"/>
      <c r="AA1002" s="173"/>
      <c r="AB1002" s="173"/>
      <c r="AC1002" s="173"/>
      <c r="AD1002" s="173"/>
      <c r="AE1002" s="173"/>
      <c r="AF1002" s="173"/>
      <c r="AG1002" s="173"/>
      <c r="AH1002" s="173"/>
      <c r="AI1002" s="173"/>
      <c r="AJ1002" s="173"/>
      <c r="AK1002" s="173"/>
      <c r="AL1002" s="173"/>
      <c r="AM1002" s="173"/>
      <c r="AN1002" s="173"/>
      <c r="AO1002" s="173"/>
      <c r="AP1002" s="173"/>
      <c r="AQ1002" s="173"/>
      <c r="AR1002" s="173"/>
      <c r="AS1002" s="173"/>
      <c r="AT1002" s="173"/>
      <c r="AU1002" s="173"/>
      <c r="AV1002" s="173"/>
      <c r="AW1002" s="173"/>
      <c r="AX1002" s="173"/>
      <c r="AY1002" s="173"/>
      <c r="AZ1002" s="173"/>
      <c r="BA1002" s="173"/>
      <c r="BB1002" s="173"/>
      <c r="BC1002" s="173"/>
      <c r="BD1002" s="173"/>
      <c r="BE1002" s="173"/>
      <c r="BF1002" s="173"/>
      <c r="BG1002" s="173"/>
      <c r="BH1002" s="173"/>
      <c r="BI1002" s="173"/>
      <c r="BJ1002" s="173"/>
      <c r="BK1002" s="173"/>
      <c r="BL1002" s="173"/>
      <c r="BM1002" s="173"/>
      <c r="BN1002" s="173"/>
    </row>
    <row r="1003" spans="1:66">
      <c r="A1003" s="173" t="s">
        <v>3</v>
      </c>
      <c r="B1003" s="173"/>
      <c r="C1003" s="173"/>
      <c r="D1003" s="173"/>
      <c r="E1003" s="174" t="e">
        <f>SUM(E1000:E1002)</f>
        <v>#REF!</v>
      </c>
      <c r="F1003" s="173"/>
      <c r="G1003" s="173"/>
      <c r="H1003" s="173"/>
      <c r="I1003" s="173"/>
      <c r="J1003" s="173"/>
      <c r="K1003" s="173"/>
      <c r="L1003" s="173"/>
      <c r="M1003" s="173"/>
      <c r="N1003" s="173"/>
      <c r="O1003" s="173"/>
      <c r="P1003" s="173"/>
      <c r="Q1003" s="173"/>
      <c r="R1003" s="173"/>
      <c r="S1003" s="173"/>
      <c r="T1003" s="173"/>
      <c r="U1003" s="173"/>
      <c r="V1003" s="173"/>
      <c r="W1003" s="173"/>
      <c r="X1003" s="173"/>
      <c r="Y1003" s="173"/>
      <c r="Z1003" s="173"/>
      <c r="AA1003" s="173"/>
      <c r="AB1003" s="173"/>
      <c r="AC1003" s="173"/>
      <c r="AD1003" s="173"/>
      <c r="AE1003" s="173"/>
      <c r="AF1003" s="173"/>
      <c r="AG1003" s="173"/>
      <c r="AH1003" s="173"/>
      <c r="AI1003" s="173"/>
      <c r="AJ1003" s="173"/>
      <c r="AK1003" s="173"/>
      <c r="AL1003" s="173"/>
      <c r="AM1003" s="173"/>
      <c r="AN1003" s="173"/>
      <c r="AO1003" s="173"/>
      <c r="AP1003" s="173"/>
      <c r="AQ1003" s="173"/>
      <c r="AR1003" s="173"/>
      <c r="AS1003" s="173"/>
      <c r="AT1003" s="173"/>
      <c r="AU1003" s="173"/>
      <c r="AV1003" s="173"/>
      <c r="AW1003" s="173"/>
      <c r="AX1003" s="173"/>
      <c r="AY1003" s="173"/>
      <c r="AZ1003" s="173"/>
      <c r="BA1003" s="173"/>
      <c r="BB1003" s="173"/>
      <c r="BC1003" s="173"/>
      <c r="BD1003" s="173"/>
      <c r="BE1003" s="173"/>
      <c r="BF1003" s="173"/>
      <c r="BG1003" s="173"/>
      <c r="BH1003" s="173"/>
      <c r="BI1003" s="173"/>
      <c r="BJ1003" s="173"/>
      <c r="BK1003" s="173"/>
      <c r="BL1003" s="173"/>
      <c r="BM1003" s="173"/>
      <c r="BN1003" s="173"/>
    </row>
    <row r="1004" spans="1:66">
      <c r="A1004" s="175" t="s">
        <v>440</v>
      </c>
      <c r="B1004" s="175"/>
      <c r="C1004" s="175"/>
      <c r="D1004" s="175"/>
      <c r="E1004" s="176" t="e">
        <f>IF(OR(#REF!="",#REF!=0),"",ROUND((((#REF!-DATE(YEAR(#REF!),1,1))+1)/365)*12,1))</f>
        <v>#REF!</v>
      </c>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c r="AA1004" s="175"/>
      <c r="AB1004" s="175"/>
      <c r="AC1004" s="175"/>
      <c r="AD1004" s="175"/>
      <c r="AE1004" s="175"/>
      <c r="AF1004" s="175"/>
      <c r="AG1004" s="175"/>
      <c r="AH1004" s="175"/>
      <c r="AI1004" s="175"/>
      <c r="AJ1004" s="175"/>
      <c r="AK1004" s="175"/>
      <c r="AL1004" s="175"/>
      <c r="AM1004" s="175"/>
      <c r="AN1004" s="175"/>
      <c r="AO1004" s="175"/>
      <c r="AP1004" s="175"/>
      <c r="AQ1004" s="175"/>
      <c r="AR1004" s="175"/>
      <c r="AS1004" s="175"/>
      <c r="AT1004" s="175"/>
      <c r="AU1004" s="175"/>
      <c r="AV1004" s="175"/>
      <c r="AW1004" s="175"/>
      <c r="AX1004" s="175"/>
      <c r="AY1004" s="175"/>
      <c r="AZ1004" s="175"/>
      <c r="BA1004" s="175"/>
      <c r="BB1004" s="175"/>
      <c r="BC1004" s="175"/>
      <c r="BD1004" s="175"/>
      <c r="BE1004" s="175"/>
      <c r="BF1004" s="175"/>
      <c r="BG1004" s="175"/>
      <c r="BH1004" s="175"/>
      <c r="BI1004" s="175"/>
      <c r="BJ1004" s="175"/>
      <c r="BK1004" s="175"/>
      <c r="BL1004" s="175"/>
      <c r="BM1004" s="175"/>
      <c r="BN1004" s="175"/>
    </row>
    <row r="1005" spans="1:66">
      <c r="A1005" s="175" t="s">
        <v>441</v>
      </c>
      <c r="B1005" s="175"/>
      <c r="C1005" s="175"/>
      <c r="D1005" s="175"/>
      <c r="E1005" s="174" t="e">
        <f>E1003/E1004</f>
        <v>#REF!</v>
      </c>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c r="AA1005" s="175"/>
      <c r="AB1005" s="175"/>
      <c r="AC1005" s="175"/>
      <c r="AD1005" s="175"/>
      <c r="AE1005" s="175"/>
      <c r="AF1005" s="175"/>
      <c r="AG1005" s="175"/>
      <c r="AH1005" s="175"/>
      <c r="AI1005" s="175"/>
      <c r="AJ1005" s="175"/>
      <c r="AK1005" s="175"/>
      <c r="AL1005" s="175"/>
      <c r="AM1005" s="175"/>
      <c r="AN1005" s="175"/>
      <c r="AO1005" s="175"/>
      <c r="AP1005" s="175"/>
      <c r="AQ1005" s="175"/>
      <c r="AR1005" s="175"/>
      <c r="AS1005" s="175"/>
      <c r="AT1005" s="175"/>
      <c r="AU1005" s="175"/>
      <c r="AV1005" s="175"/>
      <c r="AW1005" s="175"/>
      <c r="AX1005" s="175"/>
      <c r="AY1005" s="175"/>
      <c r="AZ1005" s="175"/>
      <c r="BA1005" s="175"/>
      <c r="BB1005" s="175"/>
      <c r="BC1005" s="175"/>
      <c r="BD1005" s="175"/>
      <c r="BE1005" s="175"/>
      <c r="BF1005" s="175"/>
      <c r="BG1005" s="175"/>
      <c r="BH1005" s="175"/>
      <c r="BI1005" s="175"/>
      <c r="BJ1005" s="175"/>
      <c r="BK1005" s="175"/>
      <c r="BL1005" s="175"/>
      <c r="BM1005" s="175"/>
      <c r="BN1005" s="175"/>
    </row>
    <row r="1006" spans="1:66">
      <c r="E1006" s="171"/>
      <c r="G1006" s="171"/>
      <c r="H1006" s="77"/>
      <c r="I1006" s="171"/>
    </row>
    <row r="1007" spans="1:66">
      <c r="E1007" s="171"/>
      <c r="G1007" s="171"/>
      <c r="H1007" s="77"/>
      <c r="I1007" s="171"/>
    </row>
    <row r="1008" spans="1:66">
      <c r="A1008" s="65" t="s">
        <v>442</v>
      </c>
      <c r="E1008" s="177" t="e">
        <f>#REF!</f>
        <v>#REF!</v>
      </c>
      <c r="F1008" s="77" t="e">
        <f>#REF!</f>
        <v>#REF!</v>
      </c>
      <c r="G1008" s="177" t="s">
        <v>443</v>
      </c>
      <c r="H1008" s="77"/>
      <c r="I1008" s="171"/>
    </row>
    <row r="1009" spans="1:60">
      <c r="E1009" s="169"/>
      <c r="F1009" s="169"/>
      <c r="G1009" s="171"/>
      <c r="H1009" s="77"/>
      <c r="I1009" s="171"/>
    </row>
    <row r="1010" spans="1:60">
      <c r="A1010" s="175" t="s">
        <v>444</v>
      </c>
      <c r="B1010" s="178"/>
      <c r="C1010" s="178"/>
      <c r="D1010" s="178"/>
      <c r="E1010" s="179"/>
      <c r="F1010" s="179"/>
      <c r="G1010" s="178"/>
      <c r="H1010" s="178"/>
      <c r="I1010" s="178"/>
      <c r="J1010" s="178"/>
      <c r="K1010" s="178"/>
      <c r="L1010" s="178"/>
      <c r="M1010" s="178"/>
      <c r="N1010" s="178"/>
      <c r="O1010" s="178"/>
      <c r="P1010" s="178"/>
      <c r="Q1010" s="178"/>
      <c r="R1010" s="178"/>
      <c r="S1010" s="178"/>
      <c r="T1010" s="178"/>
      <c r="U1010" s="178"/>
      <c r="V1010" s="178"/>
      <c r="W1010" s="178"/>
      <c r="X1010" s="178"/>
      <c r="Y1010" s="178"/>
      <c r="Z1010" s="178"/>
      <c r="AA1010" s="178"/>
      <c r="AB1010" s="178"/>
      <c r="AC1010" s="178"/>
      <c r="AD1010" s="178"/>
      <c r="AE1010" s="178"/>
      <c r="AF1010" s="178"/>
      <c r="AG1010" s="178"/>
      <c r="AH1010" s="178"/>
      <c r="AI1010" s="178"/>
      <c r="AJ1010" s="178"/>
      <c r="AK1010" s="178"/>
      <c r="AL1010" s="178"/>
      <c r="AM1010" s="178"/>
      <c r="AN1010" s="178"/>
      <c r="AO1010" s="178"/>
      <c r="AP1010" s="178"/>
      <c r="AQ1010" s="178"/>
      <c r="AR1010" s="178"/>
      <c r="AS1010" s="178"/>
      <c r="AT1010" s="178"/>
      <c r="AU1010" s="178"/>
      <c r="AV1010" s="178"/>
      <c r="AW1010" s="178"/>
      <c r="AX1010" s="178"/>
      <c r="AY1010" s="178"/>
      <c r="AZ1010" s="178"/>
      <c r="BA1010" s="178"/>
      <c r="BB1010" s="178"/>
      <c r="BC1010" s="178"/>
      <c r="BD1010" s="178"/>
      <c r="BE1010" s="178"/>
      <c r="BF1010" s="178"/>
      <c r="BG1010" s="178"/>
      <c r="BH1010" s="178"/>
    </row>
    <row r="1011" spans="1:60">
      <c r="A1011" s="175" t="s">
        <v>445</v>
      </c>
      <c r="B1011" s="175"/>
      <c r="C1011" s="175"/>
      <c r="D1011" s="175"/>
      <c r="E1011" s="180" t="e">
        <f>#REF!</f>
        <v>#REF!</v>
      </c>
      <c r="F1011" s="180" t="e">
        <f>#REF!</f>
        <v>#REF!</v>
      </c>
      <c r="G1011" s="175"/>
      <c r="H1011" s="175"/>
      <c r="I1011" s="175"/>
      <c r="J1011" s="175"/>
      <c r="K1011" s="175"/>
      <c r="L1011" s="175"/>
      <c r="M1011" s="175"/>
      <c r="N1011" s="175"/>
      <c r="O1011" s="175"/>
      <c r="P1011" s="175"/>
      <c r="Q1011" s="175"/>
      <c r="R1011" s="175"/>
      <c r="S1011" s="175"/>
      <c r="T1011" s="175"/>
      <c r="U1011" s="175"/>
      <c r="V1011" s="175"/>
      <c r="W1011" s="175"/>
      <c r="X1011" s="175"/>
      <c r="Y1011" s="175"/>
      <c r="Z1011" s="175"/>
      <c r="AA1011" s="175"/>
      <c r="AB1011" s="175"/>
      <c r="AC1011" s="175"/>
      <c r="AD1011" s="175"/>
      <c r="AE1011" s="175"/>
      <c r="AF1011" s="175"/>
      <c r="AG1011" s="175"/>
      <c r="AH1011" s="175"/>
      <c r="AI1011" s="175"/>
      <c r="AJ1011" s="175"/>
      <c r="AK1011" s="175"/>
      <c r="AL1011" s="175"/>
      <c r="AM1011" s="175"/>
      <c r="AN1011" s="175"/>
      <c r="AO1011" s="175"/>
      <c r="AP1011" s="175"/>
      <c r="AQ1011" s="175"/>
      <c r="AR1011" s="175"/>
      <c r="AS1011" s="175"/>
      <c r="AT1011" s="175"/>
      <c r="AU1011" s="175"/>
      <c r="AV1011" s="175"/>
      <c r="AW1011" s="175"/>
      <c r="AX1011" s="175"/>
      <c r="AY1011" s="175"/>
      <c r="AZ1011" s="175"/>
      <c r="BA1011" s="175"/>
      <c r="BB1011" s="175"/>
      <c r="BC1011" s="175"/>
      <c r="BD1011" s="175"/>
      <c r="BE1011" s="175"/>
      <c r="BF1011" s="175"/>
      <c r="BG1011" s="175"/>
      <c r="BH1011" s="175"/>
    </row>
    <row r="1012" spans="1:60">
      <c r="A1012" s="175" t="s">
        <v>446</v>
      </c>
      <c r="B1012" s="175"/>
      <c r="C1012" s="175"/>
      <c r="D1012" s="175"/>
      <c r="E1012" s="180" t="e">
        <f>#REF!</f>
        <v>#REF!</v>
      </c>
      <c r="F1012" s="180" t="e">
        <f>#REF!</f>
        <v>#REF!</v>
      </c>
      <c r="G1012" s="175"/>
      <c r="H1012" s="175"/>
      <c r="I1012" s="175"/>
      <c r="J1012" s="175"/>
      <c r="K1012" s="175"/>
      <c r="L1012" s="175"/>
      <c r="M1012" s="175"/>
      <c r="N1012" s="175"/>
      <c r="O1012" s="175"/>
      <c r="P1012" s="175"/>
      <c r="Q1012" s="175"/>
      <c r="R1012" s="175"/>
      <c r="S1012" s="175"/>
      <c r="T1012" s="175"/>
      <c r="U1012" s="175"/>
      <c r="V1012" s="175"/>
      <c r="W1012" s="175"/>
      <c r="X1012" s="175"/>
      <c r="Y1012" s="175"/>
      <c r="Z1012" s="175"/>
      <c r="AA1012" s="175"/>
      <c r="AB1012" s="175"/>
      <c r="AC1012" s="175"/>
      <c r="AD1012" s="175"/>
      <c r="AE1012" s="175"/>
      <c r="AF1012" s="175"/>
      <c r="AG1012" s="175"/>
      <c r="AH1012" s="175"/>
      <c r="AI1012" s="175"/>
      <c r="AJ1012" s="175"/>
      <c r="AK1012" s="175"/>
      <c r="AL1012" s="175"/>
      <c r="AM1012" s="175"/>
      <c r="AN1012" s="175"/>
      <c r="AO1012" s="175"/>
      <c r="AP1012" s="175"/>
      <c r="AQ1012" s="175"/>
      <c r="AR1012" s="175"/>
      <c r="AS1012" s="175"/>
      <c r="AT1012" s="175"/>
      <c r="AU1012" s="175"/>
      <c r="AV1012" s="175"/>
      <c r="AW1012" s="175"/>
      <c r="AX1012" s="175"/>
      <c r="AY1012" s="175"/>
      <c r="AZ1012" s="175"/>
      <c r="BA1012" s="175"/>
      <c r="BB1012" s="175"/>
      <c r="BC1012" s="175"/>
      <c r="BD1012" s="175"/>
      <c r="BE1012" s="175"/>
      <c r="BF1012" s="175"/>
      <c r="BG1012" s="175"/>
      <c r="BH1012" s="175"/>
    </row>
    <row r="1013" spans="1:60">
      <c r="A1013" s="175" t="s">
        <v>447</v>
      </c>
      <c r="B1013" s="175"/>
      <c r="C1013" s="175"/>
      <c r="D1013" s="175"/>
      <c r="E1013" s="180" t="e">
        <f>#REF!</f>
        <v>#REF!</v>
      </c>
      <c r="F1013" s="180" t="e">
        <f>#REF!</f>
        <v>#REF!</v>
      </c>
      <c r="G1013" s="175"/>
      <c r="H1013" s="175"/>
      <c r="I1013" s="175"/>
      <c r="J1013" s="175"/>
      <c r="K1013" s="175"/>
      <c r="L1013" s="175"/>
      <c r="M1013" s="175"/>
      <c r="N1013" s="175"/>
      <c r="O1013" s="175"/>
      <c r="P1013" s="175"/>
      <c r="Q1013" s="175"/>
      <c r="R1013" s="175"/>
      <c r="S1013" s="175"/>
      <c r="T1013" s="175"/>
      <c r="U1013" s="175"/>
      <c r="V1013" s="175"/>
      <c r="W1013" s="175"/>
      <c r="X1013" s="175"/>
      <c r="Y1013" s="175"/>
      <c r="Z1013" s="175"/>
      <c r="AA1013" s="175"/>
      <c r="AB1013" s="175"/>
      <c r="AC1013" s="175"/>
      <c r="AD1013" s="175"/>
      <c r="AE1013" s="175"/>
      <c r="AF1013" s="175"/>
      <c r="AG1013" s="175"/>
      <c r="AH1013" s="175"/>
      <c r="AI1013" s="175"/>
      <c r="AJ1013" s="175"/>
      <c r="AK1013" s="175"/>
      <c r="AL1013" s="175"/>
      <c r="AM1013" s="175"/>
      <c r="AN1013" s="175"/>
      <c r="AO1013" s="175"/>
      <c r="AP1013" s="175"/>
      <c r="AQ1013" s="175"/>
      <c r="AR1013" s="175"/>
      <c r="AS1013" s="175"/>
      <c r="AT1013" s="175"/>
      <c r="AU1013" s="175"/>
      <c r="AV1013" s="175"/>
      <c r="AW1013" s="175"/>
      <c r="AX1013" s="175"/>
      <c r="AY1013" s="175"/>
      <c r="AZ1013" s="175"/>
      <c r="BA1013" s="175"/>
      <c r="BB1013" s="175"/>
      <c r="BC1013" s="175"/>
      <c r="BD1013" s="175"/>
      <c r="BE1013" s="175"/>
      <c r="BF1013" s="175"/>
      <c r="BG1013" s="175"/>
      <c r="BH1013" s="175"/>
    </row>
    <row r="1014" spans="1:60">
      <c r="A1014" s="175" t="s">
        <v>448</v>
      </c>
      <c r="B1014" s="175"/>
      <c r="C1014" s="175"/>
      <c r="D1014" s="175"/>
      <c r="E1014" s="180" t="e">
        <f>SUM(E1011:E1013)</f>
        <v>#REF!</v>
      </c>
      <c r="F1014" s="180" t="e">
        <f>SUM(F1011:F1013)</f>
        <v>#REF!</v>
      </c>
      <c r="G1014" s="181" t="e">
        <f>IF(AND(E1014=0,F1014=0),"",IF(AND(E1014=0,F1014&gt;0),"N/A",(F1014-E1014)/E1014))</f>
        <v>#REF!</v>
      </c>
      <c r="H1014" s="175"/>
      <c r="I1014" s="175"/>
      <c r="J1014" s="175"/>
      <c r="K1014" s="175"/>
      <c r="L1014" s="175"/>
      <c r="M1014" s="175"/>
      <c r="N1014" s="175"/>
      <c r="O1014" s="175"/>
      <c r="P1014" s="175"/>
      <c r="Q1014" s="175"/>
      <c r="R1014" s="175"/>
      <c r="S1014" s="175"/>
      <c r="T1014" s="175"/>
      <c r="U1014" s="175"/>
      <c r="V1014" s="175"/>
      <c r="W1014" s="175"/>
      <c r="X1014" s="175"/>
      <c r="Y1014" s="175"/>
      <c r="Z1014" s="175"/>
      <c r="AA1014" s="175"/>
      <c r="AB1014" s="175"/>
      <c r="AC1014" s="175"/>
      <c r="AD1014" s="175"/>
      <c r="AE1014" s="175"/>
      <c r="AF1014" s="175"/>
      <c r="AG1014" s="175"/>
      <c r="AH1014" s="175"/>
      <c r="AI1014" s="175"/>
      <c r="AJ1014" s="175"/>
      <c r="AK1014" s="175"/>
      <c r="AL1014" s="175"/>
      <c r="AM1014" s="175"/>
      <c r="AN1014" s="175"/>
      <c r="AO1014" s="175"/>
      <c r="AP1014" s="175"/>
      <c r="AQ1014" s="175"/>
      <c r="AR1014" s="175"/>
      <c r="AS1014" s="175"/>
      <c r="AT1014" s="175"/>
      <c r="AU1014" s="175"/>
      <c r="AV1014" s="175"/>
      <c r="AW1014" s="175"/>
      <c r="AX1014" s="175"/>
      <c r="AY1014" s="175"/>
      <c r="AZ1014" s="175"/>
      <c r="BA1014" s="175"/>
      <c r="BB1014" s="175"/>
      <c r="BC1014" s="175"/>
      <c r="BD1014" s="175"/>
      <c r="BE1014" s="175"/>
      <c r="BF1014" s="175"/>
      <c r="BG1014" s="175"/>
      <c r="BH1014" s="175"/>
    </row>
    <row r="1015" spans="1:60">
      <c r="A1015" s="42"/>
      <c r="B1015" s="42"/>
      <c r="C1015" s="42"/>
      <c r="D1015" s="42"/>
      <c r="E1015" s="51"/>
      <c r="F1015" s="51"/>
      <c r="G1015" s="42"/>
      <c r="H1015" s="42"/>
      <c r="I1015" s="42"/>
      <c r="J1015" s="42"/>
      <c r="K1015" s="42"/>
      <c r="L1015" s="42"/>
      <c r="M1015" s="42"/>
      <c r="N1015" s="42"/>
      <c r="O1015" s="42"/>
      <c r="P1015" s="42"/>
      <c r="Q1015" s="42"/>
      <c r="R1015" s="42"/>
      <c r="S1015" s="42"/>
      <c r="T1015" s="42"/>
      <c r="U1015" s="42"/>
      <c r="V1015" s="42"/>
      <c r="W1015" s="42"/>
      <c r="X1015" s="42"/>
      <c r="Y1015" s="42"/>
      <c r="Z1015" s="42"/>
      <c r="AA1015" s="42"/>
      <c r="AB1015" s="42"/>
      <c r="AC1015" s="42"/>
      <c r="AD1015" s="42"/>
      <c r="AE1015" s="42"/>
      <c r="AF1015" s="42"/>
      <c r="AG1015" s="42"/>
      <c r="AH1015" s="42"/>
      <c r="AI1015" s="42"/>
      <c r="AJ1015" s="42"/>
      <c r="AK1015" s="42"/>
      <c r="AL1015" s="42"/>
      <c r="AM1015" s="42"/>
      <c r="AN1015" s="42"/>
      <c r="AO1015" s="42"/>
      <c r="AP1015" s="42"/>
      <c r="AQ1015" s="42"/>
      <c r="AR1015" s="42"/>
      <c r="AS1015" s="42"/>
      <c r="AT1015" s="42"/>
      <c r="AU1015" s="42"/>
      <c r="AV1015" s="42"/>
      <c r="AW1015" s="42"/>
      <c r="AX1015" s="42"/>
      <c r="AY1015" s="42"/>
      <c r="AZ1015" s="42"/>
      <c r="BA1015" s="42"/>
      <c r="BB1015" s="42"/>
      <c r="BC1015" s="42"/>
      <c r="BD1015" s="42"/>
      <c r="BE1015" s="42"/>
      <c r="BF1015" s="42"/>
      <c r="BG1015" s="42"/>
      <c r="BH1015" s="42"/>
    </row>
    <row r="1016" spans="1:60">
      <c r="A1016" s="175" t="s">
        <v>449</v>
      </c>
      <c r="B1016" s="178"/>
      <c r="C1016" s="178"/>
      <c r="D1016" s="178"/>
      <c r="E1016" s="179"/>
      <c r="F1016" s="179"/>
      <c r="G1016" s="178"/>
      <c r="H1016" s="178"/>
      <c r="I1016" s="178"/>
      <c r="J1016" s="178"/>
      <c r="K1016" s="178"/>
      <c r="L1016" s="178"/>
      <c r="M1016" s="178"/>
      <c r="N1016" s="178"/>
      <c r="O1016" s="178"/>
      <c r="P1016" s="178"/>
      <c r="Q1016" s="178"/>
      <c r="R1016" s="178"/>
      <c r="S1016" s="178"/>
      <c r="T1016" s="178"/>
      <c r="U1016" s="178"/>
      <c r="V1016" s="178"/>
      <c r="W1016" s="178"/>
      <c r="X1016" s="178"/>
      <c r="Y1016" s="178"/>
      <c r="Z1016" s="178"/>
      <c r="AA1016" s="178"/>
      <c r="AB1016" s="178"/>
      <c r="AC1016" s="178"/>
      <c r="AD1016" s="178"/>
      <c r="AE1016" s="178"/>
      <c r="AF1016" s="178"/>
      <c r="AG1016" s="178"/>
      <c r="AH1016" s="178"/>
      <c r="AI1016" s="178"/>
      <c r="AJ1016" s="178"/>
      <c r="AK1016" s="178"/>
      <c r="AL1016" s="178"/>
      <c r="AM1016" s="178"/>
      <c r="AN1016" s="178"/>
      <c r="AO1016" s="178"/>
      <c r="AP1016" s="178"/>
      <c r="AQ1016" s="178"/>
      <c r="AR1016" s="178"/>
      <c r="AS1016" s="178"/>
      <c r="AT1016" s="178"/>
      <c r="AU1016" s="178"/>
      <c r="AV1016" s="178"/>
      <c r="AW1016" s="178"/>
      <c r="AX1016" s="178"/>
      <c r="AY1016" s="178"/>
      <c r="AZ1016" s="178"/>
      <c r="BA1016" s="178"/>
      <c r="BB1016" s="178"/>
      <c r="BC1016" s="178"/>
      <c r="BD1016" s="178"/>
      <c r="BE1016" s="178"/>
      <c r="BF1016" s="178"/>
      <c r="BG1016" s="178"/>
      <c r="BH1016" s="178"/>
    </row>
    <row r="1017" spans="1:60">
      <c r="A1017" s="175" t="s">
        <v>450</v>
      </c>
      <c r="B1017" s="175"/>
      <c r="C1017" s="175"/>
      <c r="D1017" s="175"/>
      <c r="E1017" s="180" t="e">
        <f>#REF!</f>
        <v>#REF!</v>
      </c>
      <c r="F1017" s="180" t="e">
        <f>#REF!</f>
        <v>#REF!</v>
      </c>
      <c r="G1017" s="175"/>
      <c r="H1017" s="175"/>
      <c r="I1017" s="175"/>
      <c r="J1017" s="175"/>
      <c r="K1017" s="175"/>
      <c r="L1017" s="175"/>
      <c r="M1017" s="175"/>
      <c r="N1017" s="175"/>
      <c r="O1017" s="175"/>
      <c r="P1017" s="175"/>
      <c r="Q1017" s="175"/>
      <c r="R1017" s="175"/>
      <c r="S1017" s="175"/>
      <c r="T1017" s="175"/>
      <c r="U1017" s="175"/>
      <c r="V1017" s="175"/>
      <c r="W1017" s="175"/>
      <c r="X1017" s="175"/>
      <c r="Y1017" s="175"/>
      <c r="Z1017" s="175"/>
      <c r="AA1017" s="175"/>
      <c r="AB1017" s="175"/>
      <c r="AC1017" s="175"/>
      <c r="AD1017" s="175"/>
      <c r="AE1017" s="175"/>
      <c r="AF1017" s="175"/>
      <c r="AG1017" s="175"/>
      <c r="AH1017" s="175"/>
      <c r="AI1017" s="175"/>
      <c r="AJ1017" s="175"/>
      <c r="AK1017" s="175"/>
      <c r="AL1017" s="175"/>
      <c r="AM1017" s="175"/>
      <c r="AN1017" s="175"/>
      <c r="AO1017" s="175"/>
      <c r="AP1017" s="175"/>
      <c r="AQ1017" s="175"/>
      <c r="AR1017" s="175"/>
      <c r="AS1017" s="175"/>
      <c r="AT1017" s="175"/>
      <c r="AU1017" s="175"/>
      <c r="AV1017" s="175"/>
      <c r="AW1017" s="175"/>
      <c r="AX1017" s="175"/>
      <c r="AY1017" s="175"/>
      <c r="AZ1017" s="175"/>
      <c r="BA1017" s="175"/>
      <c r="BB1017" s="175"/>
      <c r="BC1017" s="175"/>
      <c r="BD1017" s="175"/>
      <c r="BE1017" s="175"/>
      <c r="BF1017" s="175"/>
      <c r="BG1017" s="175"/>
      <c r="BH1017" s="175"/>
    </row>
    <row r="1018" spans="1:60">
      <c r="A1018" s="175" t="s">
        <v>451</v>
      </c>
      <c r="B1018" s="175"/>
      <c r="C1018" s="175"/>
      <c r="D1018" s="175"/>
      <c r="E1018" s="180" t="e">
        <f>#REF!</f>
        <v>#REF!</v>
      </c>
      <c r="F1018" s="180" t="e">
        <f>#REF!</f>
        <v>#REF!</v>
      </c>
      <c r="G1018" s="175"/>
      <c r="H1018" s="175"/>
      <c r="I1018" s="175"/>
      <c r="J1018" s="175"/>
      <c r="K1018" s="175"/>
      <c r="L1018" s="175"/>
      <c r="M1018" s="175"/>
      <c r="N1018" s="175"/>
      <c r="O1018" s="175"/>
      <c r="P1018" s="175"/>
      <c r="Q1018" s="175"/>
      <c r="R1018" s="175"/>
      <c r="S1018" s="175"/>
      <c r="T1018" s="175"/>
      <c r="U1018" s="175"/>
      <c r="V1018" s="175"/>
      <c r="W1018" s="175"/>
      <c r="X1018" s="175"/>
      <c r="Y1018" s="175"/>
      <c r="Z1018" s="175"/>
      <c r="AA1018" s="175"/>
      <c r="AB1018" s="175"/>
      <c r="AC1018" s="175"/>
      <c r="AD1018" s="175"/>
      <c r="AE1018" s="175"/>
      <c r="AF1018" s="175"/>
      <c r="AG1018" s="175"/>
      <c r="AH1018" s="175"/>
      <c r="AI1018" s="175"/>
      <c r="AJ1018" s="175"/>
      <c r="AK1018" s="175"/>
      <c r="AL1018" s="175"/>
      <c r="AM1018" s="175"/>
      <c r="AN1018" s="175"/>
      <c r="AO1018" s="175"/>
      <c r="AP1018" s="175"/>
      <c r="AQ1018" s="175"/>
      <c r="AR1018" s="175"/>
      <c r="AS1018" s="175"/>
      <c r="AT1018" s="175"/>
      <c r="AU1018" s="175"/>
      <c r="AV1018" s="175"/>
      <c r="AW1018" s="175"/>
      <c r="AX1018" s="175"/>
      <c r="AY1018" s="175"/>
      <c r="AZ1018" s="175"/>
      <c r="BA1018" s="175"/>
      <c r="BB1018" s="175"/>
      <c r="BC1018" s="175"/>
      <c r="BD1018" s="175"/>
      <c r="BE1018" s="175"/>
      <c r="BF1018" s="175"/>
      <c r="BG1018" s="175"/>
      <c r="BH1018" s="175"/>
    </row>
    <row r="1019" spans="1:60">
      <c r="A1019" s="175" t="s">
        <v>452</v>
      </c>
      <c r="B1019" s="175"/>
      <c r="C1019" s="175"/>
      <c r="D1019" s="175"/>
      <c r="E1019" s="180" t="e">
        <f>#REF!</f>
        <v>#REF!</v>
      </c>
      <c r="F1019" s="180" t="e">
        <f>#REF!</f>
        <v>#REF!</v>
      </c>
      <c r="G1019" s="175"/>
      <c r="H1019" s="175"/>
      <c r="I1019" s="175"/>
      <c r="J1019" s="175"/>
      <c r="K1019" s="175"/>
      <c r="L1019" s="175"/>
      <c r="M1019" s="175"/>
      <c r="N1019" s="175"/>
      <c r="O1019" s="175"/>
      <c r="P1019" s="175"/>
      <c r="Q1019" s="175"/>
      <c r="R1019" s="175"/>
      <c r="S1019" s="175"/>
      <c r="T1019" s="175"/>
      <c r="U1019" s="175"/>
      <c r="V1019" s="175"/>
      <c r="W1019" s="175"/>
      <c r="X1019" s="175"/>
      <c r="Y1019" s="175"/>
      <c r="Z1019" s="175"/>
      <c r="AA1019" s="175"/>
      <c r="AB1019" s="175"/>
      <c r="AC1019" s="175"/>
      <c r="AD1019" s="175"/>
      <c r="AE1019" s="175"/>
      <c r="AF1019" s="175"/>
      <c r="AG1019" s="175"/>
      <c r="AH1019" s="175"/>
      <c r="AI1019" s="175"/>
      <c r="AJ1019" s="175"/>
      <c r="AK1019" s="175"/>
      <c r="AL1019" s="175"/>
      <c r="AM1019" s="175"/>
      <c r="AN1019" s="175"/>
      <c r="AO1019" s="175"/>
      <c r="AP1019" s="175"/>
      <c r="AQ1019" s="175"/>
      <c r="AR1019" s="175"/>
      <c r="AS1019" s="175"/>
      <c r="AT1019" s="175"/>
      <c r="AU1019" s="175"/>
      <c r="AV1019" s="175"/>
      <c r="AW1019" s="175"/>
      <c r="AX1019" s="175"/>
      <c r="AY1019" s="175"/>
      <c r="AZ1019" s="175"/>
      <c r="BA1019" s="175"/>
      <c r="BB1019" s="175"/>
      <c r="BC1019" s="175"/>
      <c r="BD1019" s="175"/>
      <c r="BE1019" s="175"/>
      <c r="BF1019" s="175"/>
      <c r="BG1019" s="175"/>
      <c r="BH1019" s="175"/>
    </row>
    <row r="1020" spans="1:60">
      <c r="A1020" s="175" t="s">
        <v>453</v>
      </c>
      <c r="B1020" s="175"/>
      <c r="C1020" s="175"/>
      <c r="D1020" s="175"/>
      <c r="E1020" s="180" t="e">
        <f>SUM(E1017:E1019)</f>
        <v>#REF!</v>
      </c>
      <c r="F1020" s="180" t="e">
        <f>SUM(F1017:F1019)</f>
        <v>#REF!</v>
      </c>
      <c r="G1020" s="181" t="e">
        <f>IF(AND(E1020=0,F1020=0),"",IF(AND(E1020=0,F1020&gt;0),"N/A",(F1020-E1020)/E1020))</f>
        <v>#REF!</v>
      </c>
      <c r="H1020" s="175"/>
      <c r="I1020" s="175"/>
      <c r="J1020" s="175"/>
      <c r="K1020" s="175"/>
      <c r="L1020" s="175"/>
      <c r="M1020" s="175"/>
      <c r="N1020" s="175"/>
      <c r="O1020" s="175"/>
      <c r="P1020" s="175"/>
      <c r="Q1020" s="175"/>
      <c r="R1020" s="175"/>
      <c r="S1020" s="175"/>
      <c r="T1020" s="175"/>
      <c r="U1020" s="175"/>
      <c r="V1020" s="175"/>
      <c r="W1020" s="175"/>
      <c r="X1020" s="175"/>
      <c r="Y1020" s="175"/>
      <c r="Z1020" s="175"/>
      <c r="AA1020" s="175"/>
      <c r="AB1020" s="175"/>
      <c r="AC1020" s="175"/>
      <c r="AD1020" s="175"/>
      <c r="AE1020" s="175"/>
      <c r="AF1020" s="175"/>
      <c r="AG1020" s="175"/>
      <c r="AH1020" s="175"/>
      <c r="AI1020" s="175"/>
      <c r="AJ1020" s="175"/>
      <c r="AK1020" s="175"/>
      <c r="AL1020" s="175"/>
      <c r="AM1020" s="175"/>
      <c r="AN1020" s="175"/>
      <c r="AO1020" s="175"/>
      <c r="AP1020" s="175"/>
      <c r="AQ1020" s="175"/>
      <c r="AR1020" s="175"/>
      <c r="AS1020" s="175"/>
      <c r="AT1020" s="175"/>
      <c r="AU1020" s="175"/>
      <c r="AV1020" s="175"/>
      <c r="AW1020" s="175"/>
      <c r="AX1020" s="175"/>
      <c r="AY1020" s="175"/>
      <c r="AZ1020" s="175"/>
      <c r="BA1020" s="175"/>
      <c r="BB1020" s="175"/>
      <c r="BC1020" s="175"/>
      <c r="BD1020" s="175"/>
      <c r="BE1020" s="175"/>
      <c r="BF1020" s="175"/>
      <c r="BG1020" s="175"/>
      <c r="BH1020" s="175"/>
    </row>
    <row r="1021" spans="1:60">
      <c r="A1021" s="42"/>
      <c r="B1021" s="42"/>
      <c r="C1021" s="42"/>
      <c r="D1021" s="42"/>
      <c r="E1021" s="51"/>
      <c r="F1021" s="51"/>
      <c r="G1021" s="42"/>
      <c r="H1021" s="42"/>
      <c r="I1021" s="42"/>
      <c r="J1021" s="42"/>
      <c r="K1021" s="42"/>
      <c r="L1021" s="42"/>
      <c r="M1021" s="42"/>
      <c r="N1021" s="42"/>
      <c r="O1021" s="42"/>
      <c r="P1021" s="42"/>
      <c r="Q1021" s="42"/>
      <c r="R1021" s="42"/>
      <c r="S1021" s="42"/>
      <c r="T1021" s="42"/>
      <c r="U1021" s="42"/>
      <c r="V1021" s="42"/>
      <c r="W1021" s="42"/>
      <c r="X1021" s="42"/>
      <c r="Y1021" s="42"/>
      <c r="Z1021" s="42"/>
      <c r="AA1021" s="42"/>
      <c r="AB1021" s="42"/>
      <c r="AC1021" s="42"/>
      <c r="AD1021" s="42"/>
      <c r="AE1021" s="42"/>
      <c r="AF1021" s="42"/>
      <c r="AG1021" s="42"/>
      <c r="AH1021" s="42"/>
      <c r="AI1021" s="42"/>
      <c r="AJ1021" s="42"/>
      <c r="AK1021" s="42"/>
      <c r="AL1021" s="42"/>
      <c r="AM1021" s="42"/>
      <c r="AN1021" s="42"/>
      <c r="AO1021" s="42"/>
      <c r="AP1021" s="42"/>
      <c r="AQ1021" s="42"/>
      <c r="AR1021" s="42"/>
      <c r="AS1021" s="42"/>
      <c r="AT1021" s="42"/>
      <c r="AU1021" s="42"/>
      <c r="AV1021" s="42"/>
      <c r="AW1021" s="42"/>
      <c r="AX1021" s="42"/>
      <c r="AY1021" s="42"/>
      <c r="AZ1021" s="42"/>
      <c r="BA1021" s="42"/>
      <c r="BB1021" s="42"/>
      <c r="BC1021" s="42"/>
      <c r="BD1021" s="42"/>
      <c r="BE1021" s="42"/>
      <c r="BF1021" s="42"/>
      <c r="BG1021" s="42"/>
      <c r="BH1021" s="42"/>
    </row>
    <row r="1022" spans="1:60">
      <c r="A1022" s="175" t="s">
        <v>454</v>
      </c>
      <c r="B1022" s="178"/>
      <c r="C1022" s="178"/>
      <c r="D1022" s="178"/>
      <c r="E1022" s="182" t="e">
        <f>IF(E1020&gt;0,E1014/E1020,0)</f>
        <v>#REF!</v>
      </c>
      <c r="F1022" s="182" t="e">
        <f>IF(F1020&gt;0,F1014/F1020,0)</f>
        <v>#REF!</v>
      </c>
      <c r="G1022" s="181" t="e">
        <f>IF(AND(E1022=0,F1022=0),"",IF(AND(E1022=0,F1022&gt;0),F1022,(F1022-E1022)/E1022))</f>
        <v>#REF!</v>
      </c>
      <c r="H1022" s="178"/>
      <c r="I1022" s="178"/>
      <c r="J1022" s="178"/>
      <c r="K1022" s="178"/>
      <c r="L1022" s="178"/>
      <c r="M1022" s="178"/>
      <c r="N1022" s="178"/>
      <c r="O1022" s="178"/>
      <c r="P1022" s="178"/>
      <c r="Q1022" s="178"/>
      <c r="R1022" s="178"/>
      <c r="S1022" s="178"/>
      <c r="T1022" s="178"/>
      <c r="U1022" s="178"/>
      <c r="V1022" s="178"/>
      <c r="W1022" s="178"/>
      <c r="X1022" s="178"/>
      <c r="Y1022" s="178"/>
      <c r="Z1022" s="178"/>
      <c r="AA1022" s="178"/>
      <c r="AB1022" s="178"/>
      <c r="AC1022" s="178"/>
      <c r="AD1022" s="178"/>
      <c r="AE1022" s="178"/>
      <c r="AF1022" s="178"/>
      <c r="AG1022" s="178"/>
      <c r="AH1022" s="178"/>
      <c r="AI1022" s="178"/>
      <c r="AJ1022" s="178"/>
      <c r="AK1022" s="178"/>
      <c r="AL1022" s="178"/>
      <c r="AM1022" s="178"/>
      <c r="AN1022" s="178"/>
      <c r="AO1022" s="178"/>
      <c r="AP1022" s="178"/>
      <c r="AQ1022" s="178"/>
      <c r="AR1022" s="178"/>
      <c r="AS1022" s="178"/>
      <c r="AT1022" s="178"/>
      <c r="AU1022" s="178"/>
      <c r="AV1022" s="178"/>
      <c r="AW1022" s="178"/>
      <c r="AX1022" s="178"/>
      <c r="AY1022" s="178"/>
      <c r="AZ1022" s="178"/>
      <c r="BA1022" s="178"/>
      <c r="BB1022" s="178"/>
      <c r="BC1022" s="178"/>
      <c r="BD1022" s="178"/>
      <c r="BE1022" s="178"/>
      <c r="BF1022" s="178"/>
      <c r="BG1022" s="178"/>
      <c r="BH1022" s="178"/>
    </row>
    <row r="1023" spans="1:60">
      <c r="A1023" s="42"/>
      <c r="B1023" s="42"/>
      <c r="C1023" s="42"/>
      <c r="D1023" s="42"/>
      <c r="E1023" s="51"/>
      <c r="F1023" s="51"/>
      <c r="G1023" s="42"/>
      <c r="H1023" s="42"/>
      <c r="I1023" s="42"/>
      <c r="J1023" s="42"/>
      <c r="K1023" s="42"/>
      <c r="L1023" s="42"/>
      <c r="M1023" s="42"/>
      <c r="N1023" s="42"/>
      <c r="O1023" s="42"/>
      <c r="P1023" s="42"/>
      <c r="Q1023" s="42"/>
      <c r="R1023" s="42"/>
      <c r="S1023" s="42"/>
      <c r="T1023" s="42"/>
      <c r="U1023" s="42"/>
      <c r="V1023" s="42"/>
      <c r="W1023" s="42"/>
      <c r="X1023" s="42"/>
      <c r="Y1023" s="42"/>
      <c r="Z1023" s="42"/>
      <c r="AA1023" s="42"/>
      <c r="AB1023" s="42"/>
      <c r="AC1023" s="42"/>
      <c r="AD1023" s="42"/>
      <c r="AE1023" s="42"/>
      <c r="AF1023" s="42"/>
      <c r="AG1023" s="42"/>
      <c r="AH1023" s="42"/>
      <c r="AI1023" s="42"/>
      <c r="AJ1023" s="42"/>
      <c r="AK1023" s="42"/>
      <c r="AL1023" s="42"/>
      <c r="AM1023" s="42"/>
      <c r="AN1023" s="42"/>
      <c r="AO1023" s="42"/>
      <c r="AP1023" s="42"/>
      <c r="AQ1023" s="42"/>
      <c r="AR1023" s="42"/>
      <c r="AS1023" s="42"/>
      <c r="AT1023" s="42"/>
      <c r="AU1023" s="42"/>
      <c r="AV1023" s="42"/>
      <c r="AW1023" s="42"/>
      <c r="AX1023" s="42"/>
      <c r="AY1023" s="42"/>
      <c r="AZ1023" s="42"/>
      <c r="BA1023" s="42"/>
      <c r="BB1023" s="42"/>
      <c r="BC1023" s="42"/>
      <c r="BD1023" s="42"/>
      <c r="BE1023" s="42"/>
      <c r="BF1023" s="42"/>
      <c r="BG1023" s="42"/>
      <c r="BH1023" s="42"/>
    </row>
    <row r="1024" spans="1:60">
      <c r="A1024" s="175" t="s">
        <v>455</v>
      </c>
      <c r="B1024" s="178"/>
      <c r="C1024" s="178"/>
      <c r="D1024" s="178"/>
      <c r="E1024" s="182" t="e">
        <f>IF(E1020&gt;0,(E1011+E1012)/E1020,0)</f>
        <v>#REF!</v>
      </c>
      <c r="F1024" s="182" t="e">
        <f>IF(F1020&gt;0,(F1011+F1012)/F1020,0)</f>
        <v>#REF!</v>
      </c>
      <c r="G1024" s="181" t="e">
        <f>IF(AND(E1024=0,F1024=0),"",IF(AND(E1024=0,F1024&gt;0),F1024,(F1024-E1024)/E1024))</f>
        <v>#REF!</v>
      </c>
      <c r="H1024" s="178"/>
      <c r="I1024" s="178"/>
      <c r="J1024" s="178"/>
      <c r="K1024" s="178"/>
      <c r="L1024" s="178"/>
      <c r="M1024" s="178"/>
      <c r="N1024" s="178"/>
      <c r="O1024" s="178"/>
      <c r="P1024" s="178"/>
      <c r="Q1024" s="178"/>
      <c r="R1024" s="178"/>
      <c r="S1024" s="178"/>
      <c r="T1024" s="178"/>
      <c r="U1024" s="178"/>
      <c r="V1024" s="178"/>
      <c r="W1024" s="178"/>
      <c r="X1024" s="178"/>
      <c r="Y1024" s="178"/>
      <c r="Z1024" s="178"/>
      <c r="AA1024" s="178"/>
      <c r="AB1024" s="178"/>
      <c r="AC1024" s="178"/>
      <c r="AD1024" s="178"/>
      <c r="AE1024" s="178"/>
      <c r="AF1024" s="178"/>
      <c r="AG1024" s="178"/>
      <c r="AH1024" s="178"/>
      <c r="AI1024" s="178"/>
      <c r="AJ1024" s="178"/>
      <c r="AK1024" s="178"/>
      <c r="AL1024" s="178"/>
      <c r="AM1024" s="178"/>
      <c r="AN1024" s="178"/>
      <c r="AO1024" s="178"/>
      <c r="AP1024" s="178"/>
      <c r="AQ1024" s="178"/>
      <c r="AR1024" s="178"/>
      <c r="AS1024" s="178"/>
      <c r="AT1024" s="178"/>
      <c r="AU1024" s="178"/>
      <c r="AV1024" s="178"/>
      <c r="AW1024" s="178"/>
      <c r="AX1024" s="178"/>
      <c r="AY1024" s="178"/>
      <c r="AZ1024" s="178"/>
      <c r="BA1024" s="178"/>
      <c r="BB1024" s="178"/>
      <c r="BC1024" s="178"/>
      <c r="BD1024" s="178"/>
      <c r="BE1024" s="178"/>
      <c r="BF1024" s="178"/>
      <c r="BG1024" s="178"/>
      <c r="BH1024" s="178"/>
    </row>
    <row r="1025" spans="1:11">
      <c r="E1025" s="171"/>
      <c r="G1025" s="171"/>
      <c r="H1025" s="77"/>
      <c r="I1025" s="171"/>
    </row>
    <row r="1026" spans="1:11" ht="15">
      <c r="A1026" s="305" t="s">
        <v>456</v>
      </c>
      <c r="B1026" s="305"/>
      <c r="C1026" s="305"/>
      <c r="D1026" s="305"/>
      <c r="E1026" s="305"/>
      <c r="F1026" s="305"/>
      <c r="G1026" s="305"/>
      <c r="H1026" s="305"/>
      <c r="I1026" s="305"/>
      <c r="J1026" s="305"/>
      <c r="K1026" s="305"/>
    </row>
    <row r="1028" spans="1:11">
      <c r="A1028" s="65" t="s">
        <v>406</v>
      </c>
      <c r="C1028" s="77" t="e">
        <f>#REF!</f>
        <v>#REF!</v>
      </c>
      <c r="D1028" s="77" t="e">
        <f>#REF!</f>
        <v>#REF!</v>
      </c>
    </row>
    <row r="1029" spans="1:11">
      <c r="C1029" s="167"/>
      <c r="D1029" s="167"/>
    </row>
    <row r="1030" spans="1:11">
      <c r="A1030" s="168" t="s">
        <v>457</v>
      </c>
      <c r="C1030" s="169" t="e">
        <f>#REF!</f>
        <v>#REF!</v>
      </c>
      <c r="D1030" s="169" t="e">
        <f>#REF!</f>
        <v>#REF!</v>
      </c>
    </row>
    <row r="1031" spans="1:11">
      <c r="A1031" s="168"/>
      <c r="C1031" s="169"/>
      <c r="D1031" s="169"/>
    </row>
    <row r="1032" spans="1:11">
      <c r="A1032" s="168" t="s">
        <v>458</v>
      </c>
      <c r="C1032" s="169" t="e">
        <f>SUM(#REF!)</f>
        <v>#REF!</v>
      </c>
      <c r="D1032" s="169" t="e">
        <f>SUM(#REF!)</f>
        <v>#REF!</v>
      </c>
    </row>
    <row r="1033" spans="1:11">
      <c r="A1033" s="168"/>
      <c r="C1033" s="169"/>
      <c r="D1033" s="169"/>
    </row>
    <row r="1034" spans="1:11">
      <c r="A1034" s="168" t="s">
        <v>459</v>
      </c>
    </row>
    <row r="1035" spans="1:11">
      <c r="A1035" s="183" t="s">
        <v>83</v>
      </c>
      <c r="C1035" s="169" t="e">
        <f>#REF!</f>
        <v>#REF!</v>
      </c>
      <c r="D1035" s="169" t="e">
        <f>#REF!</f>
        <v>#REF!</v>
      </c>
    </row>
    <row r="1036" spans="1:11">
      <c r="A1036" s="183" t="s">
        <v>460</v>
      </c>
      <c r="C1036" s="63" t="e">
        <f>IF(OR(C1028="Select Year",C1028&lt;2014,C1035=0),0,VLOOKUP(C1028,$C$37:$D$42,2,FALSE()))</f>
        <v>#REF!</v>
      </c>
      <c r="D1036" s="63" t="e">
        <f>IF(OR(D1028="Select Year",D1028&lt;2014,D1035=0),0,VLOOKUP(D1028,$C$37:$D$42,2,FALSE()))</f>
        <v>#REF!</v>
      </c>
    </row>
    <row r="1037" spans="1:11">
      <c r="A1037" s="183" t="s">
        <v>461</v>
      </c>
      <c r="C1037" s="169" t="e">
        <f>C1035*C1036</f>
        <v>#REF!</v>
      </c>
      <c r="D1037" s="169" t="e">
        <f>D1035*D1036</f>
        <v>#REF!</v>
      </c>
    </row>
    <row r="1038" spans="1:11">
      <c r="A1038" s="183" t="s">
        <v>462</v>
      </c>
      <c r="C1038" s="169" t="e">
        <f>#REF!+#REF!+#REF!</f>
        <v>#REF!</v>
      </c>
      <c r="D1038" s="169" t="e">
        <f>#REF!+#REF!+#REF!</f>
        <v>#REF!</v>
      </c>
    </row>
    <row r="1039" spans="1:11">
      <c r="A1039" s="183"/>
      <c r="C1039" s="169"/>
      <c r="D1039" s="169"/>
    </row>
    <row r="1040" spans="1:11">
      <c r="A1040" s="168" t="s">
        <v>463</v>
      </c>
      <c r="C1040" s="169" t="e">
        <f>SUM(#REF!)</f>
        <v>#REF!</v>
      </c>
      <c r="D1040" s="169" t="e">
        <f>SUM(#REF!)</f>
        <v>#REF!</v>
      </c>
    </row>
    <row r="1041" spans="1:4">
      <c r="A1041" s="168"/>
      <c r="C1041" s="169"/>
      <c r="D1041" s="169"/>
    </row>
    <row r="1042" spans="1:4">
      <c r="A1042" s="168" t="s">
        <v>464</v>
      </c>
    </row>
    <row r="1043" spans="1:4">
      <c r="A1043" s="183" t="s">
        <v>83</v>
      </c>
      <c r="C1043" s="169" t="e">
        <f>#REF!</f>
        <v>#REF!</v>
      </c>
      <c r="D1043" s="169" t="e">
        <f>#REF!</f>
        <v>#REF!</v>
      </c>
    </row>
    <row r="1044" spans="1:4">
      <c r="A1044" s="183" t="s">
        <v>460</v>
      </c>
      <c r="C1044" s="63" t="e">
        <f>IF(OR(C1028="Select Year",C1028&lt;2014,C1043=0),0,VLOOKUP(C1028,$C$37:$D$42,2,FALSE()))</f>
        <v>#REF!</v>
      </c>
      <c r="D1044" s="63" t="e">
        <f>IF(OR(D1028="Select Year",D1028&lt;2014,D1043=0),0,VLOOKUP(D1028,$C$37:$D$42,2,FALSE()))</f>
        <v>#REF!</v>
      </c>
    </row>
    <row r="1045" spans="1:4">
      <c r="A1045" s="183" t="s">
        <v>461</v>
      </c>
      <c r="C1045" s="169" t="e">
        <f>C1043*C1044</f>
        <v>#REF!</v>
      </c>
      <c r="D1045" s="169" t="e">
        <f>D1043*D1044</f>
        <v>#REF!</v>
      </c>
    </row>
    <row r="1046" spans="1:4">
      <c r="A1046" s="183" t="s">
        <v>462</v>
      </c>
      <c r="C1046" s="169" t="e">
        <f>(SUM(#REF!)+#REF!+#REF!+#REF!)-#REF!</f>
        <v>#REF!</v>
      </c>
      <c r="D1046" s="169" t="e">
        <f>(SUM(#REF!)+#REF!+#REF!+#REF!)-#REF!</f>
        <v>#REF!</v>
      </c>
    </row>
    <row r="1047" spans="1:4">
      <c r="A1047" s="168"/>
    </row>
    <row r="1048" spans="1:4">
      <c r="A1048" s="168" t="s">
        <v>465</v>
      </c>
      <c r="C1048" s="169" t="e">
        <f>#REF!</f>
        <v>#REF!</v>
      </c>
      <c r="D1048" s="169" t="e">
        <f>#REF!</f>
        <v>#REF!</v>
      </c>
    </row>
    <row r="1049" spans="1:4">
      <c r="A1049" s="168"/>
    </row>
    <row r="1050" spans="1:4">
      <c r="A1050" s="168" t="s">
        <v>466</v>
      </c>
      <c r="C1050" s="169" t="e">
        <f>#REF!</f>
        <v>#REF!</v>
      </c>
      <c r="D1050" s="169" t="e">
        <f>#REF!</f>
        <v>#REF!</v>
      </c>
    </row>
    <row r="1051" spans="1:4">
      <c r="A1051" s="168"/>
    </row>
    <row r="1052" spans="1:4">
      <c r="A1052" s="168" t="s">
        <v>467</v>
      </c>
      <c r="C1052" s="169" t="e">
        <f>SUM(#REF!)</f>
        <v>#REF!</v>
      </c>
      <c r="D1052" s="169" t="e">
        <f>SUM(#REF!)</f>
        <v>#REF!</v>
      </c>
    </row>
    <row r="1053" spans="1:4">
      <c r="A1053" s="168"/>
    </row>
    <row r="1054" spans="1:4">
      <c r="A1054" s="168" t="s">
        <v>468</v>
      </c>
      <c r="C1054" s="169" t="e">
        <f>SUM(#REF!)</f>
        <v>#REF!</v>
      </c>
      <c r="D1054" s="169" t="e">
        <f>SUM(#REF!)</f>
        <v>#REF!</v>
      </c>
    </row>
    <row r="1055" spans="1:4">
      <c r="A1055" s="168"/>
    </row>
    <row r="1056" spans="1:4">
      <c r="A1056" s="168" t="s">
        <v>36</v>
      </c>
    </row>
    <row r="1057" spans="1:4">
      <c r="A1057" s="168"/>
    </row>
    <row r="1058" spans="1:4">
      <c r="A1058" s="65" t="s">
        <v>469</v>
      </c>
    </row>
    <row r="1059" spans="1:4">
      <c r="A1059" s="168" t="s">
        <v>470</v>
      </c>
      <c r="C1059" s="169" t="e">
        <f>SUM(#REF!)</f>
        <v>#REF!</v>
      </c>
      <c r="D1059" s="169" t="e">
        <f>SUM(#REF!)</f>
        <v>#REF!</v>
      </c>
    </row>
    <row r="1060" spans="1:4">
      <c r="A1060" s="168"/>
    </row>
    <row r="1061" spans="1:4">
      <c r="A1061" s="65" t="s">
        <v>471</v>
      </c>
    </row>
    <row r="1062" spans="1:4">
      <c r="A1062" s="168" t="s">
        <v>472</v>
      </c>
      <c r="C1062" s="169" t="e">
        <f>SUM(#REF!)-(SUM(#REF!))</f>
        <v>#REF!</v>
      </c>
      <c r="D1062" s="169" t="e">
        <f>SUM(#REF!)-(SUM(#REF!))</f>
        <v>#REF!</v>
      </c>
    </row>
    <row r="1063" spans="1:4">
      <c r="A1063" s="168" t="s">
        <v>473</v>
      </c>
      <c r="C1063" s="170" t="e">
        <f>#REF!</f>
        <v>#REF!</v>
      </c>
      <c r="D1063" s="170" t="e">
        <f>#REF!</f>
        <v>#REF!</v>
      </c>
    </row>
    <row r="1064" spans="1:4">
      <c r="A1064" s="168" t="s">
        <v>36</v>
      </c>
      <c r="C1064" s="184" t="e">
        <f>C1062*C1063</f>
        <v>#REF!</v>
      </c>
      <c r="D1064" s="184" t="e">
        <f>D1062*D1063</f>
        <v>#REF!</v>
      </c>
    </row>
    <row r="1065" spans="1:4">
      <c r="A1065" s="168"/>
    </row>
    <row r="1066" spans="1:4">
      <c r="A1066" s="65" t="s">
        <v>469</v>
      </c>
    </row>
    <row r="1067" spans="1:4">
      <c r="A1067" s="168" t="s">
        <v>474</v>
      </c>
      <c r="C1067" s="169" t="e">
        <f>SUM(#REF!)</f>
        <v>#REF!</v>
      </c>
      <c r="D1067" s="169" t="e">
        <f>SUM(#REF!)</f>
        <v>#REF!</v>
      </c>
    </row>
    <row r="1068" spans="1:4">
      <c r="A1068" s="168"/>
    </row>
    <row r="1069" spans="1:4">
      <c r="A1069" s="65" t="s">
        <v>475</v>
      </c>
    </row>
    <row r="1070" spans="1:4">
      <c r="A1070" s="168" t="s">
        <v>476</v>
      </c>
      <c r="C1070" s="169" t="e">
        <f>SUM(#REF!)-SUM(#REF!,#REF!)</f>
        <v>#REF!</v>
      </c>
      <c r="D1070" s="169" t="e">
        <f>SUM(#REF!)-SUM(#REF!)</f>
        <v>#REF!</v>
      </c>
    </row>
    <row r="1071" spans="1:4">
      <c r="A1071" s="168" t="s">
        <v>473</v>
      </c>
      <c r="C1071" s="170" t="e">
        <f>#REF!</f>
        <v>#REF!</v>
      </c>
      <c r="D1071" s="170" t="e">
        <f>#REF!</f>
        <v>#REF!</v>
      </c>
    </row>
    <row r="1072" spans="1:4">
      <c r="A1072" s="168" t="s">
        <v>36</v>
      </c>
      <c r="C1072" s="184" t="e">
        <f>C1070*C1071</f>
        <v>#REF!</v>
      </c>
      <c r="D1072" s="184" t="e">
        <f>D1070*D1071</f>
        <v>#REF!</v>
      </c>
    </row>
    <row r="1073" spans="1:9">
      <c r="A1073" s="168"/>
    </row>
    <row r="1074" spans="1:9">
      <c r="A1074" s="65" t="s">
        <v>477</v>
      </c>
    </row>
    <row r="1075" spans="1:9">
      <c r="A1075" s="168" t="s">
        <v>478</v>
      </c>
      <c r="C1075" s="169" t="e">
        <f>SUM(#REF!)-SUM(#REF!)</f>
        <v>#REF!</v>
      </c>
      <c r="D1075" s="169" t="e">
        <f>SUM(#REF!)-SUM(#REF!)</f>
        <v>#REF!</v>
      </c>
    </row>
    <row r="1076" spans="1:9">
      <c r="A1076" s="168" t="s">
        <v>473</v>
      </c>
      <c r="C1076" s="170" t="e">
        <f>#REF!</f>
        <v>#REF!</v>
      </c>
      <c r="D1076" s="170" t="e">
        <f>#REF!</f>
        <v>#REF!</v>
      </c>
    </row>
    <row r="1077" spans="1:9">
      <c r="A1077" s="168" t="s">
        <v>36</v>
      </c>
      <c r="C1077" s="184" t="e">
        <f>C1075*C1076</f>
        <v>#REF!</v>
      </c>
      <c r="D1077" s="184" t="e">
        <f>D1075*D1076</f>
        <v>#REF!</v>
      </c>
    </row>
    <row r="1078" spans="1:9">
      <c r="A1078" s="168"/>
    </row>
    <row r="1079" spans="1:9">
      <c r="A1079" s="65" t="s">
        <v>255</v>
      </c>
      <c r="D1079" s="74" t="e">
        <f>#REF!</f>
        <v>#REF!</v>
      </c>
      <c r="F1079" s="74" t="e">
        <f>#REF!</f>
        <v>#REF!</v>
      </c>
    </row>
    <row r="1080" spans="1:9">
      <c r="A1080" s="168" t="s">
        <v>479</v>
      </c>
      <c r="D1080" s="65" t="b">
        <f>FALSE()</f>
        <v>0</v>
      </c>
      <c r="E1080" s="171">
        <f>IF(D1080=TRUE(),C1030,0)</f>
        <v>0</v>
      </c>
      <c r="F1080" s="65" t="b">
        <f>FALSE()</f>
        <v>0</v>
      </c>
      <c r="G1080" s="171">
        <f>IF(F1080=TRUE(),D1030,0)</f>
        <v>0</v>
      </c>
      <c r="H1080" s="77">
        <f t="shared" ref="H1080:H1093" si="14">IF(AND(D1080=FALSE(),F1080=TRUE()),12,IF(AND(D1080=TRUE(),F1080=FALSE()),12,IF(AND(D1080=TRUE(),F1080=TRUE()),24,0)))</f>
        <v>0</v>
      </c>
      <c r="I1080" s="171">
        <f t="shared" ref="I1080:I1093" si="15">IF(H1080=0,0,(E1080+G1080)/H1080)</f>
        <v>0</v>
      </c>
    </row>
    <row r="1081" spans="1:9">
      <c r="A1081" s="168" t="s">
        <v>480</v>
      </c>
      <c r="D1081" s="65" t="b">
        <f>FALSE()</f>
        <v>0</v>
      </c>
      <c r="E1081" s="171">
        <f>IF(D1081=TRUE(),C1032,0)</f>
        <v>0</v>
      </c>
      <c r="F1081" s="65" t="b">
        <f>FALSE()</f>
        <v>0</v>
      </c>
      <c r="G1081" s="171">
        <f>IF(F1081=TRUE(),D1032,0)</f>
        <v>0</v>
      </c>
      <c r="H1081" s="77">
        <f t="shared" si="14"/>
        <v>0</v>
      </c>
      <c r="I1081" s="171">
        <f t="shared" si="15"/>
        <v>0</v>
      </c>
    </row>
    <row r="1082" spans="1:9">
      <c r="A1082" s="168" t="s">
        <v>481</v>
      </c>
      <c r="D1082" s="65" t="b">
        <f>FALSE()</f>
        <v>0</v>
      </c>
      <c r="E1082" s="171">
        <f>IF(D1082=TRUE(),C1038,0)</f>
        <v>0</v>
      </c>
      <c r="F1082" s="65" t="b">
        <f>FALSE()</f>
        <v>0</v>
      </c>
      <c r="G1082" s="171">
        <f>IF(F1082=TRUE(),D1038,0)</f>
        <v>0</v>
      </c>
      <c r="H1082" s="77">
        <f t="shared" si="14"/>
        <v>0</v>
      </c>
      <c r="I1082" s="171">
        <f t="shared" si="15"/>
        <v>0</v>
      </c>
    </row>
    <row r="1083" spans="1:9">
      <c r="A1083" s="168" t="s">
        <v>482</v>
      </c>
      <c r="D1083" s="65" t="b">
        <f>FALSE()</f>
        <v>0</v>
      </c>
      <c r="E1083" s="171">
        <f>IF(D1083=TRUE(),C1040,0)</f>
        <v>0</v>
      </c>
      <c r="F1083" s="65" t="b">
        <f>FALSE()</f>
        <v>0</v>
      </c>
      <c r="G1083" s="171">
        <f>IF(F1083=TRUE(),D1040,0)</f>
        <v>0</v>
      </c>
      <c r="H1083" s="77">
        <f t="shared" si="14"/>
        <v>0</v>
      </c>
      <c r="I1083" s="171">
        <f t="shared" si="15"/>
        <v>0</v>
      </c>
    </row>
    <row r="1084" spans="1:9">
      <c r="A1084" s="168" t="s">
        <v>483</v>
      </c>
      <c r="D1084" s="65" t="b">
        <f>FALSE()</f>
        <v>0</v>
      </c>
      <c r="E1084" s="171">
        <f>IF(D1084=TRUE(),C1046,0)</f>
        <v>0</v>
      </c>
      <c r="F1084" s="65" t="b">
        <f>FALSE()</f>
        <v>0</v>
      </c>
      <c r="G1084" s="171">
        <f>IF(F1084=TRUE(),D1046,0)</f>
        <v>0</v>
      </c>
      <c r="H1084" s="77">
        <f t="shared" si="14"/>
        <v>0</v>
      </c>
      <c r="I1084" s="171">
        <f t="shared" si="15"/>
        <v>0</v>
      </c>
    </row>
    <row r="1085" spans="1:9">
      <c r="A1085" s="168" t="s">
        <v>484</v>
      </c>
      <c r="D1085" s="65" t="b">
        <f>FALSE()</f>
        <v>0</v>
      </c>
      <c r="E1085" s="171">
        <f>IF(D1085=TRUE(),C1048,0)</f>
        <v>0</v>
      </c>
      <c r="F1085" s="65" t="b">
        <f>FALSE()</f>
        <v>0</v>
      </c>
      <c r="G1085" s="171">
        <f>IF(F1085=TRUE(),D1048,0)</f>
        <v>0</v>
      </c>
      <c r="H1085" s="77">
        <f t="shared" si="14"/>
        <v>0</v>
      </c>
      <c r="I1085" s="171">
        <f t="shared" si="15"/>
        <v>0</v>
      </c>
    </row>
    <row r="1086" spans="1:9">
      <c r="A1086" s="168" t="s">
        <v>485</v>
      </c>
      <c r="D1086" s="65" t="b">
        <f>FALSE()</f>
        <v>0</v>
      </c>
      <c r="E1086" s="171">
        <f>IF(D1086=TRUE(),C1050,0)</f>
        <v>0</v>
      </c>
      <c r="F1086" s="65" t="b">
        <f>FALSE()</f>
        <v>0</v>
      </c>
      <c r="G1086" s="171">
        <f>IF(F1086=TRUE(),D1050,0)</f>
        <v>0</v>
      </c>
      <c r="H1086" s="77">
        <f t="shared" si="14"/>
        <v>0</v>
      </c>
      <c r="I1086" s="171">
        <f t="shared" si="15"/>
        <v>0</v>
      </c>
    </row>
    <row r="1087" spans="1:9">
      <c r="A1087" s="168" t="s">
        <v>486</v>
      </c>
      <c r="D1087" s="65" t="b">
        <f>FALSE()</f>
        <v>0</v>
      </c>
      <c r="E1087" s="171">
        <f>IF(D1087=TRUE(),C1052,0)</f>
        <v>0</v>
      </c>
      <c r="F1087" s="65" t="b">
        <f>FALSE()</f>
        <v>0</v>
      </c>
      <c r="G1087" s="171">
        <f>IF(F1087=TRUE(),D1052,0)</f>
        <v>0</v>
      </c>
      <c r="H1087" s="77">
        <f t="shared" si="14"/>
        <v>0</v>
      </c>
      <c r="I1087" s="171">
        <f t="shared" si="15"/>
        <v>0</v>
      </c>
    </row>
    <row r="1088" spans="1:9">
      <c r="A1088" s="168" t="s">
        <v>487</v>
      </c>
      <c r="D1088" s="65" t="b">
        <f>FALSE()</f>
        <v>0</v>
      </c>
      <c r="E1088" s="171">
        <f>IF(D1088=TRUE(),C1054,0)</f>
        <v>0</v>
      </c>
      <c r="F1088" s="65" t="b">
        <f>FALSE()</f>
        <v>0</v>
      </c>
      <c r="G1088" s="171">
        <f>IF(F1088=TRUE(),D1054,0)</f>
        <v>0</v>
      </c>
      <c r="H1088" s="77">
        <f t="shared" si="14"/>
        <v>0</v>
      </c>
      <c r="I1088" s="171">
        <f t="shared" si="15"/>
        <v>0</v>
      </c>
    </row>
    <row r="1089" spans="1:9">
      <c r="A1089" s="168" t="s">
        <v>488</v>
      </c>
      <c r="D1089" s="65" t="b">
        <f>FALSE()</f>
        <v>0</v>
      </c>
      <c r="E1089" s="171">
        <f>IF(D1089=TRUE(),C1059,0)</f>
        <v>0</v>
      </c>
      <c r="F1089" s="65" t="b">
        <f>FALSE()</f>
        <v>0</v>
      </c>
      <c r="G1089" s="171">
        <f>IF(F1089=TRUE(),D1059,0)</f>
        <v>0</v>
      </c>
      <c r="H1089" s="77">
        <f t="shared" si="14"/>
        <v>0</v>
      </c>
      <c r="I1089" s="171">
        <f t="shared" si="15"/>
        <v>0</v>
      </c>
    </row>
    <row r="1090" spans="1:9">
      <c r="A1090" s="168" t="s">
        <v>489</v>
      </c>
      <c r="D1090" s="65" t="b">
        <f>FALSE()</f>
        <v>0</v>
      </c>
      <c r="E1090" s="171">
        <f>IF(D1090=TRUE(),C1064,0)</f>
        <v>0</v>
      </c>
      <c r="F1090" s="65" t="b">
        <f>FALSE()</f>
        <v>0</v>
      </c>
      <c r="G1090" s="171">
        <f>IF(F1090=TRUE(),D1064,0)</f>
        <v>0</v>
      </c>
      <c r="H1090" s="77">
        <f t="shared" si="14"/>
        <v>0</v>
      </c>
      <c r="I1090" s="171">
        <f t="shared" si="15"/>
        <v>0</v>
      </c>
    </row>
    <row r="1091" spans="1:9">
      <c r="A1091" s="168" t="s">
        <v>490</v>
      </c>
      <c r="D1091" s="65" t="b">
        <f>FALSE()</f>
        <v>0</v>
      </c>
      <c r="E1091" s="171">
        <f>IF(D1091=TRUE(),C1067,0)</f>
        <v>0</v>
      </c>
      <c r="F1091" s="65" t="b">
        <f>FALSE()</f>
        <v>0</v>
      </c>
      <c r="G1091" s="171">
        <f>IF(F1091=TRUE(),D1067,0)</f>
        <v>0</v>
      </c>
      <c r="H1091" s="77">
        <f t="shared" si="14"/>
        <v>0</v>
      </c>
      <c r="I1091" s="171">
        <f t="shared" si="15"/>
        <v>0</v>
      </c>
    </row>
    <row r="1092" spans="1:9">
      <c r="A1092" s="168" t="s">
        <v>491</v>
      </c>
      <c r="D1092" s="65" t="b">
        <f>FALSE()</f>
        <v>0</v>
      </c>
      <c r="E1092" s="171">
        <f>IF(D1092=TRUE(),C1072,0)</f>
        <v>0</v>
      </c>
      <c r="F1092" s="65" t="b">
        <f>FALSE()</f>
        <v>0</v>
      </c>
      <c r="G1092" s="171">
        <f>IF(F1092=TRUE(),D1072,0)</f>
        <v>0</v>
      </c>
      <c r="H1092" s="77">
        <f t="shared" si="14"/>
        <v>0</v>
      </c>
      <c r="I1092" s="171">
        <f t="shared" si="15"/>
        <v>0</v>
      </c>
    </row>
    <row r="1093" spans="1:9">
      <c r="A1093" s="168" t="s">
        <v>492</v>
      </c>
      <c r="D1093" s="65" t="b">
        <f>FALSE()</f>
        <v>0</v>
      </c>
      <c r="E1093" s="171">
        <f>IF(D1093=TRUE(),C1077,0)</f>
        <v>0</v>
      </c>
      <c r="F1093" s="65" t="b">
        <f>FALSE()</f>
        <v>0</v>
      </c>
      <c r="G1093" s="171">
        <f>IF(F1093=TRUE(),D1077,0)</f>
        <v>0</v>
      </c>
      <c r="H1093" s="77">
        <f t="shared" si="14"/>
        <v>0</v>
      </c>
      <c r="I1093" s="171">
        <f t="shared" si="15"/>
        <v>0</v>
      </c>
    </row>
    <row r="1094" spans="1:9">
      <c r="A1094" s="65" t="s">
        <v>435</v>
      </c>
      <c r="E1094" s="171"/>
      <c r="G1094" s="171"/>
      <c r="H1094" s="77"/>
      <c r="I1094" s="171">
        <f>SUM(I1080:I1093)</f>
        <v>0</v>
      </c>
    </row>
    <row r="1095" spans="1:9">
      <c r="A1095" s="168"/>
      <c r="E1095" s="171"/>
      <c r="G1095" s="171"/>
      <c r="H1095" s="77"/>
      <c r="I1095" s="171"/>
    </row>
    <row r="1096" spans="1:9">
      <c r="A1096" s="65" t="s">
        <v>436</v>
      </c>
      <c r="E1096" s="172" t="e">
        <f>#REF!</f>
        <v>#REF!</v>
      </c>
      <c r="G1096" s="171"/>
      <c r="H1096" s="77"/>
      <c r="I1096" s="171"/>
    </row>
    <row r="1097" spans="1:9">
      <c r="A1097" s="173" t="s">
        <v>437</v>
      </c>
      <c r="B1097" s="173"/>
      <c r="C1097" s="173"/>
      <c r="D1097" s="173"/>
      <c r="E1097" s="174" t="e">
        <f>#REF!</f>
        <v>#REF!</v>
      </c>
      <c r="F1097" s="173"/>
      <c r="G1097" s="173"/>
      <c r="H1097" s="173"/>
      <c r="I1097" s="173"/>
    </row>
    <row r="1098" spans="1:9">
      <c r="A1098" s="173" t="s">
        <v>438</v>
      </c>
      <c r="B1098" s="173"/>
      <c r="C1098" s="173"/>
      <c r="D1098" s="173"/>
      <c r="E1098" s="174" t="e">
        <f>#REF!</f>
        <v>#REF!</v>
      </c>
      <c r="F1098" s="173"/>
      <c r="G1098" s="173"/>
      <c r="H1098" s="173"/>
      <c r="I1098" s="173"/>
    </row>
    <row r="1099" spans="1:9">
      <c r="A1099" s="173" t="s">
        <v>439</v>
      </c>
      <c r="B1099" s="173"/>
      <c r="C1099" s="173"/>
      <c r="D1099" s="173"/>
      <c r="E1099" s="174" t="e">
        <f>#REF!</f>
        <v>#REF!</v>
      </c>
      <c r="F1099" s="173"/>
      <c r="G1099" s="173"/>
      <c r="H1099" s="173"/>
      <c r="I1099" s="173"/>
    </row>
    <row r="1100" spans="1:9">
      <c r="A1100" s="173" t="s">
        <v>3</v>
      </c>
      <c r="B1100" s="173"/>
      <c r="C1100" s="173"/>
      <c r="D1100" s="173"/>
      <c r="E1100" s="174" t="e">
        <f>SUM(E1097:E1099)</f>
        <v>#REF!</v>
      </c>
      <c r="F1100" s="173"/>
      <c r="G1100" s="173"/>
      <c r="H1100" s="173"/>
      <c r="I1100" s="173"/>
    </row>
    <row r="1101" spans="1:9">
      <c r="A1101" s="175" t="s">
        <v>440</v>
      </c>
      <c r="B1101" s="175"/>
      <c r="C1101" s="175"/>
      <c r="D1101" s="175"/>
      <c r="E1101" s="176" t="e">
        <f>IF(OR(#REF!="",#REF!=0),"",ROUND((((#REF!-DATE(YEAR(#REF!),1,1))+1)/365)*12,1))</f>
        <v>#REF!</v>
      </c>
      <c r="F1101" s="175"/>
      <c r="G1101" s="175"/>
      <c r="H1101" s="175"/>
      <c r="I1101" s="175"/>
    </row>
    <row r="1102" spans="1:9">
      <c r="A1102" s="175" t="s">
        <v>441</v>
      </c>
      <c r="B1102" s="175"/>
      <c r="C1102" s="175"/>
      <c r="D1102" s="175"/>
      <c r="E1102" s="174" t="e">
        <f>E1100/E1101</f>
        <v>#REF!</v>
      </c>
      <c r="F1102" s="175"/>
      <c r="G1102" s="175"/>
      <c r="H1102" s="175"/>
      <c r="I1102" s="175"/>
    </row>
    <row r="1103" spans="1:9">
      <c r="E1103" s="171"/>
      <c r="G1103" s="171"/>
      <c r="H1103" s="77"/>
      <c r="I1103" s="171"/>
    </row>
    <row r="1104" spans="1:9">
      <c r="A1104" s="65" t="s">
        <v>442</v>
      </c>
      <c r="E1104" s="177" t="e">
        <f>#REF!</f>
        <v>#REF!</v>
      </c>
      <c r="F1104" s="77" t="e">
        <f>#REF!</f>
        <v>#REF!</v>
      </c>
      <c r="G1104" s="177" t="s">
        <v>443</v>
      </c>
      <c r="H1104" s="77"/>
      <c r="I1104" s="171"/>
    </row>
    <row r="1105" spans="1:9">
      <c r="E1105" s="169"/>
      <c r="F1105" s="169"/>
      <c r="G1105" s="171"/>
      <c r="H1105" s="77"/>
      <c r="I1105" s="171"/>
    </row>
    <row r="1106" spans="1:9">
      <c r="A1106" s="175" t="s">
        <v>444</v>
      </c>
      <c r="B1106" s="178"/>
      <c r="C1106" s="178"/>
      <c r="D1106" s="178"/>
      <c r="E1106" s="179"/>
      <c r="F1106" s="179"/>
      <c r="G1106" s="178"/>
      <c r="H1106" s="178"/>
      <c r="I1106" s="178"/>
    </row>
    <row r="1107" spans="1:9">
      <c r="A1107" s="175" t="s">
        <v>445</v>
      </c>
      <c r="B1107" s="175"/>
      <c r="C1107" s="175"/>
      <c r="D1107" s="175"/>
      <c r="E1107" s="180" t="e">
        <f>#REF!</f>
        <v>#REF!</v>
      </c>
      <c r="F1107" s="180" t="e">
        <f>#REF!</f>
        <v>#REF!</v>
      </c>
      <c r="G1107" s="175"/>
      <c r="H1107" s="175"/>
      <c r="I1107" s="175"/>
    </row>
    <row r="1108" spans="1:9">
      <c r="A1108" s="175" t="s">
        <v>446</v>
      </c>
      <c r="B1108" s="175"/>
      <c r="C1108" s="175"/>
      <c r="D1108" s="175"/>
      <c r="E1108" s="180" t="e">
        <f>#REF!</f>
        <v>#REF!</v>
      </c>
      <c r="F1108" s="180" t="e">
        <f>#REF!</f>
        <v>#REF!</v>
      </c>
      <c r="G1108" s="175"/>
      <c r="H1108" s="175"/>
      <c r="I1108" s="175"/>
    </row>
    <row r="1109" spans="1:9">
      <c r="A1109" s="175" t="s">
        <v>447</v>
      </c>
      <c r="B1109" s="175"/>
      <c r="C1109" s="175"/>
      <c r="D1109" s="175"/>
      <c r="E1109" s="180" t="e">
        <f>#REF!</f>
        <v>#REF!</v>
      </c>
      <c r="F1109" s="180" t="e">
        <f>#REF!</f>
        <v>#REF!</v>
      </c>
      <c r="G1109" s="175"/>
      <c r="H1109" s="175"/>
      <c r="I1109" s="175"/>
    </row>
    <row r="1110" spans="1:9">
      <c r="A1110" s="175" t="s">
        <v>448</v>
      </c>
      <c r="B1110" s="175"/>
      <c r="C1110" s="175"/>
      <c r="D1110" s="175"/>
      <c r="E1110" s="180" t="e">
        <f>SUM(E1107:E1109)</f>
        <v>#REF!</v>
      </c>
      <c r="F1110" s="180" t="e">
        <f>SUM(F1107:F1109)</f>
        <v>#REF!</v>
      </c>
      <c r="G1110" s="181" t="e">
        <f>IF(AND(E1110=0,F1110=0),"",IF(AND(E1110=0,F1110&gt;0),"N/A",(F1110-E1110)/E1110))</f>
        <v>#REF!</v>
      </c>
      <c r="H1110" s="175"/>
      <c r="I1110" s="175"/>
    </row>
    <row r="1111" spans="1:9">
      <c r="A1111" s="42"/>
      <c r="B1111" s="42"/>
      <c r="C1111" s="42"/>
      <c r="D1111" s="42"/>
      <c r="E1111" s="51"/>
      <c r="F1111" s="51"/>
      <c r="G1111" s="42"/>
      <c r="H1111" s="42"/>
      <c r="I1111" s="42"/>
    </row>
    <row r="1112" spans="1:9">
      <c r="A1112" s="175" t="s">
        <v>449</v>
      </c>
      <c r="B1112" s="178"/>
      <c r="C1112" s="178"/>
      <c r="D1112" s="178"/>
      <c r="E1112" s="179"/>
      <c r="F1112" s="179"/>
      <c r="G1112" s="178"/>
      <c r="H1112" s="178"/>
      <c r="I1112" s="178"/>
    </row>
    <row r="1113" spans="1:9">
      <c r="A1113" s="175" t="s">
        <v>450</v>
      </c>
      <c r="B1113" s="175"/>
      <c r="C1113" s="175"/>
      <c r="D1113" s="175"/>
      <c r="E1113" s="180" t="e">
        <f>#REF!</f>
        <v>#REF!</v>
      </c>
      <c r="F1113" s="180" t="e">
        <f>#REF!</f>
        <v>#REF!</v>
      </c>
      <c r="G1113" s="175"/>
      <c r="H1113" s="175"/>
      <c r="I1113" s="175"/>
    </row>
    <row r="1114" spans="1:9">
      <c r="A1114" s="175" t="s">
        <v>451</v>
      </c>
      <c r="B1114" s="175"/>
      <c r="C1114" s="175"/>
      <c r="D1114" s="175"/>
      <c r="E1114" s="180" t="e">
        <f>#REF!</f>
        <v>#REF!</v>
      </c>
      <c r="F1114" s="180" t="e">
        <f>#REF!</f>
        <v>#REF!</v>
      </c>
      <c r="G1114" s="175"/>
      <c r="H1114" s="175"/>
      <c r="I1114" s="175"/>
    </row>
    <row r="1115" spans="1:9">
      <c r="A1115" s="175" t="s">
        <v>452</v>
      </c>
      <c r="B1115" s="175"/>
      <c r="C1115" s="175"/>
      <c r="D1115" s="175"/>
      <c r="E1115" s="180" t="e">
        <f>#REF!</f>
        <v>#REF!</v>
      </c>
      <c r="F1115" s="180" t="e">
        <f>#REF!</f>
        <v>#REF!</v>
      </c>
      <c r="G1115" s="175"/>
      <c r="H1115" s="175"/>
      <c r="I1115" s="175"/>
    </row>
    <row r="1116" spans="1:9">
      <c r="A1116" s="175" t="s">
        <v>453</v>
      </c>
      <c r="B1116" s="175"/>
      <c r="C1116" s="175"/>
      <c r="D1116" s="175"/>
      <c r="E1116" s="180" t="e">
        <f>SUM(E1113:E1115)</f>
        <v>#REF!</v>
      </c>
      <c r="F1116" s="180" t="e">
        <f>SUM(F1113:F1115)</f>
        <v>#REF!</v>
      </c>
      <c r="G1116" s="181" t="e">
        <f>IF(AND(E1116=0,F1116=0),"",IF(AND(E1116=0,F1116&gt;0),"N/A",(F1116-E1116)/E1116))</f>
        <v>#REF!</v>
      </c>
      <c r="H1116" s="175"/>
      <c r="I1116" s="175"/>
    </row>
    <row r="1117" spans="1:9">
      <c r="A1117" s="42"/>
      <c r="B1117" s="42"/>
      <c r="C1117" s="42"/>
      <c r="D1117" s="42"/>
      <c r="E1117" s="51"/>
      <c r="F1117" s="51"/>
      <c r="G1117" s="42"/>
      <c r="H1117" s="42"/>
      <c r="I1117" s="42"/>
    </row>
    <row r="1118" spans="1:9">
      <c r="A1118" s="175" t="s">
        <v>454</v>
      </c>
      <c r="B1118" s="178"/>
      <c r="C1118" s="178"/>
      <c r="D1118" s="178"/>
      <c r="E1118" s="182" t="e">
        <f>IF(E1116&gt;0,E1110/E1116,0)</f>
        <v>#REF!</v>
      </c>
      <c r="F1118" s="182" t="e">
        <f>IF(F1116&gt;0,F1110/F1116,0)</f>
        <v>#REF!</v>
      </c>
      <c r="G1118" s="181" t="e">
        <f>IF(AND(E1118=0,F1118=0),"",IF(AND(E1118=0,F1118&gt;0),F1118,(F1118-E1118)/E1118))</f>
        <v>#REF!</v>
      </c>
      <c r="H1118" s="178"/>
      <c r="I1118" s="178"/>
    </row>
    <row r="1119" spans="1:9">
      <c r="A1119" s="42"/>
      <c r="B1119" s="42"/>
      <c r="C1119" s="42"/>
      <c r="D1119" s="42"/>
      <c r="E1119" s="51"/>
      <c r="F1119" s="51"/>
      <c r="G1119" s="42"/>
      <c r="H1119" s="42"/>
      <c r="I1119" s="42"/>
    </row>
    <row r="1120" spans="1:9">
      <c r="A1120" s="175" t="s">
        <v>455</v>
      </c>
      <c r="B1120" s="178"/>
      <c r="C1120" s="178"/>
      <c r="D1120" s="178"/>
      <c r="E1120" s="182" t="e">
        <f>IF(E1116&gt;0,(E1107+E1108)/E1116,0)</f>
        <v>#REF!</v>
      </c>
      <c r="F1120" s="182" t="e">
        <f>IF(F1116&gt;0,(F1107+F1108)/F1116,0)</f>
        <v>#REF!</v>
      </c>
      <c r="G1120" s="181" t="e">
        <f>IF(AND(E1120=0,F1120=0),"",IF(AND(E1120=0,F1120&gt;0),F1120,(F1120-E1120)/E1120))</f>
        <v>#REF!</v>
      </c>
      <c r="H1120" s="178"/>
      <c r="I1120" s="178"/>
    </row>
    <row r="1121" spans="1:11">
      <c r="A1121" s="168"/>
    </row>
    <row r="1122" spans="1:11" ht="15.75" customHeight="1">
      <c r="A1122" s="305" t="s">
        <v>493</v>
      </c>
      <c r="B1122" s="305"/>
      <c r="C1122" s="305"/>
      <c r="D1122" s="305"/>
      <c r="E1122" s="305"/>
      <c r="F1122" s="305"/>
      <c r="G1122" s="305"/>
      <c r="H1122" s="305"/>
      <c r="I1122" s="305"/>
      <c r="J1122" s="305"/>
      <c r="K1122" s="305"/>
    </row>
    <row r="1123" spans="1:11">
      <c r="C1123" s="77"/>
      <c r="D1123" s="77"/>
    </row>
    <row r="1124" spans="1:11">
      <c r="A1124" s="65" t="s">
        <v>494</v>
      </c>
      <c r="C1124" s="77" t="e">
        <f>#REF!</f>
        <v>#REF!</v>
      </c>
      <c r="D1124" s="77" t="e">
        <f>#REF!</f>
        <v>#REF!</v>
      </c>
    </row>
    <row r="1125" spans="1:11">
      <c r="A1125" s="65" t="s">
        <v>495</v>
      </c>
      <c r="C1125" s="185" t="e">
        <f>#REF!</f>
        <v>#REF!</v>
      </c>
      <c r="D1125" s="185" t="e">
        <f>#REF!</f>
        <v>#REF!</v>
      </c>
    </row>
    <row r="1126" spans="1:11">
      <c r="A1126" s="65" t="s">
        <v>496</v>
      </c>
      <c r="C1126" s="186" t="e">
        <f>IF(C1124&lt;&gt;"Select Year",VLOOKUP(C1124,C37:D42,2,FALSE()),0)</f>
        <v>#REF!</v>
      </c>
      <c r="D1126" s="186" t="e">
        <f>IF(D1124&lt;&gt;"Select Year",VLOOKUP(D1124,C37:D42,2,FALSE()),0)</f>
        <v>#REF!</v>
      </c>
    </row>
    <row r="1127" spans="1:11">
      <c r="A1127" s="65" t="s">
        <v>497</v>
      </c>
      <c r="C1127" s="169" t="e">
        <f>C1125*C1126</f>
        <v>#REF!</v>
      </c>
      <c r="D1127" s="169" t="e">
        <f>D1125*D1126</f>
        <v>#REF!</v>
      </c>
    </row>
    <row r="1129" spans="1:11">
      <c r="A1129" s="65" t="s">
        <v>494</v>
      </c>
      <c r="C1129" s="77" t="e">
        <f>#REF!</f>
        <v>#REF!</v>
      </c>
      <c r="D1129" s="77" t="e">
        <f>#REF!</f>
        <v>#REF!</v>
      </c>
    </row>
    <row r="1130" spans="1:11">
      <c r="A1130" s="65" t="s">
        <v>498</v>
      </c>
      <c r="C1130" s="65" t="b">
        <f>FALSE()</f>
        <v>0</v>
      </c>
      <c r="D1130" s="65" t="b">
        <f>TRUE()</f>
        <v>1</v>
      </c>
    </row>
    <row r="1131" spans="1:11">
      <c r="A1131" s="65" t="s">
        <v>499</v>
      </c>
      <c r="C1131" s="187">
        <f>IF(C1130=TRUE(),#REF!,0)</f>
        <v>0</v>
      </c>
      <c r="D1131" s="187" t="e">
        <f>IF(D1130=TRUE(),#REF!,0)</f>
        <v>#REF!</v>
      </c>
    </row>
    <row r="1132" spans="1:11">
      <c r="A1132" s="65" t="s">
        <v>435</v>
      </c>
      <c r="C1132" s="306" t="e">
        <f>IF(AND(C1131=0,D1131=0),"",SUM(C1131:D1131))</f>
        <v>#REF!</v>
      </c>
      <c r="D1132" s="306"/>
    </row>
    <row r="1133" spans="1:11">
      <c r="A1133" s="65" t="s">
        <v>500</v>
      </c>
      <c r="C1133" s="77">
        <f>IF(C1130=TRUE(),12,0)</f>
        <v>0</v>
      </c>
      <c r="D1133" s="77">
        <f>IF(D1130=TRUE(),12,0)</f>
        <v>12</v>
      </c>
    </row>
    <row r="1134" spans="1:11">
      <c r="A1134" s="65" t="s">
        <v>501</v>
      </c>
      <c r="C1134" s="307">
        <f>IF(AND(C1133=0,D1133=0),"",C1133+D1133)</f>
        <v>12</v>
      </c>
      <c r="D1134" s="307"/>
    </row>
    <row r="1135" spans="1:11">
      <c r="A1135" s="65" t="s">
        <v>502</v>
      </c>
      <c r="C1135" s="188" t="e">
        <f>IF(AND(C1130=FALSE(),D1130=FALSE())," Grand Total Income",IF(AND(C1130=TRUE(),D1130=TRUE()),CONCATENATE(" Grand Total Income - Years ",C1129," and ",D1129),IF(AND(C1130=TRUE(),D1130=FALSE()),CONCATENATE(" Grand Total Income - Year ",C1129," (excluding year ",D1129,")"),IF(AND(C1130=FALSE(),D1130=TRUE()),CONCATENATE(" Grand Total Income - Year ",D1129," (excluding year ",C1129,")")))))</f>
        <v>#REF!</v>
      </c>
      <c r="D1135" s="77"/>
    </row>
    <row r="1136" spans="1:11">
      <c r="A1136" s="65" t="s">
        <v>503</v>
      </c>
      <c r="C1136" s="308" t="e">
        <f>IF(C1134="","",IF(C1134=0,0,ROUND(C1132/C1134,0)))</f>
        <v>#REF!</v>
      </c>
      <c r="D1136" s="308"/>
    </row>
    <row r="1137" spans="1:11">
      <c r="C1137" s="77"/>
      <c r="D1137" s="189"/>
    </row>
    <row r="1138" spans="1:11">
      <c r="A1138" s="65" t="s">
        <v>504</v>
      </c>
      <c r="C1138" s="184" t="e">
        <f>D1131-C1131</f>
        <v>#REF!</v>
      </c>
      <c r="D1138" s="190">
        <f>IF(C1131=0,0,ABS(IF(D1131&gt;C1131,((D1131-C1131)/C1131)*100,((C1131-D1131)/C1131)*100)))</f>
        <v>0</v>
      </c>
    </row>
    <row r="1139" spans="1:11">
      <c r="A1139" s="65" t="s">
        <v>505</v>
      </c>
      <c r="C1139" s="184" t="str">
        <f>IF(OR(C1131=0,C1131=0),"","Statistics on Total Income/Loss:")</f>
        <v/>
      </c>
      <c r="E1139" s="184"/>
      <c r="F1139" s="190"/>
    </row>
    <row r="1140" spans="1:11">
      <c r="A1140" s="65" t="s">
        <v>506</v>
      </c>
      <c r="C1140" s="184" t="e">
        <f>IF(OR(C1131=0,D1131=0),"",(CONCATENATE(DOLLAR(C1131,0)," to ",DOLLAR(D1131,0)," = ",ABS(FIXED(D1138,1)),"% ",IF(D1131&gt;C1131,"Increase","Decrease"))))</f>
        <v>#REF!</v>
      </c>
      <c r="D1140" s="184"/>
      <c r="E1140" s="184"/>
      <c r="F1140" s="190"/>
    </row>
    <row r="1141" spans="1:11">
      <c r="A1141" s="65" t="s">
        <v>507</v>
      </c>
      <c r="C1141" s="184" t="e">
        <f>CONCATENATE(C1139,"  ",C1140)</f>
        <v>#REF!</v>
      </c>
      <c r="D1141" s="184"/>
      <c r="E1141" s="184"/>
      <c r="F1141" s="190"/>
    </row>
    <row r="1143" spans="1:11" ht="15">
      <c r="A1143" s="305" t="s">
        <v>508</v>
      </c>
      <c r="B1143" s="305"/>
      <c r="C1143" s="305"/>
      <c r="D1143" s="305"/>
      <c r="E1143" s="305"/>
      <c r="F1143" s="305"/>
      <c r="G1143" s="305"/>
      <c r="H1143" s="305"/>
      <c r="I1143" s="305"/>
      <c r="J1143" s="305"/>
      <c r="K1143" s="305"/>
    </row>
    <row r="1145" spans="1:11">
      <c r="A1145" s="65" t="s">
        <v>509</v>
      </c>
      <c r="C1145" s="77" t="e">
        <f>#REF!</f>
        <v>#REF!</v>
      </c>
      <c r="D1145" s="77" t="e">
        <f>#REF!</f>
        <v>#REF!</v>
      </c>
    </row>
    <row r="1146" spans="1:11">
      <c r="A1146" s="65" t="s">
        <v>495</v>
      </c>
      <c r="C1146" s="185" t="e">
        <f>#REF!</f>
        <v>#REF!</v>
      </c>
      <c r="D1146" s="185" t="e">
        <f>#REF!</f>
        <v>#REF!</v>
      </c>
    </row>
    <row r="1147" spans="1:11">
      <c r="A1147" s="65" t="s">
        <v>496</v>
      </c>
      <c r="C1147" s="186" t="e">
        <f>IF(C1145&lt;&gt;"Select Year",VLOOKUP(C1145,C37:D42,2,FALSE()),0)</f>
        <v>#REF!</v>
      </c>
      <c r="D1147" s="186" t="e">
        <f>IF(D1145&lt;&gt;"Select Year",VLOOKUP(D1145,C37:D42,2,FALSE()),0)</f>
        <v>#REF!</v>
      </c>
    </row>
    <row r="1148" spans="1:11">
      <c r="A1148" s="65" t="s">
        <v>497</v>
      </c>
      <c r="C1148" s="169" t="e">
        <f>C1146*C1147</f>
        <v>#REF!</v>
      </c>
      <c r="D1148" s="169" t="e">
        <f>D1146*D1147</f>
        <v>#REF!</v>
      </c>
    </row>
    <row r="1150" spans="1:11">
      <c r="A1150" s="65" t="s">
        <v>509</v>
      </c>
      <c r="C1150" s="77" t="e">
        <f>#REF!</f>
        <v>#REF!</v>
      </c>
      <c r="D1150" s="77" t="e">
        <f>#REF!</f>
        <v>#REF!</v>
      </c>
    </row>
    <row r="1151" spans="1:11">
      <c r="A1151" s="65" t="s">
        <v>498</v>
      </c>
      <c r="C1151" s="65" t="b">
        <f>FALSE()</f>
        <v>0</v>
      </c>
      <c r="D1151" s="65" t="b">
        <f>FALSE()</f>
        <v>0</v>
      </c>
    </row>
    <row r="1152" spans="1:11">
      <c r="A1152" s="65" t="s">
        <v>499</v>
      </c>
      <c r="C1152" s="191">
        <f>IF(C1151=TRUE(),#REF!,0)</f>
        <v>0</v>
      </c>
      <c r="D1152" s="191">
        <f>IF(D1151=TRUE(),#REF!,0)</f>
        <v>0</v>
      </c>
    </row>
    <row r="1153" spans="1:11">
      <c r="A1153" s="65" t="s">
        <v>435</v>
      </c>
      <c r="C1153" s="309" t="str">
        <f>IF(AND(C1152=0,D1152=0),"",SUM(C1152:D1152))</f>
        <v/>
      </c>
      <c r="D1153" s="309"/>
    </row>
    <row r="1154" spans="1:11">
      <c r="A1154" s="65" t="s">
        <v>500</v>
      </c>
      <c r="C1154" s="63">
        <f>IF(C1151=TRUE(),12,0)</f>
        <v>0</v>
      </c>
      <c r="D1154" s="63">
        <f>IF(D1151=TRUE(),12,0)</f>
        <v>0</v>
      </c>
    </row>
    <row r="1155" spans="1:11">
      <c r="A1155" s="65" t="s">
        <v>501</v>
      </c>
      <c r="C1155" s="307" t="str">
        <f>IF(AND(C1154=0,D1154=0),"",C1154+D1154)</f>
        <v/>
      </c>
      <c r="D1155" s="307"/>
    </row>
    <row r="1156" spans="1:11">
      <c r="A1156" s="65" t="s">
        <v>502</v>
      </c>
      <c r="C1156" s="188" t="str">
        <f>IF(AND(C1151=FALSE(),D1151=FALSE())," Grand Total Income",IF(AND(C1151=TRUE(),D1151=TRUE()),CONCATENATE(" Grand Total Income - Years ",C1150," and ",D1150),IF(AND(C1151=TRUE(),D1151=FALSE()),CONCATENATE(" Grand Total Income - Year ",C1150," (excluding year ",D1150,")"),IF(AND(C1151=FALSE(),D1151=TRUE()),CONCATENATE(" Grand Total Income - Year ",D1150," (excluding year ",C1150,")")))))</f>
        <v xml:space="preserve"> Grand Total Income</v>
      </c>
      <c r="D1156" s="77"/>
    </row>
    <row r="1157" spans="1:11">
      <c r="A1157" s="65" t="s">
        <v>503</v>
      </c>
      <c r="C1157" s="307" t="str">
        <f>IF(C1155="","",IF(C1155=0,0,ROUND(C1153/C1155,0)))</f>
        <v/>
      </c>
      <c r="D1157" s="307"/>
    </row>
    <row r="1159" spans="1:11">
      <c r="A1159" s="65" t="s">
        <v>504</v>
      </c>
      <c r="C1159" s="192">
        <f>D1152-C1152</f>
        <v>0</v>
      </c>
      <c r="D1159" s="193">
        <f>IF(C1152=0,0,ABS(IF(D1152&gt;C1152,((D1152-C1152)/C1152)*100,((C1152-D1152)/C1152)*100)))</f>
        <v>0</v>
      </c>
    </row>
    <row r="1160" spans="1:11">
      <c r="A1160" s="65" t="s">
        <v>505</v>
      </c>
      <c r="C1160" s="184" t="str">
        <f>IF(OR(C1152=0,C1152=0),"","Statistics on Total Income/Loss:")</f>
        <v/>
      </c>
    </row>
    <row r="1161" spans="1:11">
      <c r="A1161" s="65" t="s">
        <v>506</v>
      </c>
      <c r="C1161" s="184" t="str">
        <f>IF(OR(C1152=0,D1152=0),"",(CONCATENATE(DOLLAR(C1152,0)," to ",DOLLAR(D1152,0)," = ",ABS(FIXED(D1159,1)),"% ",IF(D1152&gt;C1152,"Increase","Decrease"))))</f>
        <v/>
      </c>
      <c r="D1161" s="184"/>
    </row>
    <row r="1162" spans="1:11">
      <c r="A1162" s="65" t="s">
        <v>507</v>
      </c>
      <c r="C1162" s="184" t="str">
        <f>CONCATENATE(C1160,"  ",C1161)</f>
        <v xml:space="preserve">  </v>
      </c>
      <c r="D1162" s="184"/>
    </row>
    <row r="1165" spans="1:11" ht="15">
      <c r="A1165" s="305" t="s">
        <v>510</v>
      </c>
      <c r="B1165" s="305"/>
      <c r="C1165" s="305"/>
      <c r="D1165" s="305"/>
      <c r="E1165" s="305"/>
      <c r="F1165" s="305"/>
      <c r="G1165" s="305"/>
      <c r="H1165" s="305"/>
      <c r="I1165" s="305"/>
      <c r="J1165" s="305"/>
      <c r="K1165" s="305"/>
    </row>
    <row r="1166" spans="1:11">
      <c r="C1166" s="77"/>
      <c r="D1166" s="77"/>
    </row>
    <row r="1167" spans="1:11">
      <c r="A1167" s="304" t="s">
        <v>511</v>
      </c>
      <c r="B1167" s="304"/>
      <c r="C1167" s="194"/>
      <c r="D1167" s="194"/>
    </row>
    <row r="1168" spans="1:11">
      <c r="A1168" s="65" t="s">
        <v>512</v>
      </c>
      <c r="D1168" s="195" t="e">
        <f>#REF!</f>
        <v>#REF!</v>
      </c>
      <c r="E1168" s="165"/>
      <c r="F1168" s="165" t="s">
        <v>513</v>
      </c>
    </row>
    <row r="1169" spans="1:6">
      <c r="A1169" s="65" t="s">
        <v>514</v>
      </c>
      <c r="D1169" s="196" t="e">
        <f>#REF!</f>
        <v>#REF!</v>
      </c>
      <c r="E1169" s="165"/>
      <c r="F1169" s="165" t="s">
        <v>515</v>
      </c>
    </row>
    <row r="1170" spans="1:6">
      <c r="A1170" s="65" t="s">
        <v>516</v>
      </c>
      <c r="D1170" s="195" t="e">
        <f>IF(D1169&gt;0%,ROUND(D1168*D1169,0),0)</f>
        <v>#REF!</v>
      </c>
      <c r="E1170" s="165"/>
      <c r="F1170" s="165" t="s">
        <v>517</v>
      </c>
    </row>
    <row r="1171" spans="1:6">
      <c r="A1171" s="65" t="s">
        <v>518</v>
      </c>
      <c r="C1171" s="77"/>
      <c r="D1171" s="195" t="e">
        <f>#REF!</f>
        <v>#REF!</v>
      </c>
      <c r="F1171" s="165" t="s">
        <v>519</v>
      </c>
    </row>
    <row r="1172" spans="1:6">
      <c r="A1172" s="65" t="s">
        <v>520</v>
      </c>
      <c r="C1172" s="77"/>
      <c r="D1172" s="195" t="e">
        <f>ROUND(D1170-D1171,0)</f>
        <v>#REF!</v>
      </c>
      <c r="F1172" s="165" t="s">
        <v>521</v>
      </c>
    </row>
    <row r="1173" spans="1:6">
      <c r="C1173" s="77"/>
      <c r="D1173" s="77"/>
    </row>
    <row r="1174" spans="1:6">
      <c r="A1174" s="304" t="s">
        <v>522</v>
      </c>
      <c r="B1174" s="304"/>
      <c r="C1174" s="194" t="e">
        <f>#REF!</f>
        <v>#REF!</v>
      </c>
      <c r="D1174" s="194" t="e">
        <f>#REF!</f>
        <v>#REF!</v>
      </c>
    </row>
    <row r="1175" spans="1:6">
      <c r="A1175" s="65" t="s">
        <v>523</v>
      </c>
      <c r="C1175" s="195" t="e">
        <f>#REF!</f>
        <v>#REF!</v>
      </c>
      <c r="D1175" s="195" t="e">
        <f>#REF!</f>
        <v>#REF!</v>
      </c>
      <c r="F1175" s="165" t="s">
        <v>524</v>
      </c>
    </row>
    <row r="1176" spans="1:6">
      <c r="A1176" s="65" t="s">
        <v>525</v>
      </c>
      <c r="C1176" s="195" t="e">
        <f>#REF!</f>
        <v>#REF!</v>
      </c>
      <c r="D1176" s="195" t="e">
        <f>#REF!</f>
        <v>#REF!</v>
      </c>
      <c r="F1176" s="165" t="s">
        <v>526</v>
      </c>
    </row>
    <row r="1177" spans="1:6">
      <c r="A1177" s="65" t="s">
        <v>499</v>
      </c>
      <c r="C1177" s="195" t="e">
        <f>C1175+C1176</f>
        <v>#REF!</v>
      </c>
      <c r="D1177" s="195" t="e">
        <f>D1175+D1176</f>
        <v>#REF!</v>
      </c>
      <c r="F1177" s="165" t="s">
        <v>527</v>
      </c>
    </row>
    <row r="1178" spans="1:6">
      <c r="A1178" s="65" t="s">
        <v>528</v>
      </c>
      <c r="C1178" s="195" t="e">
        <f>#REF!</f>
        <v>#REF!</v>
      </c>
      <c r="D1178" s="195" t="e">
        <f>#REF!</f>
        <v>#REF!</v>
      </c>
      <c r="F1178" s="165" t="s">
        <v>529</v>
      </c>
    </row>
    <row r="1179" spans="1:6">
      <c r="A1179" s="65" t="s">
        <v>530</v>
      </c>
      <c r="C1179" s="195" t="e">
        <f>#REF!</f>
        <v>#REF!</v>
      </c>
      <c r="D1179" s="195" t="e">
        <f>#REF!</f>
        <v>#REF!</v>
      </c>
      <c r="F1179" s="165" t="s">
        <v>531</v>
      </c>
    </row>
    <row r="1180" spans="1:6">
      <c r="A1180" s="65" t="s">
        <v>532</v>
      </c>
      <c r="C1180" s="195" t="e">
        <f>#REF!</f>
        <v>#REF!</v>
      </c>
      <c r="D1180" s="195" t="e">
        <f>#REF!</f>
        <v>#REF!</v>
      </c>
      <c r="F1180" s="165" t="s">
        <v>533</v>
      </c>
    </row>
    <row r="1181" spans="1:6">
      <c r="A1181" s="65" t="s">
        <v>534</v>
      </c>
      <c r="C1181" s="195" t="e">
        <f>#REF!</f>
        <v>#REF!</v>
      </c>
      <c r="D1181" s="195" t="e">
        <f>#REF!</f>
        <v>#REF!</v>
      </c>
      <c r="F1181" s="165" t="s">
        <v>535</v>
      </c>
    </row>
    <row r="1182" spans="1:6">
      <c r="A1182" s="65" t="s">
        <v>536</v>
      </c>
      <c r="C1182" s="195" t="e">
        <f>#REF!</f>
        <v>#REF!</v>
      </c>
      <c r="D1182" s="195" t="e">
        <f>#REF!</f>
        <v>#REF!</v>
      </c>
      <c r="F1182" s="165" t="s">
        <v>537</v>
      </c>
    </row>
    <row r="1183" spans="1:6">
      <c r="A1183" s="65" t="s">
        <v>388</v>
      </c>
      <c r="C1183" s="195" t="e">
        <f>#REF!</f>
        <v>#REF!</v>
      </c>
      <c r="D1183" s="195" t="e">
        <f>#REF!</f>
        <v>#REF!</v>
      </c>
      <c r="F1183" s="165" t="s">
        <v>538</v>
      </c>
    </row>
    <row r="1184" spans="1:6">
      <c r="A1184" s="65" t="s">
        <v>539</v>
      </c>
      <c r="C1184" s="195" t="e">
        <f>SUM(C1177:C1183)</f>
        <v>#REF!</v>
      </c>
      <c r="D1184" s="195" t="e">
        <f>SUM(D1177:D1183)</f>
        <v>#REF!</v>
      </c>
      <c r="F1184" s="165" t="s">
        <v>540</v>
      </c>
    </row>
    <row r="1185" spans="1:11">
      <c r="A1185" s="65" t="s">
        <v>541</v>
      </c>
      <c r="C1185" s="77"/>
      <c r="D1185" s="197" t="e">
        <f>#REF!</f>
        <v>#REF!</v>
      </c>
      <c r="F1185" s="165" t="s">
        <v>542</v>
      </c>
    </row>
    <row r="1186" spans="1:11">
      <c r="A1186" s="65" t="s">
        <v>543</v>
      </c>
      <c r="D1186" s="198" t="e">
        <f>IF(D1185&gt;12,C1184+D1184,D1184)</f>
        <v>#REF!</v>
      </c>
      <c r="F1186" s="165" t="s">
        <v>544</v>
      </c>
    </row>
    <row r="1187" spans="1:11">
      <c r="A1187" s="65" t="s">
        <v>545</v>
      </c>
      <c r="C1187" s="77"/>
      <c r="D1187" s="195" t="e">
        <f>IF(D1185=0,0,ROUND(D1186/D1185,0))</f>
        <v>#REF!</v>
      </c>
      <c r="F1187" s="165" t="s">
        <v>546</v>
      </c>
    </row>
    <row r="1188" spans="1:11">
      <c r="A1188" s="65" t="s">
        <v>518</v>
      </c>
      <c r="C1188" s="77"/>
      <c r="D1188" s="195" t="e">
        <f>#REF!</f>
        <v>#REF!</v>
      </c>
      <c r="F1188" s="165" t="s">
        <v>519</v>
      </c>
    </row>
    <row r="1189" spans="1:11">
      <c r="A1189" s="65" t="s">
        <v>520</v>
      </c>
      <c r="C1189" s="77"/>
      <c r="D1189" s="195" t="e">
        <f>ROUND(D1187-D1188,0)</f>
        <v>#REF!</v>
      </c>
      <c r="F1189" s="165" t="s">
        <v>521</v>
      </c>
    </row>
    <row r="1190" spans="1:11">
      <c r="C1190" s="77"/>
      <c r="D1190" s="77"/>
    </row>
    <row r="1191" spans="1:11" ht="15">
      <c r="A1191" s="305" t="s">
        <v>547</v>
      </c>
      <c r="B1191" s="305"/>
      <c r="C1191" s="305"/>
      <c r="D1191" s="305"/>
      <c r="E1191" s="305"/>
      <c r="F1191" s="305"/>
      <c r="G1191" s="305"/>
      <c r="H1191" s="305"/>
      <c r="I1191" s="305"/>
      <c r="J1191" s="305"/>
      <c r="K1191" s="305"/>
    </row>
    <row r="1192" spans="1:11">
      <c r="C1192" s="77"/>
      <c r="D1192" s="77"/>
    </row>
    <row r="1193" spans="1:11">
      <c r="A1193" s="304" t="s">
        <v>511</v>
      </c>
      <c r="B1193" s="304"/>
      <c r="C1193" s="194"/>
      <c r="D1193" s="194"/>
    </row>
    <row r="1194" spans="1:11">
      <c r="A1194" s="65" t="s">
        <v>512</v>
      </c>
      <c r="D1194" s="195" t="e">
        <f>#REF!</f>
        <v>#REF!</v>
      </c>
      <c r="E1194" s="165"/>
      <c r="F1194" s="165" t="s">
        <v>513</v>
      </c>
    </row>
    <row r="1195" spans="1:11">
      <c r="A1195" s="65" t="s">
        <v>514</v>
      </c>
      <c r="D1195" s="196" t="e">
        <f>#REF!</f>
        <v>#REF!</v>
      </c>
      <c r="E1195" s="165"/>
      <c r="F1195" s="165" t="s">
        <v>515</v>
      </c>
    </row>
    <row r="1196" spans="1:11">
      <c r="A1196" s="65" t="s">
        <v>516</v>
      </c>
      <c r="D1196" s="195" t="e">
        <f>IF(D1195&gt;0%,ROUND(D1194*D1195,0),0)</f>
        <v>#REF!</v>
      </c>
      <c r="E1196" s="165"/>
      <c r="F1196" s="165" t="s">
        <v>517</v>
      </c>
    </row>
    <row r="1197" spans="1:11">
      <c r="A1197" s="65" t="s">
        <v>518</v>
      </c>
      <c r="C1197" s="77"/>
      <c r="D1197" s="195" t="e">
        <f>#REF!</f>
        <v>#REF!</v>
      </c>
      <c r="F1197" s="165" t="s">
        <v>519</v>
      </c>
    </row>
    <row r="1198" spans="1:11">
      <c r="A1198" s="65" t="s">
        <v>520</v>
      </c>
      <c r="C1198" s="77"/>
      <c r="D1198" s="195" t="e">
        <f>ROUND(D1196-D1197,0)</f>
        <v>#REF!</v>
      </c>
      <c r="F1198" s="165" t="s">
        <v>521</v>
      </c>
    </row>
    <row r="1199" spans="1:11">
      <c r="C1199" s="77"/>
      <c r="D1199" s="77"/>
    </row>
    <row r="1200" spans="1:11">
      <c r="A1200" s="304" t="s">
        <v>522</v>
      </c>
      <c r="B1200" s="304"/>
      <c r="C1200" s="194" t="e">
        <f>#REF!</f>
        <v>#REF!</v>
      </c>
      <c r="D1200" s="194" t="e">
        <f>#REF!</f>
        <v>#REF!</v>
      </c>
    </row>
    <row r="1201" spans="1:6">
      <c r="A1201" s="65" t="s">
        <v>523</v>
      </c>
      <c r="C1201" s="195" t="e">
        <f>#REF!</f>
        <v>#REF!</v>
      </c>
      <c r="D1201" s="195" t="e">
        <f>#REF!</f>
        <v>#REF!</v>
      </c>
      <c r="F1201" s="165" t="s">
        <v>524</v>
      </c>
    </row>
    <row r="1202" spans="1:6">
      <c r="A1202" s="65" t="s">
        <v>525</v>
      </c>
      <c r="C1202" s="195" t="e">
        <f>#REF!</f>
        <v>#REF!</v>
      </c>
      <c r="D1202" s="195" t="e">
        <f>#REF!</f>
        <v>#REF!</v>
      </c>
      <c r="F1202" s="165" t="s">
        <v>526</v>
      </c>
    </row>
    <row r="1203" spans="1:6">
      <c r="A1203" s="65" t="s">
        <v>499</v>
      </c>
      <c r="C1203" s="195" t="e">
        <f>C1201+C1202</f>
        <v>#REF!</v>
      </c>
      <c r="D1203" s="195" t="e">
        <f>D1201+D1202</f>
        <v>#REF!</v>
      </c>
      <c r="F1203" s="165" t="s">
        <v>527</v>
      </c>
    </row>
    <row r="1204" spans="1:6">
      <c r="A1204" s="65" t="s">
        <v>528</v>
      </c>
      <c r="C1204" s="195" t="e">
        <f>#REF!</f>
        <v>#REF!</v>
      </c>
      <c r="D1204" s="195" t="e">
        <f>#REF!</f>
        <v>#REF!</v>
      </c>
      <c r="F1204" s="165" t="s">
        <v>529</v>
      </c>
    </row>
    <row r="1205" spans="1:6">
      <c r="A1205" s="65" t="s">
        <v>530</v>
      </c>
      <c r="C1205" s="195" t="e">
        <f>#REF!</f>
        <v>#REF!</v>
      </c>
      <c r="D1205" s="195" t="e">
        <f>#REF!</f>
        <v>#REF!</v>
      </c>
      <c r="F1205" s="165" t="s">
        <v>531</v>
      </c>
    </row>
    <row r="1206" spans="1:6">
      <c r="A1206" s="65" t="s">
        <v>532</v>
      </c>
      <c r="C1206" s="195" t="e">
        <f>#REF!</f>
        <v>#REF!</v>
      </c>
      <c r="D1206" s="195" t="e">
        <f>#REF!</f>
        <v>#REF!</v>
      </c>
      <c r="F1206" s="165" t="s">
        <v>533</v>
      </c>
    </row>
    <row r="1207" spans="1:6">
      <c r="A1207" s="65" t="s">
        <v>534</v>
      </c>
      <c r="C1207" s="195" t="e">
        <f>#REF!</f>
        <v>#REF!</v>
      </c>
      <c r="D1207" s="195" t="e">
        <f>#REF!</f>
        <v>#REF!</v>
      </c>
      <c r="F1207" s="165" t="s">
        <v>535</v>
      </c>
    </row>
    <row r="1208" spans="1:6">
      <c r="A1208" s="65" t="s">
        <v>536</v>
      </c>
      <c r="C1208" s="195" t="e">
        <f>#REF!</f>
        <v>#REF!</v>
      </c>
      <c r="D1208" s="195" t="e">
        <f>#REF!</f>
        <v>#REF!</v>
      </c>
      <c r="F1208" s="165" t="s">
        <v>537</v>
      </c>
    </row>
    <row r="1209" spans="1:6">
      <c r="A1209" s="65" t="s">
        <v>388</v>
      </c>
      <c r="C1209" s="195" t="e">
        <f>#REF!</f>
        <v>#REF!</v>
      </c>
      <c r="D1209" s="195" t="e">
        <f>#REF!</f>
        <v>#REF!</v>
      </c>
      <c r="F1209" s="165" t="s">
        <v>538</v>
      </c>
    </row>
    <row r="1210" spans="1:6">
      <c r="A1210" s="65" t="s">
        <v>539</v>
      </c>
      <c r="C1210" s="195" t="e">
        <f>SUM(C1203:C1209)</f>
        <v>#REF!</v>
      </c>
      <c r="D1210" s="195" t="e">
        <f>SUM(D1203:D1209)</f>
        <v>#REF!</v>
      </c>
      <c r="F1210" s="165" t="s">
        <v>540</v>
      </c>
    </row>
    <row r="1211" spans="1:6">
      <c r="A1211" s="65" t="s">
        <v>541</v>
      </c>
      <c r="C1211" s="77"/>
      <c r="D1211" s="197" t="e">
        <f>#REF!</f>
        <v>#REF!</v>
      </c>
      <c r="F1211" s="165" t="s">
        <v>542</v>
      </c>
    </row>
    <row r="1212" spans="1:6">
      <c r="A1212" s="65" t="s">
        <v>543</v>
      </c>
      <c r="D1212" s="198" t="e">
        <f>IF(D1211&gt;12,C1210+D1210,D1210)</f>
        <v>#REF!</v>
      </c>
      <c r="F1212" s="165" t="s">
        <v>544</v>
      </c>
    </row>
    <row r="1213" spans="1:6">
      <c r="A1213" s="65" t="s">
        <v>545</v>
      </c>
      <c r="C1213" s="77"/>
      <c r="D1213" s="195" t="e">
        <f>IF(D1211=0,0,ROUND(D1212/D1211,0))</f>
        <v>#REF!</v>
      </c>
      <c r="F1213" s="165" t="s">
        <v>546</v>
      </c>
    </row>
    <row r="1214" spans="1:6">
      <c r="A1214" s="65" t="s">
        <v>518</v>
      </c>
      <c r="C1214" s="77"/>
      <c r="D1214" s="195" t="e">
        <f>#REF!</f>
        <v>#REF!</v>
      </c>
      <c r="F1214" s="165" t="s">
        <v>519</v>
      </c>
    </row>
    <row r="1215" spans="1:6">
      <c r="A1215" s="65" t="s">
        <v>520</v>
      </c>
      <c r="C1215" s="77"/>
      <c r="D1215" s="195" t="e">
        <f>ROUND(D1213-D1214,0)</f>
        <v>#REF!</v>
      </c>
      <c r="F1215" s="165" t="s">
        <v>521</v>
      </c>
    </row>
    <row r="1216" spans="1:6">
      <c r="C1216" s="77"/>
      <c r="D1216" s="77"/>
    </row>
    <row r="1217" spans="1:11" ht="15">
      <c r="A1217" s="305" t="s">
        <v>548</v>
      </c>
      <c r="B1217" s="305"/>
      <c r="C1217" s="305"/>
      <c r="D1217" s="305"/>
      <c r="E1217" s="305"/>
      <c r="F1217" s="305"/>
      <c r="G1217" s="305"/>
      <c r="H1217" s="305"/>
      <c r="I1217" s="305"/>
      <c r="J1217" s="305"/>
      <c r="K1217" s="305"/>
    </row>
    <row r="1218" spans="1:11">
      <c r="C1218" s="77"/>
      <c r="D1218" s="77"/>
    </row>
    <row r="1219" spans="1:11">
      <c r="A1219" s="304" t="s">
        <v>511</v>
      </c>
      <c r="B1219" s="304"/>
      <c r="C1219" s="194"/>
      <c r="D1219" s="194"/>
    </row>
    <row r="1220" spans="1:11">
      <c r="A1220" s="65" t="s">
        <v>512</v>
      </c>
      <c r="D1220" s="195" t="e">
        <f>#REF!</f>
        <v>#REF!</v>
      </c>
      <c r="E1220" s="165"/>
      <c r="F1220" s="165" t="s">
        <v>513</v>
      </c>
    </row>
    <row r="1221" spans="1:11">
      <c r="A1221" s="65" t="s">
        <v>514</v>
      </c>
      <c r="D1221" s="196" t="e">
        <f>#REF!</f>
        <v>#REF!</v>
      </c>
      <c r="E1221" s="165"/>
      <c r="F1221" s="165" t="s">
        <v>515</v>
      </c>
    </row>
    <row r="1222" spans="1:11">
      <c r="A1222" s="65" t="s">
        <v>516</v>
      </c>
      <c r="D1222" s="195" t="e">
        <f>IF(D1221&gt;0%,ROUND(D1220*D1221,0),0)</f>
        <v>#REF!</v>
      </c>
      <c r="E1222" s="165"/>
      <c r="F1222" s="165" t="s">
        <v>517</v>
      </c>
    </row>
    <row r="1223" spans="1:11">
      <c r="A1223" s="65" t="s">
        <v>518</v>
      </c>
      <c r="C1223" s="77"/>
      <c r="D1223" s="195" t="e">
        <f>#REF!</f>
        <v>#REF!</v>
      </c>
      <c r="F1223" s="165" t="s">
        <v>519</v>
      </c>
    </row>
    <row r="1224" spans="1:11">
      <c r="A1224" s="65" t="s">
        <v>520</v>
      </c>
      <c r="C1224" s="77"/>
      <c r="D1224" s="195" t="e">
        <f>ROUND(D1222-D1223,0)</f>
        <v>#REF!</v>
      </c>
      <c r="F1224" s="165" t="s">
        <v>521</v>
      </c>
    </row>
    <row r="1225" spans="1:11">
      <c r="C1225" s="77"/>
      <c r="D1225" s="77"/>
    </row>
    <row r="1226" spans="1:11">
      <c r="A1226" s="304" t="s">
        <v>522</v>
      </c>
      <c r="B1226" s="304"/>
      <c r="C1226" s="194" t="e">
        <f>#REF!</f>
        <v>#REF!</v>
      </c>
      <c r="D1226" s="194" t="e">
        <f>#REF!</f>
        <v>#REF!</v>
      </c>
    </row>
    <row r="1227" spans="1:11">
      <c r="A1227" s="65" t="s">
        <v>523</v>
      </c>
      <c r="C1227" s="195" t="e">
        <f>#REF!</f>
        <v>#REF!</v>
      </c>
      <c r="D1227" s="195" t="e">
        <f>#REF!</f>
        <v>#REF!</v>
      </c>
      <c r="F1227" s="165" t="s">
        <v>524</v>
      </c>
    </row>
    <row r="1228" spans="1:11">
      <c r="A1228" s="65" t="s">
        <v>525</v>
      </c>
      <c r="C1228" s="195" t="e">
        <f>#REF!</f>
        <v>#REF!</v>
      </c>
      <c r="D1228" s="195" t="e">
        <f>#REF!</f>
        <v>#REF!</v>
      </c>
      <c r="F1228" s="165" t="s">
        <v>526</v>
      </c>
    </row>
    <row r="1229" spans="1:11">
      <c r="A1229" s="65" t="s">
        <v>499</v>
      </c>
      <c r="C1229" s="195" t="e">
        <f>C1227+C1228</f>
        <v>#REF!</v>
      </c>
      <c r="D1229" s="195" t="e">
        <f>D1227+D1228</f>
        <v>#REF!</v>
      </c>
      <c r="F1229" s="165" t="s">
        <v>527</v>
      </c>
    </row>
    <row r="1230" spans="1:11">
      <c r="A1230" s="65" t="s">
        <v>528</v>
      </c>
      <c r="C1230" s="195" t="e">
        <f>#REF!</f>
        <v>#REF!</v>
      </c>
      <c r="D1230" s="195" t="e">
        <f>#REF!</f>
        <v>#REF!</v>
      </c>
      <c r="F1230" s="165" t="s">
        <v>529</v>
      </c>
    </row>
    <row r="1231" spans="1:11">
      <c r="A1231" s="65" t="s">
        <v>530</v>
      </c>
      <c r="C1231" s="195" t="e">
        <f>#REF!</f>
        <v>#REF!</v>
      </c>
      <c r="D1231" s="195" t="e">
        <f>#REF!</f>
        <v>#REF!</v>
      </c>
      <c r="F1231" s="165" t="s">
        <v>531</v>
      </c>
    </row>
    <row r="1232" spans="1:11">
      <c r="A1232" s="65" t="s">
        <v>532</v>
      </c>
      <c r="C1232" s="195" t="e">
        <f>#REF!</f>
        <v>#REF!</v>
      </c>
      <c r="D1232" s="195" t="e">
        <f>#REF!</f>
        <v>#REF!</v>
      </c>
      <c r="F1232" s="165" t="s">
        <v>533</v>
      </c>
    </row>
    <row r="1233" spans="1:11">
      <c r="A1233" s="65" t="s">
        <v>534</v>
      </c>
      <c r="C1233" s="195" t="e">
        <f>#REF!</f>
        <v>#REF!</v>
      </c>
      <c r="D1233" s="195" t="e">
        <f>#REF!</f>
        <v>#REF!</v>
      </c>
      <c r="F1233" s="165" t="s">
        <v>535</v>
      </c>
    </row>
    <row r="1234" spans="1:11">
      <c r="A1234" s="65" t="s">
        <v>536</v>
      </c>
      <c r="C1234" s="195" t="e">
        <f>#REF!</f>
        <v>#REF!</v>
      </c>
      <c r="D1234" s="195" t="e">
        <f>#REF!</f>
        <v>#REF!</v>
      </c>
      <c r="F1234" s="165" t="s">
        <v>537</v>
      </c>
    </row>
    <row r="1235" spans="1:11">
      <c r="A1235" s="65" t="s">
        <v>388</v>
      </c>
      <c r="C1235" s="195" t="e">
        <f>#REF!</f>
        <v>#REF!</v>
      </c>
      <c r="D1235" s="195" t="e">
        <f>#REF!</f>
        <v>#REF!</v>
      </c>
      <c r="F1235" s="165" t="s">
        <v>538</v>
      </c>
    </row>
    <row r="1236" spans="1:11">
      <c r="A1236" s="65" t="s">
        <v>539</v>
      </c>
      <c r="C1236" s="195" t="e">
        <f>SUM(C1229:C1235)</f>
        <v>#REF!</v>
      </c>
      <c r="D1236" s="195" t="e">
        <f>SUM(D1229:D1235)</f>
        <v>#REF!</v>
      </c>
      <c r="F1236" s="165" t="s">
        <v>540</v>
      </c>
    </row>
    <row r="1237" spans="1:11">
      <c r="A1237" s="65" t="s">
        <v>541</v>
      </c>
      <c r="C1237" s="77"/>
      <c r="D1237" s="197" t="e">
        <f>#REF!</f>
        <v>#REF!</v>
      </c>
      <c r="F1237" s="165" t="s">
        <v>542</v>
      </c>
    </row>
    <row r="1238" spans="1:11">
      <c r="A1238" s="65" t="s">
        <v>543</v>
      </c>
      <c r="D1238" s="198" t="e">
        <f>IF(D1237&gt;12,C1236+D1236,D1236)</f>
        <v>#REF!</v>
      </c>
      <c r="F1238" s="165" t="s">
        <v>544</v>
      </c>
    </row>
    <row r="1239" spans="1:11">
      <c r="A1239" s="65" t="s">
        <v>545</v>
      </c>
      <c r="C1239" s="77"/>
      <c r="D1239" s="195" t="e">
        <f>IF(D1237=0,0,ROUND(D1238/D1237,0))</f>
        <v>#REF!</v>
      </c>
      <c r="F1239" s="165" t="s">
        <v>546</v>
      </c>
    </row>
    <row r="1240" spans="1:11">
      <c r="A1240" s="65" t="s">
        <v>518</v>
      </c>
      <c r="C1240" s="77"/>
      <c r="D1240" s="195" t="e">
        <f>#REF!</f>
        <v>#REF!</v>
      </c>
      <c r="F1240" s="165" t="s">
        <v>519</v>
      </c>
    </row>
    <row r="1241" spans="1:11">
      <c r="A1241" s="65" t="s">
        <v>520</v>
      </c>
      <c r="C1241" s="77"/>
      <c r="D1241" s="195" t="e">
        <f>ROUND(D1239-D1240,0)</f>
        <v>#REF!</v>
      </c>
      <c r="F1241" s="165" t="s">
        <v>521</v>
      </c>
    </row>
    <row r="1242" spans="1:11">
      <c r="C1242" s="77"/>
      <c r="D1242" s="77"/>
    </row>
    <row r="1243" spans="1:11" ht="15">
      <c r="A1243" s="305" t="s">
        <v>549</v>
      </c>
      <c r="B1243" s="305"/>
      <c r="C1243" s="305"/>
      <c r="D1243" s="305"/>
      <c r="E1243" s="305"/>
      <c r="F1243" s="305"/>
      <c r="G1243" s="305"/>
      <c r="H1243" s="305"/>
      <c r="I1243" s="305"/>
      <c r="J1243" s="305"/>
      <c r="K1243" s="305"/>
    </row>
    <row r="1244" spans="1:11">
      <c r="C1244" s="77"/>
      <c r="D1244" s="77"/>
    </row>
    <row r="1245" spans="1:11">
      <c r="A1245" s="304" t="s">
        <v>511</v>
      </c>
      <c r="B1245" s="304"/>
      <c r="C1245" s="194"/>
      <c r="D1245" s="194"/>
    </row>
    <row r="1246" spans="1:11">
      <c r="A1246" s="65" t="s">
        <v>512</v>
      </c>
      <c r="D1246" s="195" t="e">
        <f>#REF!</f>
        <v>#REF!</v>
      </c>
      <c r="E1246" s="165"/>
      <c r="F1246" s="165" t="s">
        <v>513</v>
      </c>
    </row>
    <row r="1247" spans="1:11">
      <c r="A1247" s="65" t="s">
        <v>514</v>
      </c>
      <c r="D1247" s="196" t="e">
        <f>#REF!</f>
        <v>#REF!</v>
      </c>
      <c r="E1247" s="165"/>
      <c r="F1247" s="165" t="s">
        <v>515</v>
      </c>
    </row>
    <row r="1248" spans="1:11">
      <c r="A1248" s="65" t="s">
        <v>516</v>
      </c>
      <c r="D1248" s="195" t="e">
        <f>IF(D1247&gt;0%,ROUND(D1246*D1247,0),0)</f>
        <v>#REF!</v>
      </c>
      <c r="E1248" s="165"/>
      <c r="F1248" s="165" t="s">
        <v>517</v>
      </c>
    </row>
    <row r="1249" spans="1:6">
      <c r="A1249" s="65" t="s">
        <v>518</v>
      </c>
      <c r="C1249" s="77"/>
      <c r="D1249" s="195" t="e">
        <f>#REF!</f>
        <v>#REF!</v>
      </c>
      <c r="F1249" s="165" t="s">
        <v>519</v>
      </c>
    </row>
    <row r="1250" spans="1:6">
      <c r="A1250" s="65" t="s">
        <v>520</v>
      </c>
      <c r="C1250" s="77"/>
      <c r="D1250" s="195" t="e">
        <f>ROUND(D1248-D1249,0)</f>
        <v>#REF!</v>
      </c>
      <c r="F1250" s="165" t="s">
        <v>521</v>
      </c>
    </row>
    <row r="1251" spans="1:6">
      <c r="C1251" s="77"/>
      <c r="D1251" s="77"/>
    </row>
    <row r="1252" spans="1:6">
      <c r="A1252" s="304" t="s">
        <v>522</v>
      </c>
      <c r="B1252" s="304"/>
      <c r="C1252" s="194" t="e">
        <f>#REF!</f>
        <v>#REF!</v>
      </c>
      <c r="D1252" s="194" t="e">
        <f>#REF!</f>
        <v>#REF!</v>
      </c>
    </row>
    <row r="1253" spans="1:6">
      <c r="A1253" s="65" t="s">
        <v>523</v>
      </c>
      <c r="C1253" s="195" t="e">
        <f>#REF!</f>
        <v>#REF!</v>
      </c>
      <c r="D1253" s="195" t="e">
        <f>#REF!</f>
        <v>#REF!</v>
      </c>
      <c r="F1253" s="165" t="s">
        <v>524</v>
      </c>
    </row>
    <row r="1254" spans="1:6">
      <c r="A1254" s="65" t="s">
        <v>525</v>
      </c>
      <c r="C1254" s="195" t="e">
        <f>#REF!</f>
        <v>#REF!</v>
      </c>
      <c r="D1254" s="195" t="e">
        <f>#REF!</f>
        <v>#REF!</v>
      </c>
      <c r="F1254" s="165" t="s">
        <v>526</v>
      </c>
    </row>
    <row r="1255" spans="1:6">
      <c r="A1255" s="65" t="s">
        <v>499</v>
      </c>
      <c r="C1255" s="195" t="e">
        <f>C1253+C1254</f>
        <v>#REF!</v>
      </c>
      <c r="D1255" s="195" t="e">
        <f>D1253+D1254</f>
        <v>#REF!</v>
      </c>
      <c r="F1255" s="165" t="s">
        <v>527</v>
      </c>
    </row>
    <row r="1256" spans="1:6">
      <c r="A1256" s="65" t="s">
        <v>528</v>
      </c>
      <c r="C1256" s="195" t="e">
        <f>#REF!</f>
        <v>#REF!</v>
      </c>
      <c r="D1256" s="195" t="e">
        <f>#REF!</f>
        <v>#REF!</v>
      </c>
      <c r="F1256" s="165" t="s">
        <v>529</v>
      </c>
    </row>
    <row r="1257" spans="1:6">
      <c r="A1257" s="65" t="s">
        <v>530</v>
      </c>
      <c r="C1257" s="195" t="e">
        <f>#REF!</f>
        <v>#REF!</v>
      </c>
      <c r="D1257" s="195" t="e">
        <f>#REF!</f>
        <v>#REF!</v>
      </c>
      <c r="F1257" s="165" t="s">
        <v>531</v>
      </c>
    </row>
    <row r="1258" spans="1:6">
      <c r="A1258" s="65" t="s">
        <v>532</v>
      </c>
      <c r="C1258" s="195" t="e">
        <f>#REF!</f>
        <v>#REF!</v>
      </c>
      <c r="D1258" s="195" t="e">
        <f>#REF!</f>
        <v>#REF!</v>
      </c>
      <c r="F1258" s="165" t="s">
        <v>533</v>
      </c>
    </row>
    <row r="1259" spans="1:6">
      <c r="A1259" s="65" t="s">
        <v>534</v>
      </c>
      <c r="C1259" s="195" t="e">
        <f>#REF!</f>
        <v>#REF!</v>
      </c>
      <c r="D1259" s="195" t="e">
        <f>#REF!</f>
        <v>#REF!</v>
      </c>
      <c r="F1259" s="165" t="s">
        <v>535</v>
      </c>
    </row>
    <row r="1260" spans="1:6">
      <c r="A1260" s="65" t="s">
        <v>536</v>
      </c>
      <c r="C1260" s="195" t="e">
        <f>#REF!</f>
        <v>#REF!</v>
      </c>
      <c r="D1260" s="195" t="e">
        <f>#REF!</f>
        <v>#REF!</v>
      </c>
      <c r="F1260" s="165" t="s">
        <v>537</v>
      </c>
    </row>
    <row r="1261" spans="1:6">
      <c r="A1261" s="65" t="s">
        <v>388</v>
      </c>
      <c r="C1261" s="195" t="e">
        <f>#REF!</f>
        <v>#REF!</v>
      </c>
      <c r="D1261" s="195" t="e">
        <f>#REF!</f>
        <v>#REF!</v>
      </c>
      <c r="F1261" s="165" t="s">
        <v>538</v>
      </c>
    </row>
    <row r="1262" spans="1:6">
      <c r="A1262" s="65" t="s">
        <v>539</v>
      </c>
      <c r="C1262" s="195" t="e">
        <f>SUM(C1255:C1261)</f>
        <v>#REF!</v>
      </c>
      <c r="D1262" s="195" t="e">
        <f>SUM(D1255:D1261)</f>
        <v>#REF!</v>
      </c>
      <c r="F1262" s="165" t="s">
        <v>540</v>
      </c>
    </row>
    <row r="1263" spans="1:6">
      <c r="A1263" s="65" t="s">
        <v>541</v>
      </c>
      <c r="C1263" s="77"/>
      <c r="D1263" s="197" t="e">
        <f>#REF!</f>
        <v>#REF!</v>
      </c>
      <c r="F1263" s="165" t="s">
        <v>542</v>
      </c>
    </row>
    <row r="1264" spans="1:6">
      <c r="A1264" s="65" t="s">
        <v>543</v>
      </c>
      <c r="D1264" s="198" t="e">
        <f>IF(D1263&gt;12,C1262+D1262,D1262)</f>
        <v>#REF!</v>
      </c>
      <c r="F1264" s="165" t="s">
        <v>544</v>
      </c>
    </row>
    <row r="1265" spans="1:6">
      <c r="A1265" s="65" t="s">
        <v>545</v>
      </c>
      <c r="C1265" s="77"/>
      <c r="D1265" s="195" t="e">
        <f>IF(D1263=0,0,ROUND(D1264/D1263,0))</f>
        <v>#REF!</v>
      </c>
      <c r="F1265" s="165" t="s">
        <v>546</v>
      </c>
    </row>
    <row r="1266" spans="1:6">
      <c r="A1266" s="65" t="s">
        <v>518</v>
      </c>
      <c r="C1266" s="77"/>
      <c r="D1266" s="195" t="e">
        <f>#REF!</f>
        <v>#REF!</v>
      </c>
      <c r="F1266" s="165" t="s">
        <v>519</v>
      </c>
    </row>
    <row r="1267" spans="1:6">
      <c r="A1267" s="65" t="s">
        <v>520</v>
      </c>
      <c r="C1267" s="77"/>
      <c r="D1267" s="195" t="e">
        <f>ROUND(D1265-D1266,0)</f>
        <v>#REF!</v>
      </c>
      <c r="F1267" s="165" t="s">
        <v>521</v>
      </c>
    </row>
  </sheetData>
  <mergeCells count="223">
    <mergeCell ref="A1:M1"/>
    <mergeCell ref="A3:M3"/>
    <mergeCell ref="A19:M19"/>
    <mergeCell ref="A22:A23"/>
    <mergeCell ref="A25:M25"/>
    <mergeCell ref="A34:M34"/>
    <mergeCell ref="A44:M44"/>
    <mergeCell ref="D46:F46"/>
    <mergeCell ref="A59:M59"/>
    <mergeCell ref="B61:H61"/>
    <mergeCell ref="A92:M92"/>
    <mergeCell ref="A104:M104"/>
    <mergeCell ref="A117:M117"/>
    <mergeCell ref="A119:K119"/>
    <mergeCell ref="A141:G141"/>
    <mergeCell ref="H141:J141"/>
    <mergeCell ref="K141:M141"/>
    <mergeCell ref="A150:E150"/>
    <mergeCell ref="A151:C151"/>
    <mergeCell ref="A152:C152"/>
    <mergeCell ref="A153:C153"/>
    <mergeCell ref="A154:C154"/>
    <mergeCell ref="A156:D156"/>
    <mergeCell ref="A160:M160"/>
    <mergeCell ref="A169:M169"/>
    <mergeCell ref="A176:M176"/>
    <mergeCell ref="A178:B178"/>
    <mergeCell ref="H178:L178"/>
    <mergeCell ref="A179:B179"/>
    <mergeCell ref="H179:L179"/>
    <mergeCell ref="A180:B180"/>
    <mergeCell ref="H180:L180"/>
    <mergeCell ref="A181:B181"/>
    <mergeCell ref="H181:L181"/>
    <mergeCell ref="A188:M188"/>
    <mergeCell ref="A233:K233"/>
    <mergeCell ref="A253:M253"/>
    <mergeCell ref="A255:K255"/>
    <mergeCell ref="A277:G277"/>
    <mergeCell ref="H277:J277"/>
    <mergeCell ref="K277:M277"/>
    <mergeCell ref="A286:E286"/>
    <mergeCell ref="A287:C287"/>
    <mergeCell ref="A288:C288"/>
    <mergeCell ref="A289:C289"/>
    <mergeCell ref="A290:C290"/>
    <mergeCell ref="A292:D292"/>
    <mergeCell ref="A296:K296"/>
    <mergeCell ref="A305:M305"/>
    <mergeCell ref="A307:B307"/>
    <mergeCell ref="H307:L307"/>
    <mergeCell ref="A308:B308"/>
    <mergeCell ref="H308:L308"/>
    <mergeCell ref="A309:B309"/>
    <mergeCell ref="H309:L309"/>
    <mergeCell ref="A310:B310"/>
    <mergeCell ref="H310:L310"/>
    <mergeCell ref="A317:M317"/>
    <mergeCell ref="A362:M362"/>
    <mergeCell ref="A364:G364"/>
    <mergeCell ref="H364:J364"/>
    <mergeCell ref="K364:M364"/>
    <mergeCell ref="A371:M371"/>
    <mergeCell ref="A373:B373"/>
    <mergeCell ref="H373:L373"/>
    <mergeCell ref="A374:B374"/>
    <mergeCell ref="H374:L374"/>
    <mergeCell ref="A375:B375"/>
    <mergeCell ref="H375:L375"/>
    <mergeCell ref="A376:B376"/>
    <mergeCell ref="H376:L376"/>
    <mergeCell ref="A380:M380"/>
    <mergeCell ref="A382:G382"/>
    <mergeCell ref="H382:J382"/>
    <mergeCell ref="K382:M382"/>
    <mergeCell ref="A389:M389"/>
    <mergeCell ref="A391:B391"/>
    <mergeCell ref="H391:L391"/>
    <mergeCell ref="A392:B392"/>
    <mergeCell ref="H392:L392"/>
    <mergeCell ref="A393:B393"/>
    <mergeCell ref="H393:L393"/>
    <mergeCell ref="A394:B394"/>
    <mergeCell ref="H394:L394"/>
    <mergeCell ref="A398:M398"/>
    <mergeCell ref="A400:G400"/>
    <mergeCell ref="H400:J400"/>
    <mergeCell ref="K400:M400"/>
    <mergeCell ref="A407:M407"/>
    <mergeCell ref="A409:B409"/>
    <mergeCell ref="H409:L409"/>
    <mergeCell ref="A410:B410"/>
    <mergeCell ref="H410:L410"/>
    <mergeCell ref="A411:B411"/>
    <mergeCell ref="H411:L411"/>
    <mergeCell ref="A412:B412"/>
    <mergeCell ref="H412:L412"/>
    <mergeCell ref="A416:M416"/>
    <mergeCell ref="A435:K435"/>
    <mergeCell ref="A464:M464"/>
    <mergeCell ref="A466:K466"/>
    <mergeCell ref="A488:G488"/>
    <mergeCell ref="H488:J488"/>
    <mergeCell ref="K488:M488"/>
    <mergeCell ref="A497:E497"/>
    <mergeCell ref="A498:C498"/>
    <mergeCell ref="A499:C499"/>
    <mergeCell ref="A500:C500"/>
    <mergeCell ref="A501:C501"/>
    <mergeCell ref="A503:D503"/>
    <mergeCell ref="A507:M507"/>
    <mergeCell ref="A516:M516"/>
    <mergeCell ref="A523:M523"/>
    <mergeCell ref="A525:B525"/>
    <mergeCell ref="H525:L525"/>
    <mergeCell ref="A526:B526"/>
    <mergeCell ref="H526:L526"/>
    <mergeCell ref="A527:B527"/>
    <mergeCell ref="H527:L527"/>
    <mergeCell ref="A528:B528"/>
    <mergeCell ref="H528:L528"/>
    <mergeCell ref="A535:M535"/>
    <mergeCell ref="A580:K580"/>
    <mergeCell ref="A600:M600"/>
    <mergeCell ref="A602:K602"/>
    <mergeCell ref="A624:G624"/>
    <mergeCell ref="H624:J624"/>
    <mergeCell ref="K624:M624"/>
    <mergeCell ref="A633:E633"/>
    <mergeCell ref="A634:C634"/>
    <mergeCell ref="A635:C635"/>
    <mergeCell ref="A636:C636"/>
    <mergeCell ref="A637:C637"/>
    <mergeCell ref="A639:D639"/>
    <mergeCell ref="A643:K643"/>
    <mergeCell ref="A652:M652"/>
    <mergeCell ref="A654:B654"/>
    <mergeCell ref="H654:L654"/>
    <mergeCell ref="A655:B655"/>
    <mergeCell ref="H655:L655"/>
    <mergeCell ref="A656:B656"/>
    <mergeCell ref="H656:L656"/>
    <mergeCell ref="A657:B657"/>
    <mergeCell ref="H657:L657"/>
    <mergeCell ref="A664:M664"/>
    <mergeCell ref="A709:M709"/>
    <mergeCell ref="A711:G711"/>
    <mergeCell ref="H711:J711"/>
    <mergeCell ref="K711:M711"/>
    <mergeCell ref="A718:M718"/>
    <mergeCell ref="A720:B720"/>
    <mergeCell ref="H720:L720"/>
    <mergeCell ref="A721:B721"/>
    <mergeCell ref="H721:L721"/>
    <mergeCell ref="A722:B722"/>
    <mergeCell ref="H722:L722"/>
    <mergeCell ref="A723:B723"/>
    <mergeCell ref="H723:L723"/>
    <mergeCell ref="A727:M727"/>
    <mergeCell ref="A729:G729"/>
    <mergeCell ref="H729:J729"/>
    <mergeCell ref="K729:M729"/>
    <mergeCell ref="A736:M736"/>
    <mergeCell ref="A738:B738"/>
    <mergeCell ref="H738:L738"/>
    <mergeCell ref="A739:B739"/>
    <mergeCell ref="H739:L739"/>
    <mergeCell ref="A740:B740"/>
    <mergeCell ref="H740:L740"/>
    <mergeCell ref="A741:B741"/>
    <mergeCell ref="H741:L741"/>
    <mergeCell ref="A745:M745"/>
    <mergeCell ref="A747:G747"/>
    <mergeCell ref="H747:J747"/>
    <mergeCell ref="K747:M747"/>
    <mergeCell ref="A754:M754"/>
    <mergeCell ref="A756:B756"/>
    <mergeCell ref="H756:L756"/>
    <mergeCell ref="A757:B757"/>
    <mergeCell ref="H757:L757"/>
    <mergeCell ref="A758:B758"/>
    <mergeCell ref="H758:L758"/>
    <mergeCell ref="A759:B759"/>
    <mergeCell ref="H759:L759"/>
    <mergeCell ref="A763:M763"/>
    <mergeCell ref="A782:K782"/>
    <mergeCell ref="A811:K811"/>
    <mergeCell ref="A830:K830"/>
    <mergeCell ref="A852:G852"/>
    <mergeCell ref="H852:J852"/>
    <mergeCell ref="K852:M852"/>
    <mergeCell ref="A896:K896"/>
    <mergeCell ref="A905:K905"/>
    <mergeCell ref="A915:K915"/>
    <mergeCell ref="A924:K924"/>
    <mergeCell ref="A932:K932"/>
    <mergeCell ref="A936:K936"/>
    <mergeCell ref="A938:B938"/>
    <mergeCell ref="A939:B939"/>
    <mergeCell ref="A940:B940"/>
    <mergeCell ref="A941:B941"/>
    <mergeCell ref="A959:K959"/>
    <mergeCell ref="A1026:K1026"/>
    <mergeCell ref="A1122:K1122"/>
    <mergeCell ref="C1132:D1132"/>
    <mergeCell ref="C1134:D1134"/>
    <mergeCell ref="C1136:D1136"/>
    <mergeCell ref="A1143:K1143"/>
    <mergeCell ref="C1153:D1153"/>
    <mergeCell ref="C1155:D1155"/>
    <mergeCell ref="C1157:D1157"/>
    <mergeCell ref="A1165:K1165"/>
    <mergeCell ref="A1245:B1245"/>
    <mergeCell ref="A1252:B1252"/>
    <mergeCell ref="A1167:B1167"/>
    <mergeCell ref="A1174:B1174"/>
    <mergeCell ref="A1191:K1191"/>
    <mergeCell ref="A1193:B1193"/>
    <mergeCell ref="A1200:B1200"/>
    <mergeCell ref="A1217:K1217"/>
    <mergeCell ref="A1219:B1219"/>
    <mergeCell ref="A1226:B1226"/>
    <mergeCell ref="A1243:K1243"/>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80"/>
  <sheetViews>
    <sheetView topLeftCell="A22" zoomScale="170" zoomScaleNormal="170" workbookViewId="0">
      <selection activeCell="B54" sqref="B54"/>
    </sheetView>
  </sheetViews>
  <sheetFormatPr defaultColWidth="9.28515625" defaultRowHeight="12.75"/>
  <cols>
    <col min="1" max="1" width="20.7109375" style="63" customWidth="1"/>
    <col min="2" max="2" width="23.7109375" style="63" customWidth="1"/>
    <col min="3" max="3" width="7.7109375" style="63" customWidth="1"/>
    <col min="4" max="4" width="23.7109375" style="63" customWidth="1"/>
    <col min="5" max="16384" width="9.28515625" style="63"/>
  </cols>
  <sheetData>
    <row r="1" spans="1:2" ht="15.75" customHeight="1"/>
    <row r="2" spans="1:2" ht="15.75" customHeight="1">
      <c r="A2" s="65" t="s">
        <v>560</v>
      </c>
      <c r="B2" s="189" t="e">
        <f>#REF!</f>
        <v>#REF!</v>
      </c>
    </row>
    <row r="3" spans="1:2" ht="15.75" customHeight="1">
      <c r="B3" s="189"/>
    </row>
    <row r="4" spans="1:2" ht="15.75" customHeight="1">
      <c r="A4" s="65" t="s">
        <v>561</v>
      </c>
      <c r="B4" s="189" t="e">
        <f>#REF!</f>
        <v>#REF!</v>
      </c>
    </row>
    <row r="5" spans="1:2" ht="15.75" customHeight="1">
      <c r="A5" s="65" t="s">
        <v>562</v>
      </c>
      <c r="B5" s="189" t="e">
        <f>#REF!</f>
        <v>#REF!</v>
      </c>
    </row>
    <row r="6" spans="1:2" ht="15.75" customHeight="1">
      <c r="A6" s="65" t="s">
        <v>563</v>
      </c>
      <c r="B6" s="189" t="e">
        <f>B4*6.2%</f>
        <v>#REF!</v>
      </c>
    </row>
    <row r="7" spans="1:2" ht="15.75" customHeight="1">
      <c r="A7" s="65" t="s">
        <v>564</v>
      </c>
      <c r="B7" s="189" t="e">
        <f>B4*1.45%</f>
        <v>#REF!</v>
      </c>
    </row>
    <row r="8" spans="1:2" ht="15.75" customHeight="1">
      <c r="A8" s="65" t="s">
        <v>565</v>
      </c>
      <c r="B8" s="189" t="e">
        <f>#REF!</f>
        <v>#REF!</v>
      </c>
    </row>
    <row r="9" spans="1:2" ht="15.75" customHeight="1">
      <c r="A9" s="65" t="s">
        <v>566</v>
      </c>
      <c r="B9" s="189" t="e">
        <f>#REF!</f>
        <v>#REF!</v>
      </c>
    </row>
    <row r="10" spans="1:2" ht="15.75" customHeight="1">
      <c r="A10" s="65" t="s">
        <v>567</v>
      </c>
      <c r="B10" s="189" t="e">
        <f>SUM(B5:B9)</f>
        <v>#REF!</v>
      </c>
    </row>
    <row r="11" spans="1:2" ht="15.75" customHeight="1">
      <c r="A11" s="65" t="s">
        <v>568</v>
      </c>
      <c r="B11" s="189" t="e">
        <f>B4-B10</f>
        <v>#REF!</v>
      </c>
    </row>
    <row r="12" spans="1:2" ht="15.75" customHeight="1">
      <c r="B12" s="189"/>
    </row>
    <row r="13" spans="1:2" ht="15.75" customHeight="1">
      <c r="A13" s="65" t="s">
        <v>561</v>
      </c>
      <c r="B13" s="189" t="e">
        <f>#REF!</f>
        <v>#REF!</v>
      </c>
    </row>
    <row r="14" spans="1:2" ht="15.75" customHeight="1">
      <c r="A14" s="65" t="s">
        <v>562</v>
      </c>
      <c r="B14" s="189" t="e">
        <f>#REF!</f>
        <v>#REF!</v>
      </c>
    </row>
    <row r="15" spans="1:2" ht="15.75" customHeight="1">
      <c r="A15" s="65" t="s">
        <v>569</v>
      </c>
      <c r="B15" s="189" t="e">
        <f>B13*12.4%</f>
        <v>#REF!</v>
      </c>
    </row>
    <row r="16" spans="1:2" ht="15.75" customHeight="1">
      <c r="A16" s="65" t="s">
        <v>570</v>
      </c>
      <c r="B16" s="189" t="e">
        <f>B13*2.9%</f>
        <v>#REF!</v>
      </c>
    </row>
    <row r="17" spans="1:2" ht="15.75" customHeight="1">
      <c r="A17" s="65" t="s">
        <v>565</v>
      </c>
      <c r="B17" s="189" t="e">
        <f>#REF!</f>
        <v>#REF!</v>
      </c>
    </row>
    <row r="18" spans="1:2" ht="15.75" customHeight="1">
      <c r="A18" s="65" t="s">
        <v>566</v>
      </c>
      <c r="B18" s="189" t="e">
        <f>#REF!</f>
        <v>#REF!</v>
      </c>
    </row>
    <row r="19" spans="1:2" ht="15.75" customHeight="1">
      <c r="A19" s="65" t="s">
        <v>571</v>
      </c>
      <c r="B19" s="189" t="e">
        <f>SUM(B14:B18)</f>
        <v>#REF!</v>
      </c>
    </row>
    <row r="20" spans="1:2" ht="15.75" customHeight="1">
      <c r="A20" s="65" t="s">
        <v>572</v>
      </c>
      <c r="B20" s="189" t="e">
        <f>B13-B19</f>
        <v>#REF!</v>
      </c>
    </row>
    <row r="21" spans="1:2" ht="15.75" customHeight="1">
      <c r="B21" s="189"/>
    </row>
    <row r="22" spans="1:2" ht="15.75" customHeight="1">
      <c r="A22" s="65" t="s">
        <v>573</v>
      </c>
      <c r="B22" s="189" t="e">
        <f>#REF!</f>
        <v>#REF!</v>
      </c>
    </row>
    <row r="23" spans="1:2" ht="15.75" customHeight="1">
      <c r="A23" s="65" t="s">
        <v>574</v>
      </c>
      <c r="B23" s="189" t="e">
        <f>#REF!</f>
        <v>#REF!</v>
      </c>
    </row>
    <row r="24" spans="1:2" ht="15.75" customHeight="1">
      <c r="A24" s="65" t="s">
        <v>575</v>
      </c>
      <c r="B24" s="189" t="e">
        <f>SUM(B22:B23)</f>
        <v>#REF!</v>
      </c>
    </row>
    <row r="25" spans="1:2" ht="15.75" customHeight="1">
      <c r="B25" s="189"/>
    </row>
    <row r="26" spans="1:2" ht="15.75" customHeight="1">
      <c r="A26" s="65" t="s">
        <v>576</v>
      </c>
      <c r="B26" s="189" t="e">
        <f>#REF!</f>
        <v>#REF!</v>
      </c>
    </row>
    <row r="27" spans="1:2" ht="15.75" customHeight="1">
      <c r="A27" s="65" t="s">
        <v>577</v>
      </c>
      <c r="B27" s="189" t="e">
        <f>#REF!</f>
        <v>#REF!</v>
      </c>
    </row>
    <row r="28" spans="1:2" ht="15.75" customHeight="1">
      <c r="A28" s="65" t="s">
        <v>578</v>
      </c>
      <c r="B28" s="199" t="e">
        <f>#REF!</f>
        <v>#REF!</v>
      </c>
    </row>
    <row r="29" spans="1:2" ht="15.75" customHeight="1">
      <c r="A29" s="65" t="s">
        <v>579</v>
      </c>
      <c r="B29" s="189" t="e">
        <f>B28*0.14</f>
        <v>#REF!</v>
      </c>
    </row>
    <row r="30" spans="1:2" ht="15.75" customHeight="1">
      <c r="A30" s="65" t="s">
        <v>580</v>
      </c>
      <c r="B30" s="189" t="e">
        <f>B26+B27+B29</f>
        <v>#REF!</v>
      </c>
    </row>
    <row r="31" spans="1:2" ht="15.75" customHeight="1">
      <c r="B31" s="189"/>
    </row>
    <row r="32" spans="1:2" ht="15.75" customHeight="1">
      <c r="A32" s="65" t="s">
        <v>581</v>
      </c>
      <c r="B32" s="200" t="e">
        <f>(B11+B20+B22)-B30</f>
        <v>#REF!</v>
      </c>
    </row>
    <row r="33" spans="1:2" ht="15.75" customHeight="1">
      <c r="A33" s="65" t="s">
        <v>582</v>
      </c>
      <c r="B33" s="200" t="e">
        <f>#REF!</f>
        <v>#REF!</v>
      </c>
    </row>
    <row r="34" spans="1:2" ht="15.75" customHeight="1">
      <c r="B34" s="200"/>
    </row>
    <row r="35" spans="1:2" ht="15.75" customHeight="1">
      <c r="A35" s="65" t="s">
        <v>583</v>
      </c>
      <c r="B35" s="200" t="s">
        <v>584</v>
      </c>
    </row>
    <row r="36" spans="1:2" ht="15.75" customHeight="1">
      <c r="B36" s="200" t="s">
        <v>585</v>
      </c>
    </row>
    <row r="37" spans="1:2" ht="15.75" customHeight="1">
      <c r="B37" s="200" t="s">
        <v>586</v>
      </c>
    </row>
    <row r="38" spans="1:2" ht="15.75" customHeight="1">
      <c r="B38" s="200"/>
    </row>
    <row r="39" spans="1:2" ht="15.75" customHeight="1">
      <c r="A39" s="65" t="s">
        <v>587</v>
      </c>
      <c r="B39" s="77">
        <v>1</v>
      </c>
    </row>
    <row r="40" spans="1:2" ht="15.75" customHeight="1">
      <c r="A40" s="65" t="s">
        <v>588</v>
      </c>
      <c r="B40" s="77">
        <v>1</v>
      </c>
    </row>
    <row r="41" spans="1:2" ht="15.75" customHeight="1">
      <c r="A41" s="65" t="s">
        <v>588</v>
      </c>
      <c r="B41" s="77" t="str">
        <f>VLOOKUP(B40,A67:B118,2)</f>
        <v xml:space="preserve"> ALABAMA</v>
      </c>
    </row>
    <row r="42" spans="1:2" ht="15.75" customHeight="1">
      <c r="A42" s="65" t="s">
        <v>589</v>
      </c>
      <c r="B42" s="77" t="e">
        <f>FAMILYSIZE</f>
        <v>#REF!</v>
      </c>
    </row>
    <row r="43" spans="1:2" ht="15.75" customHeight="1">
      <c r="A43" s="65" t="s">
        <v>590</v>
      </c>
      <c r="B43" s="77" t="b">
        <f>IF(B39=2,TRUE(),FALSE())</f>
        <v>0</v>
      </c>
    </row>
    <row r="44" spans="1:2" ht="15.75" customHeight="1">
      <c r="A44" s="65" t="s">
        <v>591</v>
      </c>
      <c r="B44" s="201" t="e">
        <f>IF(OR(FAMILYSIZE="",FAMILYSIZE=0),0,IF(B2&gt;=80000,VLOOKUP(STATESELECTED,D67:N118,FAMILYSIZE+1),IF(B2&lt;80000,VLOOKUP(STATESELECTED,D129:N180,FAMILYSIZE+1),0)))</f>
        <v>#REF!</v>
      </c>
    </row>
    <row r="45" spans="1:2" ht="15.75" customHeight="1">
      <c r="A45" s="65" t="s">
        <v>592</v>
      </c>
      <c r="B45" s="201" t="e">
        <f>IF(B43=TRUE(),B44*95%,B44)</f>
        <v>#REF!</v>
      </c>
    </row>
    <row r="46" spans="1:2" ht="15.75" customHeight="1">
      <c r="A46" s="65" t="s">
        <v>593</v>
      </c>
      <c r="B46" s="187" t="e">
        <f>B32-B33</f>
        <v>#REF!</v>
      </c>
    </row>
    <row r="47" spans="1:2" ht="15.75" customHeight="1">
      <c r="A47" s="65" t="s">
        <v>594</v>
      </c>
      <c r="B47" s="187" t="e">
        <f>RESIDUALACTUAL-RESIDUALREQUIRED</f>
        <v>#REF!</v>
      </c>
    </row>
    <row r="48" spans="1:2" ht="15.75" customHeight="1">
      <c r="A48" s="65" t="s">
        <v>595</v>
      </c>
      <c r="B48" s="202" t="e">
        <f>IF(B46=0,0,ROUNDDOWN(B47/B44,0))</f>
        <v>#REF!</v>
      </c>
    </row>
    <row r="49" spans="1:14" ht="15.75" customHeight="1"/>
    <row r="50" spans="1:14" ht="15.75" customHeight="1"/>
    <row r="51" spans="1:14" ht="15.75" customHeight="1">
      <c r="A51" s="65" t="s">
        <v>596</v>
      </c>
      <c r="B51" s="63" t="e">
        <f>IF(OR(FAMILYSIZE="",RESIDUALACTUAL=0),"",CONCATENATE(" State of",STATESELECTED," and Family Size of ",FAMILYSIZE,))</f>
        <v>#REF!</v>
      </c>
    </row>
    <row r="52" spans="1:14" ht="15.75" customHeight="1">
      <c r="A52" s="65" t="s">
        <v>597</v>
      </c>
      <c r="B52" s="63" t="e">
        <f>IF(RESIDUALACTUAL=0,"",CONCATENATE("Actual Residual Income = ",DOLLAR(RESIDUALACTUAL,2)))</f>
        <v>#REF!</v>
      </c>
    </row>
    <row r="53" spans="1:14" ht="15.75" customHeight="1">
      <c r="A53" s="65" t="s">
        <v>598</v>
      </c>
      <c r="B53" s="63" t="e">
        <f>IF(RESIDUALACTUAL=0,"",CONCATENATE("Actual Residual Income = ",DOLLAR(RESIDUALACTUAL,2)))</f>
        <v>#REF!</v>
      </c>
    </row>
    <row r="54" spans="1:14" ht="15.75" customHeight="1">
      <c r="A54" s="65" t="s">
        <v>599</v>
      </c>
      <c r="B54" s="63" t="e">
        <f>IF(RESIDUALDIFF=0,"",IF(RESIDUALDIFF&gt;0,CONCATENATE("Actual Residual Income EXCEEDS Guidelines by an additional ",ROUNDDOWN(RESIDUALDIFF*100,0),"%"),IF(RESIDUALDIFF&lt;0,CONCATENATE("Actual Residual Income is INSUFFICIENT and DOES NOT meet minimum requirements."))))</f>
        <v>#REF!</v>
      </c>
    </row>
    <row r="55" spans="1:14" ht="15.75" customHeight="1"/>
    <row r="56" spans="1:14" ht="15.75" customHeight="1"/>
    <row r="57" spans="1:14" ht="15.75" customHeight="1"/>
    <row r="58" spans="1:14">
      <c r="A58" s="328" t="s">
        <v>600</v>
      </c>
      <c r="B58" s="328"/>
      <c r="C58" s="328"/>
      <c r="D58" s="328"/>
      <c r="E58" s="328"/>
      <c r="F58" s="328"/>
      <c r="G58" s="328"/>
      <c r="H58" s="328"/>
      <c r="I58" s="328"/>
      <c r="J58" s="328"/>
      <c r="K58" s="328"/>
      <c r="L58" s="328"/>
      <c r="M58" s="328"/>
    </row>
    <row r="60" spans="1:14" ht="24.75" customHeight="1">
      <c r="B60" s="203" t="s">
        <v>601</v>
      </c>
      <c r="C60" s="204" t="s">
        <v>602</v>
      </c>
      <c r="D60" s="203" t="s">
        <v>601</v>
      </c>
      <c r="E60" s="204" t="s">
        <v>550</v>
      </c>
      <c r="F60" s="204" t="s">
        <v>551</v>
      </c>
      <c r="G60" s="204" t="s">
        <v>552</v>
      </c>
      <c r="H60" s="204" t="s">
        <v>553</v>
      </c>
      <c r="I60" s="204" t="s">
        <v>554</v>
      </c>
      <c r="J60" s="204" t="s">
        <v>555</v>
      </c>
      <c r="K60" s="204" t="s">
        <v>556</v>
      </c>
      <c r="L60" s="204" t="s">
        <v>557</v>
      </c>
      <c r="M60" s="204" t="s">
        <v>558</v>
      </c>
      <c r="N60" s="204" t="s">
        <v>559</v>
      </c>
    </row>
    <row r="61" spans="1:14">
      <c r="B61" s="160" t="s">
        <v>603</v>
      </c>
      <c r="C61" s="205"/>
      <c r="D61" s="160" t="s">
        <v>603</v>
      </c>
      <c r="E61" s="206">
        <v>450</v>
      </c>
      <c r="F61" s="206">
        <v>755</v>
      </c>
      <c r="G61" s="206">
        <v>909</v>
      </c>
      <c r="H61" s="206">
        <v>1025</v>
      </c>
      <c r="I61" s="206">
        <v>1062</v>
      </c>
      <c r="J61" s="206">
        <v>1142</v>
      </c>
      <c r="K61" s="206">
        <v>1222</v>
      </c>
      <c r="L61" s="206">
        <v>1302</v>
      </c>
      <c r="M61" s="206">
        <v>1382</v>
      </c>
      <c r="N61" s="206">
        <v>1462</v>
      </c>
    </row>
    <row r="62" spans="1:14">
      <c r="B62" s="145" t="s">
        <v>604</v>
      </c>
      <c r="C62" s="207"/>
      <c r="D62" s="145" t="s">
        <v>604</v>
      </c>
      <c r="E62" s="208">
        <v>441</v>
      </c>
      <c r="F62" s="208">
        <v>738</v>
      </c>
      <c r="G62" s="208">
        <v>889</v>
      </c>
      <c r="H62" s="208">
        <v>1003</v>
      </c>
      <c r="I62" s="208">
        <v>1039</v>
      </c>
      <c r="J62" s="208">
        <v>1119</v>
      </c>
      <c r="K62" s="208">
        <v>1199</v>
      </c>
      <c r="L62" s="208">
        <v>1279</v>
      </c>
      <c r="M62" s="208">
        <v>1359</v>
      </c>
      <c r="N62" s="208">
        <v>1439</v>
      </c>
    </row>
    <row r="63" spans="1:14">
      <c r="B63" s="145" t="s">
        <v>605</v>
      </c>
      <c r="C63" s="207"/>
      <c r="D63" s="145" t="s">
        <v>605</v>
      </c>
      <c r="E63" s="208">
        <v>441</v>
      </c>
      <c r="F63" s="208">
        <v>738</v>
      </c>
      <c r="G63" s="208">
        <v>889</v>
      </c>
      <c r="H63" s="208">
        <v>1003</v>
      </c>
      <c r="I63" s="208">
        <v>1039</v>
      </c>
      <c r="J63" s="208">
        <v>1119</v>
      </c>
      <c r="K63" s="208">
        <v>1199</v>
      </c>
      <c r="L63" s="208">
        <v>1279</v>
      </c>
      <c r="M63" s="208">
        <v>1359</v>
      </c>
      <c r="N63" s="208">
        <v>1439</v>
      </c>
    </row>
    <row r="64" spans="1:14">
      <c r="B64" s="145" t="s">
        <v>606</v>
      </c>
      <c r="C64" s="207"/>
      <c r="D64" s="145" t="s">
        <v>606</v>
      </c>
      <c r="E64" s="208">
        <v>491</v>
      </c>
      <c r="F64" s="208">
        <v>823</v>
      </c>
      <c r="G64" s="208">
        <v>990</v>
      </c>
      <c r="H64" s="208">
        <v>1117</v>
      </c>
      <c r="I64" s="208">
        <v>1158</v>
      </c>
      <c r="J64" s="208">
        <v>1238</v>
      </c>
      <c r="K64" s="208">
        <v>1318</v>
      </c>
      <c r="L64" s="208">
        <v>1398</v>
      </c>
      <c r="M64" s="208">
        <v>1478</v>
      </c>
      <c r="N64" s="208">
        <v>1558</v>
      </c>
    </row>
    <row r="66" spans="1:15" ht="24.75" customHeight="1">
      <c r="B66" s="203" t="s">
        <v>607</v>
      </c>
      <c r="C66" s="204" t="s">
        <v>602</v>
      </c>
      <c r="D66" s="203" t="s">
        <v>607</v>
      </c>
      <c r="E66" s="204" t="s">
        <v>550</v>
      </c>
      <c r="F66" s="204" t="s">
        <v>551</v>
      </c>
      <c r="G66" s="204" t="s">
        <v>552</v>
      </c>
      <c r="H66" s="204" t="s">
        <v>553</v>
      </c>
      <c r="I66" s="204" t="s">
        <v>554</v>
      </c>
      <c r="J66" s="204" t="s">
        <v>555</v>
      </c>
      <c r="K66" s="204" t="s">
        <v>556</v>
      </c>
      <c r="L66" s="204" t="s">
        <v>557</v>
      </c>
      <c r="M66" s="204" t="s">
        <v>558</v>
      </c>
      <c r="N66" s="204" t="s">
        <v>559</v>
      </c>
      <c r="O66" s="204" t="s">
        <v>608</v>
      </c>
    </row>
    <row r="67" spans="1:15">
      <c r="A67" s="207">
        <v>1</v>
      </c>
      <c r="B67" s="160" t="s">
        <v>609</v>
      </c>
      <c r="C67" s="209" t="s">
        <v>610</v>
      </c>
      <c r="D67" s="160" t="s">
        <v>609</v>
      </c>
      <c r="E67" s="206">
        <f t="shared" ref="E67:N67" si="0">E$63</f>
        <v>441</v>
      </c>
      <c r="F67" s="206">
        <f t="shared" si="0"/>
        <v>738</v>
      </c>
      <c r="G67" s="206">
        <f t="shared" si="0"/>
        <v>889</v>
      </c>
      <c r="H67" s="206">
        <f t="shared" si="0"/>
        <v>1003</v>
      </c>
      <c r="I67" s="206">
        <f t="shared" si="0"/>
        <v>1039</v>
      </c>
      <c r="J67" s="206">
        <f t="shared" si="0"/>
        <v>1119</v>
      </c>
      <c r="K67" s="206">
        <f t="shared" si="0"/>
        <v>1199</v>
      </c>
      <c r="L67" s="206">
        <f t="shared" si="0"/>
        <v>1279</v>
      </c>
      <c r="M67" s="206">
        <f t="shared" si="0"/>
        <v>1359</v>
      </c>
      <c r="N67" s="206">
        <f t="shared" si="0"/>
        <v>1439</v>
      </c>
      <c r="O67" s="206" t="s">
        <v>611</v>
      </c>
    </row>
    <row r="68" spans="1:15">
      <c r="A68" s="207">
        <v>2</v>
      </c>
      <c r="B68" s="145" t="s">
        <v>612</v>
      </c>
      <c r="C68" s="210" t="s">
        <v>613</v>
      </c>
      <c r="D68" s="145" t="s">
        <v>612</v>
      </c>
      <c r="E68" s="208">
        <f t="shared" ref="E68:N69" si="1">E$64</f>
        <v>491</v>
      </c>
      <c r="F68" s="208">
        <f t="shared" si="1"/>
        <v>823</v>
      </c>
      <c r="G68" s="208">
        <f t="shared" si="1"/>
        <v>990</v>
      </c>
      <c r="H68" s="208">
        <f t="shared" si="1"/>
        <v>1117</v>
      </c>
      <c r="I68" s="208">
        <f t="shared" si="1"/>
        <v>1158</v>
      </c>
      <c r="J68" s="208">
        <f t="shared" si="1"/>
        <v>1238</v>
      </c>
      <c r="K68" s="208">
        <f t="shared" si="1"/>
        <v>1318</v>
      </c>
      <c r="L68" s="208">
        <f t="shared" si="1"/>
        <v>1398</v>
      </c>
      <c r="M68" s="208">
        <f t="shared" si="1"/>
        <v>1478</v>
      </c>
      <c r="N68" s="208">
        <f t="shared" si="1"/>
        <v>1558</v>
      </c>
      <c r="O68" s="208" t="s">
        <v>614</v>
      </c>
    </row>
    <row r="69" spans="1:15">
      <c r="A69" s="207">
        <v>3</v>
      </c>
      <c r="B69" s="145" t="s">
        <v>615</v>
      </c>
      <c r="C69" s="210" t="s">
        <v>616</v>
      </c>
      <c r="D69" s="145" t="s">
        <v>615</v>
      </c>
      <c r="E69" s="208">
        <f t="shared" si="1"/>
        <v>491</v>
      </c>
      <c r="F69" s="208">
        <f t="shared" si="1"/>
        <v>823</v>
      </c>
      <c r="G69" s="208">
        <f t="shared" si="1"/>
        <v>990</v>
      </c>
      <c r="H69" s="208">
        <f t="shared" si="1"/>
        <v>1117</v>
      </c>
      <c r="I69" s="208">
        <f t="shared" si="1"/>
        <v>1158</v>
      </c>
      <c r="J69" s="208">
        <f t="shared" si="1"/>
        <v>1238</v>
      </c>
      <c r="K69" s="208">
        <f t="shared" si="1"/>
        <v>1318</v>
      </c>
      <c r="L69" s="208">
        <f t="shared" si="1"/>
        <v>1398</v>
      </c>
      <c r="M69" s="208">
        <f t="shared" si="1"/>
        <v>1478</v>
      </c>
      <c r="N69" s="208">
        <f t="shared" si="1"/>
        <v>1558</v>
      </c>
      <c r="O69" s="208" t="s">
        <v>614</v>
      </c>
    </row>
    <row r="70" spans="1:15">
      <c r="A70" s="207">
        <v>4</v>
      </c>
      <c r="B70" s="145" t="s">
        <v>617</v>
      </c>
      <c r="C70" s="210" t="s">
        <v>618</v>
      </c>
      <c r="D70" s="145" t="s">
        <v>617</v>
      </c>
      <c r="E70" s="208">
        <f t="shared" ref="E70:N70" si="2">E$63</f>
        <v>441</v>
      </c>
      <c r="F70" s="208">
        <f t="shared" si="2"/>
        <v>738</v>
      </c>
      <c r="G70" s="208">
        <f t="shared" si="2"/>
        <v>889</v>
      </c>
      <c r="H70" s="208">
        <f t="shared" si="2"/>
        <v>1003</v>
      </c>
      <c r="I70" s="208">
        <f t="shared" si="2"/>
        <v>1039</v>
      </c>
      <c r="J70" s="208">
        <f t="shared" si="2"/>
        <v>1119</v>
      </c>
      <c r="K70" s="208">
        <f t="shared" si="2"/>
        <v>1199</v>
      </c>
      <c r="L70" s="208">
        <f t="shared" si="2"/>
        <v>1279</v>
      </c>
      <c r="M70" s="208">
        <f t="shared" si="2"/>
        <v>1359</v>
      </c>
      <c r="N70" s="208">
        <f t="shared" si="2"/>
        <v>1439</v>
      </c>
      <c r="O70" s="208" t="s">
        <v>611</v>
      </c>
    </row>
    <row r="71" spans="1:15">
      <c r="A71" s="207">
        <v>5</v>
      </c>
      <c r="B71" s="145" t="s">
        <v>619</v>
      </c>
      <c r="C71" s="210" t="s">
        <v>620</v>
      </c>
      <c r="D71" s="145" t="s">
        <v>619</v>
      </c>
      <c r="E71" s="208">
        <f t="shared" ref="E71:N72" si="3">E$64</f>
        <v>491</v>
      </c>
      <c r="F71" s="208">
        <f t="shared" si="3"/>
        <v>823</v>
      </c>
      <c r="G71" s="208">
        <f t="shared" si="3"/>
        <v>990</v>
      </c>
      <c r="H71" s="208">
        <f t="shared" si="3"/>
        <v>1117</v>
      </c>
      <c r="I71" s="208">
        <f t="shared" si="3"/>
        <v>1158</v>
      </c>
      <c r="J71" s="208">
        <f t="shared" si="3"/>
        <v>1238</v>
      </c>
      <c r="K71" s="208">
        <f t="shared" si="3"/>
        <v>1318</v>
      </c>
      <c r="L71" s="208">
        <f t="shared" si="3"/>
        <v>1398</v>
      </c>
      <c r="M71" s="208">
        <f t="shared" si="3"/>
        <v>1478</v>
      </c>
      <c r="N71" s="208">
        <f t="shared" si="3"/>
        <v>1558</v>
      </c>
      <c r="O71" s="208" t="s">
        <v>614</v>
      </c>
    </row>
    <row r="72" spans="1:15">
      <c r="A72" s="207">
        <v>6</v>
      </c>
      <c r="B72" s="145" t="s">
        <v>621</v>
      </c>
      <c r="C72" s="210" t="s">
        <v>622</v>
      </c>
      <c r="D72" s="145" t="s">
        <v>621</v>
      </c>
      <c r="E72" s="208">
        <f t="shared" si="3"/>
        <v>491</v>
      </c>
      <c r="F72" s="208">
        <f t="shared" si="3"/>
        <v>823</v>
      </c>
      <c r="G72" s="208">
        <f t="shared" si="3"/>
        <v>990</v>
      </c>
      <c r="H72" s="208">
        <f t="shared" si="3"/>
        <v>1117</v>
      </c>
      <c r="I72" s="208">
        <f t="shared" si="3"/>
        <v>1158</v>
      </c>
      <c r="J72" s="208">
        <f t="shared" si="3"/>
        <v>1238</v>
      </c>
      <c r="K72" s="208">
        <f t="shared" si="3"/>
        <v>1318</v>
      </c>
      <c r="L72" s="208">
        <f t="shared" si="3"/>
        <v>1398</v>
      </c>
      <c r="M72" s="208">
        <f t="shared" si="3"/>
        <v>1478</v>
      </c>
      <c r="N72" s="208">
        <f t="shared" si="3"/>
        <v>1558</v>
      </c>
      <c r="O72" s="208" t="s">
        <v>614</v>
      </c>
    </row>
    <row r="73" spans="1:15">
      <c r="A73" s="207">
        <v>7</v>
      </c>
      <c r="B73" s="145" t="s">
        <v>623</v>
      </c>
      <c r="C73" s="210" t="s">
        <v>624</v>
      </c>
      <c r="D73" s="145" t="s">
        <v>623</v>
      </c>
      <c r="E73" s="208">
        <f t="shared" ref="E73:N73" si="4">E$61</f>
        <v>450</v>
      </c>
      <c r="F73" s="208">
        <f t="shared" si="4"/>
        <v>755</v>
      </c>
      <c r="G73" s="208">
        <f t="shared" si="4"/>
        <v>909</v>
      </c>
      <c r="H73" s="208">
        <f t="shared" si="4"/>
        <v>1025</v>
      </c>
      <c r="I73" s="208">
        <f t="shared" si="4"/>
        <v>1062</v>
      </c>
      <c r="J73" s="208">
        <f t="shared" si="4"/>
        <v>1142</v>
      </c>
      <c r="K73" s="208">
        <f t="shared" si="4"/>
        <v>1222</v>
      </c>
      <c r="L73" s="208">
        <f t="shared" si="4"/>
        <v>1302</v>
      </c>
      <c r="M73" s="208">
        <f t="shared" si="4"/>
        <v>1382</v>
      </c>
      <c r="N73" s="208">
        <f t="shared" si="4"/>
        <v>1462</v>
      </c>
      <c r="O73" s="208" t="s">
        <v>625</v>
      </c>
    </row>
    <row r="74" spans="1:15">
      <c r="A74" s="207">
        <v>8</v>
      </c>
      <c r="B74" s="145" t="s">
        <v>626</v>
      </c>
      <c r="C74" s="210" t="s">
        <v>627</v>
      </c>
      <c r="D74" s="145" t="s">
        <v>626</v>
      </c>
      <c r="E74" s="208">
        <f t="shared" ref="E74:N77" si="5">E$63</f>
        <v>441</v>
      </c>
      <c r="F74" s="208">
        <f t="shared" si="5"/>
        <v>738</v>
      </c>
      <c r="G74" s="208">
        <f t="shared" si="5"/>
        <v>889</v>
      </c>
      <c r="H74" s="208">
        <f t="shared" si="5"/>
        <v>1003</v>
      </c>
      <c r="I74" s="208">
        <f t="shared" si="5"/>
        <v>1039</v>
      </c>
      <c r="J74" s="208">
        <f t="shared" si="5"/>
        <v>1119</v>
      </c>
      <c r="K74" s="208">
        <f t="shared" si="5"/>
        <v>1199</v>
      </c>
      <c r="L74" s="208">
        <f t="shared" si="5"/>
        <v>1279</v>
      </c>
      <c r="M74" s="208">
        <f t="shared" si="5"/>
        <v>1359</v>
      </c>
      <c r="N74" s="208">
        <f t="shared" si="5"/>
        <v>1439</v>
      </c>
      <c r="O74" s="208" t="s">
        <v>611</v>
      </c>
    </row>
    <row r="75" spans="1:15">
      <c r="A75" s="207">
        <v>9</v>
      </c>
      <c r="B75" s="145" t="s">
        <v>628</v>
      </c>
      <c r="C75" s="210" t="s">
        <v>629</v>
      </c>
      <c r="D75" s="145" t="s">
        <v>628</v>
      </c>
      <c r="E75" s="208">
        <f t="shared" si="5"/>
        <v>441</v>
      </c>
      <c r="F75" s="208">
        <f t="shared" si="5"/>
        <v>738</v>
      </c>
      <c r="G75" s="208">
        <f t="shared" si="5"/>
        <v>889</v>
      </c>
      <c r="H75" s="208">
        <f t="shared" si="5"/>
        <v>1003</v>
      </c>
      <c r="I75" s="208">
        <f t="shared" si="5"/>
        <v>1039</v>
      </c>
      <c r="J75" s="208">
        <f t="shared" si="5"/>
        <v>1119</v>
      </c>
      <c r="K75" s="208">
        <f t="shared" si="5"/>
        <v>1199</v>
      </c>
      <c r="L75" s="208">
        <f t="shared" si="5"/>
        <v>1279</v>
      </c>
      <c r="M75" s="208">
        <f t="shared" si="5"/>
        <v>1359</v>
      </c>
      <c r="N75" s="208">
        <f t="shared" si="5"/>
        <v>1439</v>
      </c>
      <c r="O75" s="208" t="s">
        <v>611</v>
      </c>
    </row>
    <row r="76" spans="1:15">
      <c r="A76" s="207">
        <v>10</v>
      </c>
      <c r="B76" s="145" t="s">
        <v>630</v>
      </c>
      <c r="C76" s="210" t="s">
        <v>631</v>
      </c>
      <c r="D76" s="145" t="s">
        <v>630</v>
      </c>
      <c r="E76" s="208">
        <f t="shared" si="5"/>
        <v>441</v>
      </c>
      <c r="F76" s="208">
        <f t="shared" si="5"/>
        <v>738</v>
      </c>
      <c r="G76" s="208">
        <f t="shared" si="5"/>
        <v>889</v>
      </c>
      <c r="H76" s="208">
        <f t="shared" si="5"/>
        <v>1003</v>
      </c>
      <c r="I76" s="208">
        <f t="shared" si="5"/>
        <v>1039</v>
      </c>
      <c r="J76" s="208">
        <f t="shared" si="5"/>
        <v>1119</v>
      </c>
      <c r="K76" s="208">
        <f t="shared" si="5"/>
        <v>1199</v>
      </c>
      <c r="L76" s="208">
        <f t="shared" si="5"/>
        <v>1279</v>
      </c>
      <c r="M76" s="208">
        <f t="shared" si="5"/>
        <v>1359</v>
      </c>
      <c r="N76" s="208">
        <f t="shared" si="5"/>
        <v>1439</v>
      </c>
      <c r="O76" s="208" t="s">
        <v>611</v>
      </c>
    </row>
    <row r="77" spans="1:15">
      <c r="A77" s="207">
        <v>11</v>
      </c>
      <c r="B77" s="145" t="s">
        <v>632</v>
      </c>
      <c r="C77" s="210" t="s">
        <v>633</v>
      </c>
      <c r="D77" s="145" t="s">
        <v>632</v>
      </c>
      <c r="E77" s="208">
        <f t="shared" si="5"/>
        <v>441</v>
      </c>
      <c r="F77" s="208">
        <f t="shared" si="5"/>
        <v>738</v>
      </c>
      <c r="G77" s="208">
        <f t="shared" si="5"/>
        <v>889</v>
      </c>
      <c r="H77" s="208">
        <f t="shared" si="5"/>
        <v>1003</v>
      </c>
      <c r="I77" s="208">
        <f t="shared" si="5"/>
        <v>1039</v>
      </c>
      <c r="J77" s="208">
        <f t="shared" si="5"/>
        <v>1119</v>
      </c>
      <c r="K77" s="208">
        <f t="shared" si="5"/>
        <v>1199</v>
      </c>
      <c r="L77" s="208">
        <f t="shared" si="5"/>
        <v>1279</v>
      </c>
      <c r="M77" s="208">
        <f t="shared" si="5"/>
        <v>1359</v>
      </c>
      <c r="N77" s="208">
        <f t="shared" si="5"/>
        <v>1439</v>
      </c>
      <c r="O77" s="208" t="s">
        <v>611</v>
      </c>
    </row>
    <row r="78" spans="1:15">
      <c r="A78" s="207">
        <v>12</v>
      </c>
      <c r="B78" s="145" t="s">
        <v>634</v>
      </c>
      <c r="C78" s="210" t="s">
        <v>635</v>
      </c>
      <c r="D78" s="145" t="s">
        <v>634</v>
      </c>
      <c r="E78" s="208">
        <f t="shared" ref="E78:N79" si="6">E$64</f>
        <v>491</v>
      </c>
      <c r="F78" s="208">
        <f t="shared" si="6"/>
        <v>823</v>
      </c>
      <c r="G78" s="208">
        <f t="shared" si="6"/>
        <v>990</v>
      </c>
      <c r="H78" s="208">
        <f t="shared" si="6"/>
        <v>1117</v>
      </c>
      <c r="I78" s="208">
        <f t="shared" si="6"/>
        <v>1158</v>
      </c>
      <c r="J78" s="208">
        <f t="shared" si="6"/>
        <v>1238</v>
      </c>
      <c r="K78" s="208">
        <f t="shared" si="6"/>
        <v>1318</v>
      </c>
      <c r="L78" s="208">
        <f t="shared" si="6"/>
        <v>1398</v>
      </c>
      <c r="M78" s="208">
        <f t="shared" si="6"/>
        <v>1478</v>
      </c>
      <c r="N78" s="208">
        <f t="shared" si="6"/>
        <v>1558</v>
      </c>
      <c r="O78" s="208" t="s">
        <v>614</v>
      </c>
    </row>
    <row r="79" spans="1:15">
      <c r="A79" s="207">
        <v>13</v>
      </c>
      <c r="B79" s="145" t="s">
        <v>636</v>
      </c>
      <c r="C79" s="210" t="s">
        <v>637</v>
      </c>
      <c r="D79" s="145" t="s">
        <v>636</v>
      </c>
      <c r="E79" s="208">
        <f t="shared" si="6"/>
        <v>491</v>
      </c>
      <c r="F79" s="208">
        <f t="shared" si="6"/>
        <v>823</v>
      </c>
      <c r="G79" s="208">
        <f t="shared" si="6"/>
        <v>990</v>
      </c>
      <c r="H79" s="208">
        <f t="shared" si="6"/>
        <v>1117</v>
      </c>
      <c r="I79" s="208">
        <f t="shared" si="6"/>
        <v>1158</v>
      </c>
      <c r="J79" s="208">
        <f t="shared" si="6"/>
        <v>1238</v>
      </c>
      <c r="K79" s="208">
        <f t="shared" si="6"/>
        <v>1318</v>
      </c>
      <c r="L79" s="208">
        <f t="shared" si="6"/>
        <v>1398</v>
      </c>
      <c r="M79" s="208">
        <f t="shared" si="6"/>
        <v>1478</v>
      </c>
      <c r="N79" s="208">
        <f t="shared" si="6"/>
        <v>1558</v>
      </c>
      <c r="O79" s="208" t="s">
        <v>614</v>
      </c>
    </row>
    <row r="80" spans="1:15">
      <c r="A80" s="207">
        <v>14</v>
      </c>
      <c r="B80" s="145" t="s">
        <v>638</v>
      </c>
      <c r="C80" s="210" t="s">
        <v>639</v>
      </c>
      <c r="D80" s="145" t="s">
        <v>638</v>
      </c>
      <c r="E80" s="208">
        <f t="shared" ref="E80:N83" si="7">E$62</f>
        <v>441</v>
      </c>
      <c r="F80" s="208">
        <f t="shared" si="7"/>
        <v>738</v>
      </c>
      <c r="G80" s="208">
        <f t="shared" si="7"/>
        <v>889</v>
      </c>
      <c r="H80" s="208">
        <f t="shared" si="7"/>
        <v>1003</v>
      </c>
      <c r="I80" s="208">
        <f t="shared" si="7"/>
        <v>1039</v>
      </c>
      <c r="J80" s="208">
        <f t="shared" si="7"/>
        <v>1119</v>
      </c>
      <c r="K80" s="208">
        <f t="shared" si="7"/>
        <v>1199</v>
      </c>
      <c r="L80" s="208">
        <f t="shared" si="7"/>
        <v>1279</v>
      </c>
      <c r="M80" s="208">
        <f t="shared" si="7"/>
        <v>1359</v>
      </c>
      <c r="N80" s="208">
        <f t="shared" si="7"/>
        <v>1439</v>
      </c>
      <c r="O80" s="208" t="s">
        <v>640</v>
      </c>
    </row>
    <row r="81" spans="1:15">
      <c r="A81" s="207">
        <v>15</v>
      </c>
      <c r="B81" s="145" t="s">
        <v>641</v>
      </c>
      <c r="C81" s="210" t="s">
        <v>642</v>
      </c>
      <c r="D81" s="145" t="s">
        <v>641</v>
      </c>
      <c r="E81" s="208">
        <f t="shared" si="7"/>
        <v>441</v>
      </c>
      <c r="F81" s="208">
        <f t="shared" si="7"/>
        <v>738</v>
      </c>
      <c r="G81" s="208">
        <f t="shared" si="7"/>
        <v>889</v>
      </c>
      <c r="H81" s="208">
        <f t="shared" si="7"/>
        <v>1003</v>
      </c>
      <c r="I81" s="208">
        <f t="shared" si="7"/>
        <v>1039</v>
      </c>
      <c r="J81" s="208">
        <f t="shared" si="7"/>
        <v>1119</v>
      </c>
      <c r="K81" s="208">
        <f t="shared" si="7"/>
        <v>1199</v>
      </c>
      <c r="L81" s="208">
        <f t="shared" si="7"/>
        <v>1279</v>
      </c>
      <c r="M81" s="208">
        <f t="shared" si="7"/>
        <v>1359</v>
      </c>
      <c r="N81" s="208">
        <f t="shared" si="7"/>
        <v>1439</v>
      </c>
      <c r="O81" s="208" t="s">
        <v>640</v>
      </c>
    </row>
    <row r="82" spans="1:15">
      <c r="A82" s="207">
        <v>16</v>
      </c>
      <c r="B82" s="145" t="s">
        <v>643</v>
      </c>
      <c r="C82" s="210" t="s">
        <v>644</v>
      </c>
      <c r="D82" s="145" t="s">
        <v>643</v>
      </c>
      <c r="E82" s="208">
        <f t="shared" si="7"/>
        <v>441</v>
      </c>
      <c r="F82" s="208">
        <f t="shared" si="7"/>
        <v>738</v>
      </c>
      <c r="G82" s="208">
        <f t="shared" si="7"/>
        <v>889</v>
      </c>
      <c r="H82" s="208">
        <f t="shared" si="7"/>
        <v>1003</v>
      </c>
      <c r="I82" s="208">
        <f t="shared" si="7"/>
        <v>1039</v>
      </c>
      <c r="J82" s="208">
        <f t="shared" si="7"/>
        <v>1119</v>
      </c>
      <c r="K82" s="208">
        <f t="shared" si="7"/>
        <v>1199</v>
      </c>
      <c r="L82" s="208">
        <f t="shared" si="7"/>
        <v>1279</v>
      </c>
      <c r="M82" s="208">
        <f t="shared" si="7"/>
        <v>1359</v>
      </c>
      <c r="N82" s="208">
        <f t="shared" si="7"/>
        <v>1439</v>
      </c>
      <c r="O82" s="208" t="s">
        <v>640</v>
      </c>
    </row>
    <row r="83" spans="1:15">
      <c r="A83" s="207">
        <v>17</v>
      </c>
      <c r="B83" s="145" t="s">
        <v>645</v>
      </c>
      <c r="C83" s="210" t="s">
        <v>646</v>
      </c>
      <c r="D83" s="145" t="s">
        <v>645</v>
      </c>
      <c r="E83" s="208">
        <f t="shared" si="7"/>
        <v>441</v>
      </c>
      <c r="F83" s="208">
        <f t="shared" si="7"/>
        <v>738</v>
      </c>
      <c r="G83" s="208">
        <f t="shared" si="7"/>
        <v>889</v>
      </c>
      <c r="H83" s="208">
        <f t="shared" si="7"/>
        <v>1003</v>
      </c>
      <c r="I83" s="208">
        <f t="shared" si="7"/>
        <v>1039</v>
      </c>
      <c r="J83" s="208">
        <f t="shared" si="7"/>
        <v>1119</v>
      </c>
      <c r="K83" s="208">
        <f t="shared" si="7"/>
        <v>1199</v>
      </c>
      <c r="L83" s="208">
        <f t="shared" si="7"/>
        <v>1279</v>
      </c>
      <c r="M83" s="208">
        <f t="shared" si="7"/>
        <v>1359</v>
      </c>
      <c r="N83" s="208">
        <f t="shared" si="7"/>
        <v>1439</v>
      </c>
      <c r="O83" s="208" t="s">
        <v>640</v>
      </c>
    </row>
    <row r="84" spans="1:15">
      <c r="A84" s="207">
        <v>18</v>
      </c>
      <c r="B84" s="145" t="s">
        <v>647</v>
      </c>
      <c r="C84" s="210" t="s">
        <v>648</v>
      </c>
      <c r="D84" s="145" t="s">
        <v>647</v>
      </c>
      <c r="E84" s="208">
        <f t="shared" ref="E84:N85" si="8">E$63</f>
        <v>441</v>
      </c>
      <c r="F84" s="208">
        <f t="shared" si="8"/>
        <v>738</v>
      </c>
      <c r="G84" s="208">
        <f t="shared" si="8"/>
        <v>889</v>
      </c>
      <c r="H84" s="208">
        <f t="shared" si="8"/>
        <v>1003</v>
      </c>
      <c r="I84" s="208">
        <f t="shared" si="8"/>
        <v>1039</v>
      </c>
      <c r="J84" s="208">
        <f t="shared" si="8"/>
        <v>1119</v>
      </c>
      <c r="K84" s="208">
        <f t="shared" si="8"/>
        <v>1199</v>
      </c>
      <c r="L84" s="208">
        <f t="shared" si="8"/>
        <v>1279</v>
      </c>
      <c r="M84" s="208">
        <f t="shared" si="8"/>
        <v>1359</v>
      </c>
      <c r="N84" s="208">
        <f t="shared" si="8"/>
        <v>1439</v>
      </c>
      <c r="O84" s="208" t="s">
        <v>611</v>
      </c>
    </row>
    <row r="85" spans="1:15">
      <c r="A85" s="207">
        <v>19</v>
      </c>
      <c r="B85" s="145" t="s">
        <v>649</v>
      </c>
      <c r="C85" s="210" t="s">
        <v>650</v>
      </c>
      <c r="D85" s="145" t="s">
        <v>649</v>
      </c>
      <c r="E85" s="208">
        <f t="shared" si="8"/>
        <v>441</v>
      </c>
      <c r="F85" s="208">
        <f t="shared" si="8"/>
        <v>738</v>
      </c>
      <c r="G85" s="208">
        <f t="shared" si="8"/>
        <v>889</v>
      </c>
      <c r="H85" s="208">
        <f t="shared" si="8"/>
        <v>1003</v>
      </c>
      <c r="I85" s="208">
        <f t="shared" si="8"/>
        <v>1039</v>
      </c>
      <c r="J85" s="208">
        <f t="shared" si="8"/>
        <v>1119</v>
      </c>
      <c r="K85" s="208">
        <f t="shared" si="8"/>
        <v>1199</v>
      </c>
      <c r="L85" s="208">
        <f t="shared" si="8"/>
        <v>1279</v>
      </c>
      <c r="M85" s="208">
        <f t="shared" si="8"/>
        <v>1359</v>
      </c>
      <c r="N85" s="208">
        <f t="shared" si="8"/>
        <v>1439</v>
      </c>
      <c r="O85" s="208" t="s">
        <v>611</v>
      </c>
    </row>
    <row r="86" spans="1:15">
      <c r="A86" s="207">
        <v>20</v>
      </c>
      <c r="B86" s="145" t="s">
        <v>651</v>
      </c>
      <c r="C86" s="210" t="s">
        <v>652</v>
      </c>
      <c r="D86" s="145" t="s">
        <v>651</v>
      </c>
      <c r="E86" s="208">
        <f t="shared" ref="E86:N86" si="9">E$61</f>
        <v>450</v>
      </c>
      <c r="F86" s="208">
        <f t="shared" si="9"/>
        <v>755</v>
      </c>
      <c r="G86" s="208">
        <f t="shared" si="9"/>
        <v>909</v>
      </c>
      <c r="H86" s="208">
        <f t="shared" si="9"/>
        <v>1025</v>
      </c>
      <c r="I86" s="208">
        <f t="shared" si="9"/>
        <v>1062</v>
      </c>
      <c r="J86" s="208">
        <f t="shared" si="9"/>
        <v>1142</v>
      </c>
      <c r="K86" s="208">
        <f t="shared" si="9"/>
        <v>1222</v>
      </c>
      <c r="L86" s="208">
        <f t="shared" si="9"/>
        <v>1302</v>
      </c>
      <c r="M86" s="208">
        <f t="shared" si="9"/>
        <v>1382</v>
      </c>
      <c r="N86" s="208">
        <f t="shared" si="9"/>
        <v>1462</v>
      </c>
      <c r="O86" s="208" t="s">
        <v>625</v>
      </c>
    </row>
    <row r="87" spans="1:15">
      <c r="A87" s="207">
        <v>21</v>
      </c>
      <c r="B87" s="145" t="s">
        <v>653</v>
      </c>
      <c r="C87" s="210" t="s">
        <v>654</v>
      </c>
      <c r="D87" s="145" t="s">
        <v>653</v>
      </c>
      <c r="E87" s="208">
        <f t="shared" ref="E87:N87" si="10">E$63</f>
        <v>441</v>
      </c>
      <c r="F87" s="208">
        <f t="shared" si="10"/>
        <v>738</v>
      </c>
      <c r="G87" s="208">
        <f t="shared" si="10"/>
        <v>889</v>
      </c>
      <c r="H87" s="208">
        <f t="shared" si="10"/>
        <v>1003</v>
      </c>
      <c r="I87" s="208">
        <f t="shared" si="10"/>
        <v>1039</v>
      </c>
      <c r="J87" s="208">
        <f t="shared" si="10"/>
        <v>1119</v>
      </c>
      <c r="K87" s="208">
        <f t="shared" si="10"/>
        <v>1199</v>
      </c>
      <c r="L87" s="208">
        <f t="shared" si="10"/>
        <v>1279</v>
      </c>
      <c r="M87" s="208">
        <f t="shared" si="10"/>
        <v>1359</v>
      </c>
      <c r="N87" s="208">
        <f t="shared" si="10"/>
        <v>1439</v>
      </c>
      <c r="O87" s="208" t="s">
        <v>611</v>
      </c>
    </row>
    <row r="88" spans="1:15">
      <c r="A88" s="207">
        <v>22</v>
      </c>
      <c r="B88" s="145" t="s">
        <v>655</v>
      </c>
      <c r="C88" s="210" t="s">
        <v>656</v>
      </c>
      <c r="D88" s="145" t="s">
        <v>655</v>
      </c>
      <c r="E88" s="208">
        <f t="shared" ref="E88:N88" si="11">E$61</f>
        <v>450</v>
      </c>
      <c r="F88" s="208">
        <f t="shared" si="11"/>
        <v>755</v>
      </c>
      <c r="G88" s="208">
        <f t="shared" si="11"/>
        <v>909</v>
      </c>
      <c r="H88" s="208">
        <f t="shared" si="11"/>
        <v>1025</v>
      </c>
      <c r="I88" s="208">
        <f t="shared" si="11"/>
        <v>1062</v>
      </c>
      <c r="J88" s="208">
        <f t="shared" si="11"/>
        <v>1142</v>
      </c>
      <c r="K88" s="208">
        <f t="shared" si="11"/>
        <v>1222</v>
      </c>
      <c r="L88" s="208">
        <f t="shared" si="11"/>
        <v>1302</v>
      </c>
      <c r="M88" s="208">
        <f t="shared" si="11"/>
        <v>1382</v>
      </c>
      <c r="N88" s="208">
        <f t="shared" si="11"/>
        <v>1462</v>
      </c>
      <c r="O88" s="208" t="s">
        <v>625</v>
      </c>
    </row>
    <row r="89" spans="1:15">
      <c r="A89" s="207">
        <v>23</v>
      </c>
      <c r="B89" s="145" t="s">
        <v>657</v>
      </c>
      <c r="C89" s="210" t="s">
        <v>658</v>
      </c>
      <c r="D89" s="145" t="s">
        <v>657</v>
      </c>
      <c r="E89" s="208">
        <f t="shared" ref="E89:N90" si="12">E$62</f>
        <v>441</v>
      </c>
      <c r="F89" s="208">
        <f t="shared" si="12"/>
        <v>738</v>
      </c>
      <c r="G89" s="208">
        <f t="shared" si="12"/>
        <v>889</v>
      </c>
      <c r="H89" s="208">
        <f t="shared" si="12"/>
        <v>1003</v>
      </c>
      <c r="I89" s="208">
        <f t="shared" si="12"/>
        <v>1039</v>
      </c>
      <c r="J89" s="208">
        <f t="shared" si="12"/>
        <v>1119</v>
      </c>
      <c r="K89" s="208">
        <f t="shared" si="12"/>
        <v>1199</v>
      </c>
      <c r="L89" s="208">
        <f t="shared" si="12"/>
        <v>1279</v>
      </c>
      <c r="M89" s="208">
        <f t="shared" si="12"/>
        <v>1359</v>
      </c>
      <c r="N89" s="208">
        <f t="shared" si="12"/>
        <v>1439</v>
      </c>
      <c r="O89" s="208" t="s">
        <v>640</v>
      </c>
    </row>
    <row r="90" spans="1:15">
      <c r="A90" s="207">
        <v>24</v>
      </c>
      <c r="B90" s="145" t="s">
        <v>659</v>
      </c>
      <c r="C90" s="210" t="s">
        <v>660</v>
      </c>
      <c r="D90" s="145" t="s">
        <v>659</v>
      </c>
      <c r="E90" s="208">
        <f t="shared" si="12"/>
        <v>441</v>
      </c>
      <c r="F90" s="208">
        <f t="shared" si="12"/>
        <v>738</v>
      </c>
      <c r="G90" s="208">
        <f t="shared" si="12"/>
        <v>889</v>
      </c>
      <c r="H90" s="208">
        <f t="shared" si="12"/>
        <v>1003</v>
      </c>
      <c r="I90" s="208">
        <f t="shared" si="12"/>
        <v>1039</v>
      </c>
      <c r="J90" s="208">
        <f t="shared" si="12"/>
        <v>1119</v>
      </c>
      <c r="K90" s="208">
        <f t="shared" si="12"/>
        <v>1199</v>
      </c>
      <c r="L90" s="208">
        <f t="shared" si="12"/>
        <v>1279</v>
      </c>
      <c r="M90" s="208">
        <f t="shared" si="12"/>
        <v>1359</v>
      </c>
      <c r="N90" s="208">
        <f t="shared" si="12"/>
        <v>1439</v>
      </c>
      <c r="O90" s="208" t="s">
        <v>640</v>
      </c>
    </row>
    <row r="91" spans="1:15">
      <c r="A91" s="207">
        <v>25</v>
      </c>
      <c r="B91" s="145" t="s">
        <v>661</v>
      </c>
      <c r="C91" s="210" t="s">
        <v>662</v>
      </c>
      <c r="D91" s="145" t="s">
        <v>661</v>
      </c>
      <c r="E91" s="208">
        <f t="shared" ref="E91:N91" si="13">E$63</f>
        <v>441</v>
      </c>
      <c r="F91" s="208">
        <f t="shared" si="13"/>
        <v>738</v>
      </c>
      <c r="G91" s="208">
        <f t="shared" si="13"/>
        <v>889</v>
      </c>
      <c r="H91" s="208">
        <f t="shared" si="13"/>
        <v>1003</v>
      </c>
      <c r="I91" s="208">
        <f t="shared" si="13"/>
        <v>1039</v>
      </c>
      <c r="J91" s="208">
        <f t="shared" si="13"/>
        <v>1119</v>
      </c>
      <c r="K91" s="208">
        <f t="shared" si="13"/>
        <v>1199</v>
      </c>
      <c r="L91" s="208">
        <f t="shared" si="13"/>
        <v>1279</v>
      </c>
      <c r="M91" s="208">
        <f t="shared" si="13"/>
        <v>1359</v>
      </c>
      <c r="N91" s="208">
        <f t="shared" si="13"/>
        <v>1439</v>
      </c>
      <c r="O91" s="208" t="s">
        <v>611</v>
      </c>
    </row>
    <row r="92" spans="1:15">
      <c r="A92" s="207">
        <v>26</v>
      </c>
      <c r="B92" s="145" t="s">
        <v>663</v>
      </c>
      <c r="C92" s="210" t="s">
        <v>664</v>
      </c>
      <c r="D92" s="145" t="s">
        <v>663</v>
      </c>
      <c r="E92" s="208">
        <f t="shared" ref="E92:N92" si="14">E$62</f>
        <v>441</v>
      </c>
      <c r="F92" s="208">
        <f t="shared" si="14"/>
        <v>738</v>
      </c>
      <c r="G92" s="208">
        <f t="shared" si="14"/>
        <v>889</v>
      </c>
      <c r="H92" s="208">
        <f t="shared" si="14"/>
        <v>1003</v>
      </c>
      <c r="I92" s="208">
        <f t="shared" si="14"/>
        <v>1039</v>
      </c>
      <c r="J92" s="208">
        <f t="shared" si="14"/>
        <v>1119</v>
      </c>
      <c r="K92" s="208">
        <f t="shared" si="14"/>
        <v>1199</v>
      </c>
      <c r="L92" s="208">
        <f t="shared" si="14"/>
        <v>1279</v>
      </c>
      <c r="M92" s="208">
        <f t="shared" si="14"/>
        <v>1359</v>
      </c>
      <c r="N92" s="208">
        <f t="shared" si="14"/>
        <v>1439</v>
      </c>
      <c r="O92" s="208" t="s">
        <v>640</v>
      </c>
    </row>
    <row r="93" spans="1:15">
      <c r="A93" s="207">
        <v>27</v>
      </c>
      <c r="B93" s="145" t="s">
        <v>665</v>
      </c>
      <c r="C93" s="210" t="s">
        <v>666</v>
      </c>
      <c r="D93" s="145" t="s">
        <v>665</v>
      </c>
      <c r="E93" s="208">
        <f t="shared" ref="E93:N93" si="15">E$64</f>
        <v>491</v>
      </c>
      <c r="F93" s="208">
        <f t="shared" si="15"/>
        <v>823</v>
      </c>
      <c r="G93" s="208">
        <f t="shared" si="15"/>
        <v>990</v>
      </c>
      <c r="H93" s="208">
        <f t="shared" si="15"/>
        <v>1117</v>
      </c>
      <c r="I93" s="208">
        <f t="shared" si="15"/>
        <v>1158</v>
      </c>
      <c r="J93" s="208">
        <f t="shared" si="15"/>
        <v>1238</v>
      </c>
      <c r="K93" s="208">
        <f t="shared" si="15"/>
        <v>1318</v>
      </c>
      <c r="L93" s="208">
        <f t="shared" si="15"/>
        <v>1398</v>
      </c>
      <c r="M93" s="208">
        <f t="shared" si="15"/>
        <v>1478</v>
      </c>
      <c r="N93" s="208">
        <f t="shared" si="15"/>
        <v>1558</v>
      </c>
      <c r="O93" s="208" t="s">
        <v>614</v>
      </c>
    </row>
    <row r="94" spans="1:15">
      <c r="A94" s="207">
        <v>28</v>
      </c>
      <c r="B94" s="145" t="s">
        <v>667</v>
      </c>
      <c r="C94" s="210" t="s">
        <v>625</v>
      </c>
      <c r="D94" s="145" t="s">
        <v>667</v>
      </c>
      <c r="E94" s="208">
        <f t="shared" ref="E94:N94" si="16">E$62</f>
        <v>441</v>
      </c>
      <c r="F94" s="208">
        <f t="shared" si="16"/>
        <v>738</v>
      </c>
      <c r="G94" s="208">
        <f t="shared" si="16"/>
        <v>889</v>
      </c>
      <c r="H94" s="208">
        <f t="shared" si="16"/>
        <v>1003</v>
      </c>
      <c r="I94" s="208">
        <f t="shared" si="16"/>
        <v>1039</v>
      </c>
      <c r="J94" s="208">
        <f t="shared" si="16"/>
        <v>1119</v>
      </c>
      <c r="K94" s="208">
        <f t="shared" si="16"/>
        <v>1199</v>
      </c>
      <c r="L94" s="208">
        <f t="shared" si="16"/>
        <v>1279</v>
      </c>
      <c r="M94" s="208">
        <f t="shared" si="16"/>
        <v>1359</v>
      </c>
      <c r="N94" s="208">
        <f t="shared" si="16"/>
        <v>1439</v>
      </c>
      <c r="O94" s="208" t="s">
        <v>640</v>
      </c>
    </row>
    <row r="95" spans="1:15">
      <c r="A95" s="207">
        <v>29</v>
      </c>
      <c r="B95" s="145" t="s">
        <v>668</v>
      </c>
      <c r="C95" s="210" t="s">
        <v>669</v>
      </c>
      <c r="D95" s="145" t="s">
        <v>668</v>
      </c>
      <c r="E95" s="208">
        <f t="shared" ref="E95:N95" si="17">E$64</f>
        <v>491</v>
      </c>
      <c r="F95" s="208">
        <f t="shared" si="17"/>
        <v>823</v>
      </c>
      <c r="G95" s="208">
        <f t="shared" si="17"/>
        <v>990</v>
      </c>
      <c r="H95" s="208">
        <f t="shared" si="17"/>
        <v>1117</v>
      </c>
      <c r="I95" s="208">
        <f t="shared" si="17"/>
        <v>1158</v>
      </c>
      <c r="J95" s="208">
        <f t="shared" si="17"/>
        <v>1238</v>
      </c>
      <c r="K95" s="208">
        <f t="shared" si="17"/>
        <v>1318</v>
      </c>
      <c r="L95" s="208">
        <f t="shared" si="17"/>
        <v>1398</v>
      </c>
      <c r="M95" s="208">
        <f t="shared" si="17"/>
        <v>1478</v>
      </c>
      <c r="N95" s="208">
        <f t="shared" si="17"/>
        <v>1558</v>
      </c>
      <c r="O95" s="208" t="s">
        <v>614</v>
      </c>
    </row>
    <row r="96" spans="1:15">
      <c r="A96" s="207">
        <v>30</v>
      </c>
      <c r="B96" s="145" t="s">
        <v>670</v>
      </c>
      <c r="C96" s="210" t="s">
        <v>671</v>
      </c>
      <c r="D96" s="145" t="s">
        <v>670</v>
      </c>
      <c r="E96" s="208">
        <f t="shared" ref="E96:N97" si="18">E$61</f>
        <v>450</v>
      </c>
      <c r="F96" s="208">
        <f t="shared" si="18"/>
        <v>755</v>
      </c>
      <c r="G96" s="208">
        <f t="shared" si="18"/>
        <v>909</v>
      </c>
      <c r="H96" s="208">
        <f t="shared" si="18"/>
        <v>1025</v>
      </c>
      <c r="I96" s="208">
        <f t="shared" si="18"/>
        <v>1062</v>
      </c>
      <c r="J96" s="208">
        <f t="shared" si="18"/>
        <v>1142</v>
      </c>
      <c r="K96" s="208">
        <f t="shared" si="18"/>
        <v>1222</v>
      </c>
      <c r="L96" s="208">
        <f t="shared" si="18"/>
        <v>1302</v>
      </c>
      <c r="M96" s="208">
        <f t="shared" si="18"/>
        <v>1382</v>
      </c>
      <c r="N96" s="208">
        <f t="shared" si="18"/>
        <v>1462</v>
      </c>
      <c r="O96" s="208" t="s">
        <v>625</v>
      </c>
    </row>
    <row r="97" spans="1:15">
      <c r="A97" s="207">
        <v>31</v>
      </c>
      <c r="B97" s="145" t="s">
        <v>672</v>
      </c>
      <c r="C97" s="210" t="s">
        <v>673</v>
      </c>
      <c r="D97" s="145" t="s">
        <v>672</v>
      </c>
      <c r="E97" s="208">
        <f t="shared" si="18"/>
        <v>450</v>
      </c>
      <c r="F97" s="208">
        <f t="shared" si="18"/>
        <v>755</v>
      </c>
      <c r="G97" s="208">
        <f t="shared" si="18"/>
        <v>909</v>
      </c>
      <c r="H97" s="208">
        <f t="shared" si="18"/>
        <v>1025</v>
      </c>
      <c r="I97" s="208">
        <f t="shared" si="18"/>
        <v>1062</v>
      </c>
      <c r="J97" s="208">
        <f t="shared" si="18"/>
        <v>1142</v>
      </c>
      <c r="K97" s="208">
        <f t="shared" si="18"/>
        <v>1222</v>
      </c>
      <c r="L97" s="208">
        <f t="shared" si="18"/>
        <v>1302</v>
      </c>
      <c r="M97" s="208">
        <f t="shared" si="18"/>
        <v>1382</v>
      </c>
      <c r="N97" s="208">
        <f t="shared" si="18"/>
        <v>1462</v>
      </c>
      <c r="O97" s="208" t="s">
        <v>625</v>
      </c>
    </row>
    <row r="98" spans="1:15">
      <c r="A98" s="207">
        <v>32</v>
      </c>
      <c r="B98" s="145" t="s">
        <v>674</v>
      </c>
      <c r="C98" s="210" t="s">
        <v>675</v>
      </c>
      <c r="D98" s="145" t="s">
        <v>674</v>
      </c>
      <c r="E98" s="208">
        <f t="shared" ref="E98:N98" si="19">E$64</f>
        <v>491</v>
      </c>
      <c r="F98" s="208">
        <f t="shared" si="19"/>
        <v>823</v>
      </c>
      <c r="G98" s="208">
        <f t="shared" si="19"/>
        <v>990</v>
      </c>
      <c r="H98" s="208">
        <f t="shared" si="19"/>
        <v>1117</v>
      </c>
      <c r="I98" s="208">
        <f t="shared" si="19"/>
        <v>1158</v>
      </c>
      <c r="J98" s="208">
        <f t="shared" si="19"/>
        <v>1238</v>
      </c>
      <c r="K98" s="208">
        <f t="shared" si="19"/>
        <v>1318</v>
      </c>
      <c r="L98" s="208">
        <f t="shared" si="19"/>
        <v>1398</v>
      </c>
      <c r="M98" s="208">
        <f t="shared" si="19"/>
        <v>1478</v>
      </c>
      <c r="N98" s="208">
        <f t="shared" si="19"/>
        <v>1558</v>
      </c>
      <c r="O98" s="208" t="s">
        <v>614</v>
      </c>
    </row>
    <row r="99" spans="1:15">
      <c r="A99" s="207">
        <v>33</v>
      </c>
      <c r="B99" s="145" t="s">
        <v>676</v>
      </c>
      <c r="C99" s="210" t="s">
        <v>677</v>
      </c>
      <c r="D99" s="145" t="s">
        <v>676</v>
      </c>
      <c r="E99" s="208">
        <f t="shared" ref="E99:N99" si="20">E$61</f>
        <v>450</v>
      </c>
      <c r="F99" s="208">
        <f t="shared" si="20"/>
        <v>755</v>
      </c>
      <c r="G99" s="208">
        <f t="shared" si="20"/>
        <v>909</v>
      </c>
      <c r="H99" s="208">
        <f t="shared" si="20"/>
        <v>1025</v>
      </c>
      <c r="I99" s="208">
        <f t="shared" si="20"/>
        <v>1062</v>
      </c>
      <c r="J99" s="208">
        <f t="shared" si="20"/>
        <v>1142</v>
      </c>
      <c r="K99" s="208">
        <f t="shared" si="20"/>
        <v>1222</v>
      </c>
      <c r="L99" s="208">
        <f t="shared" si="20"/>
        <v>1302</v>
      </c>
      <c r="M99" s="208">
        <f t="shared" si="20"/>
        <v>1382</v>
      </c>
      <c r="N99" s="208">
        <f t="shared" si="20"/>
        <v>1462</v>
      </c>
      <c r="O99" s="208" t="s">
        <v>625</v>
      </c>
    </row>
    <row r="100" spans="1:15">
      <c r="A100" s="207">
        <v>34</v>
      </c>
      <c r="B100" s="145" t="s">
        <v>678</v>
      </c>
      <c r="C100" s="210" t="s">
        <v>679</v>
      </c>
      <c r="D100" s="145" t="s">
        <v>678</v>
      </c>
      <c r="E100" s="208">
        <f t="shared" ref="E100:N100" si="21">E$63</f>
        <v>441</v>
      </c>
      <c r="F100" s="208">
        <f t="shared" si="21"/>
        <v>738</v>
      </c>
      <c r="G100" s="208">
        <f t="shared" si="21"/>
        <v>889</v>
      </c>
      <c r="H100" s="208">
        <f t="shared" si="21"/>
        <v>1003</v>
      </c>
      <c r="I100" s="208">
        <f t="shared" si="21"/>
        <v>1039</v>
      </c>
      <c r="J100" s="208">
        <f t="shared" si="21"/>
        <v>1119</v>
      </c>
      <c r="K100" s="208">
        <f t="shared" si="21"/>
        <v>1199</v>
      </c>
      <c r="L100" s="208">
        <f t="shared" si="21"/>
        <v>1279</v>
      </c>
      <c r="M100" s="208">
        <f t="shared" si="21"/>
        <v>1359</v>
      </c>
      <c r="N100" s="208">
        <f t="shared" si="21"/>
        <v>1439</v>
      </c>
      <c r="O100" s="208" t="s">
        <v>611</v>
      </c>
    </row>
    <row r="101" spans="1:15">
      <c r="A101" s="207">
        <v>35</v>
      </c>
      <c r="B101" s="145" t="s">
        <v>680</v>
      </c>
      <c r="C101" s="210" t="s">
        <v>681</v>
      </c>
      <c r="D101" s="145" t="s">
        <v>680</v>
      </c>
      <c r="E101" s="208">
        <f t="shared" ref="E101:N102" si="22">E$62</f>
        <v>441</v>
      </c>
      <c r="F101" s="208">
        <f t="shared" si="22"/>
        <v>738</v>
      </c>
      <c r="G101" s="208">
        <f t="shared" si="22"/>
        <v>889</v>
      </c>
      <c r="H101" s="208">
        <f t="shared" si="22"/>
        <v>1003</v>
      </c>
      <c r="I101" s="208">
        <f t="shared" si="22"/>
        <v>1039</v>
      </c>
      <c r="J101" s="208">
        <f t="shared" si="22"/>
        <v>1119</v>
      </c>
      <c r="K101" s="208">
        <f t="shared" si="22"/>
        <v>1199</v>
      </c>
      <c r="L101" s="208">
        <f t="shared" si="22"/>
        <v>1279</v>
      </c>
      <c r="M101" s="208">
        <f t="shared" si="22"/>
        <v>1359</v>
      </c>
      <c r="N101" s="208">
        <f t="shared" si="22"/>
        <v>1439</v>
      </c>
      <c r="O101" s="208" t="s">
        <v>640</v>
      </c>
    </row>
    <row r="102" spans="1:15">
      <c r="A102" s="207">
        <v>36</v>
      </c>
      <c r="B102" s="145" t="s">
        <v>682</v>
      </c>
      <c r="C102" s="210" t="s">
        <v>683</v>
      </c>
      <c r="D102" s="145" t="s">
        <v>682</v>
      </c>
      <c r="E102" s="208">
        <f t="shared" si="22"/>
        <v>441</v>
      </c>
      <c r="F102" s="208">
        <f t="shared" si="22"/>
        <v>738</v>
      </c>
      <c r="G102" s="208">
        <f t="shared" si="22"/>
        <v>889</v>
      </c>
      <c r="H102" s="208">
        <f t="shared" si="22"/>
        <v>1003</v>
      </c>
      <c r="I102" s="208">
        <f t="shared" si="22"/>
        <v>1039</v>
      </c>
      <c r="J102" s="208">
        <f t="shared" si="22"/>
        <v>1119</v>
      </c>
      <c r="K102" s="208">
        <f t="shared" si="22"/>
        <v>1199</v>
      </c>
      <c r="L102" s="208">
        <f t="shared" si="22"/>
        <v>1279</v>
      </c>
      <c r="M102" s="208">
        <f t="shared" si="22"/>
        <v>1359</v>
      </c>
      <c r="N102" s="208">
        <f t="shared" si="22"/>
        <v>1439</v>
      </c>
      <c r="O102" s="208" t="s">
        <v>640</v>
      </c>
    </row>
    <row r="103" spans="1:15">
      <c r="A103" s="207">
        <v>37</v>
      </c>
      <c r="B103" s="145" t="s">
        <v>684</v>
      </c>
      <c r="C103" s="210" t="s">
        <v>685</v>
      </c>
      <c r="D103" s="145" t="s">
        <v>684</v>
      </c>
      <c r="E103" s="208">
        <f t="shared" ref="E103:N103" si="23">E$63</f>
        <v>441</v>
      </c>
      <c r="F103" s="208">
        <f t="shared" si="23"/>
        <v>738</v>
      </c>
      <c r="G103" s="208">
        <f t="shared" si="23"/>
        <v>889</v>
      </c>
      <c r="H103" s="208">
        <f t="shared" si="23"/>
        <v>1003</v>
      </c>
      <c r="I103" s="208">
        <f t="shared" si="23"/>
        <v>1039</v>
      </c>
      <c r="J103" s="208">
        <f t="shared" si="23"/>
        <v>1119</v>
      </c>
      <c r="K103" s="208">
        <f t="shared" si="23"/>
        <v>1199</v>
      </c>
      <c r="L103" s="208">
        <f t="shared" si="23"/>
        <v>1279</v>
      </c>
      <c r="M103" s="208">
        <f t="shared" si="23"/>
        <v>1359</v>
      </c>
      <c r="N103" s="208">
        <f t="shared" si="23"/>
        <v>1439</v>
      </c>
      <c r="O103" s="208" t="s">
        <v>611</v>
      </c>
    </row>
    <row r="104" spans="1:15">
      <c r="A104" s="207">
        <v>38</v>
      </c>
      <c r="B104" s="145" t="s">
        <v>686</v>
      </c>
      <c r="C104" s="210" t="s">
        <v>687</v>
      </c>
      <c r="D104" s="145" t="s">
        <v>686</v>
      </c>
      <c r="E104" s="208">
        <f t="shared" ref="E104:N104" si="24">E$64</f>
        <v>491</v>
      </c>
      <c r="F104" s="208">
        <f t="shared" si="24"/>
        <v>823</v>
      </c>
      <c r="G104" s="208">
        <f t="shared" si="24"/>
        <v>990</v>
      </c>
      <c r="H104" s="208">
        <f t="shared" si="24"/>
        <v>1117</v>
      </c>
      <c r="I104" s="208">
        <f t="shared" si="24"/>
        <v>1158</v>
      </c>
      <c r="J104" s="208">
        <f t="shared" si="24"/>
        <v>1238</v>
      </c>
      <c r="K104" s="208">
        <f t="shared" si="24"/>
        <v>1318</v>
      </c>
      <c r="L104" s="208">
        <f t="shared" si="24"/>
        <v>1398</v>
      </c>
      <c r="M104" s="208">
        <f t="shared" si="24"/>
        <v>1478</v>
      </c>
      <c r="N104" s="208">
        <f t="shared" si="24"/>
        <v>1558</v>
      </c>
      <c r="O104" s="208" t="s">
        <v>614</v>
      </c>
    </row>
    <row r="105" spans="1:15">
      <c r="A105" s="207">
        <v>39</v>
      </c>
      <c r="B105" s="145" t="s">
        <v>688</v>
      </c>
      <c r="C105" s="210" t="s">
        <v>689</v>
      </c>
      <c r="D105" s="145" t="s">
        <v>688</v>
      </c>
      <c r="E105" s="208">
        <f t="shared" ref="E105:N105" si="25">E$61</f>
        <v>450</v>
      </c>
      <c r="F105" s="208">
        <f t="shared" si="25"/>
        <v>755</v>
      </c>
      <c r="G105" s="208">
        <f t="shared" si="25"/>
        <v>909</v>
      </c>
      <c r="H105" s="208">
        <f t="shared" si="25"/>
        <v>1025</v>
      </c>
      <c r="I105" s="208">
        <f t="shared" si="25"/>
        <v>1062</v>
      </c>
      <c r="J105" s="208">
        <f t="shared" si="25"/>
        <v>1142</v>
      </c>
      <c r="K105" s="208">
        <f t="shared" si="25"/>
        <v>1222</v>
      </c>
      <c r="L105" s="208">
        <f t="shared" si="25"/>
        <v>1302</v>
      </c>
      <c r="M105" s="208">
        <f t="shared" si="25"/>
        <v>1382</v>
      </c>
      <c r="N105" s="208">
        <f t="shared" si="25"/>
        <v>1462</v>
      </c>
      <c r="O105" s="208" t="s">
        <v>625</v>
      </c>
    </row>
    <row r="106" spans="1:15">
      <c r="A106" s="207">
        <v>40</v>
      </c>
      <c r="B106" s="145" t="s">
        <v>690</v>
      </c>
      <c r="C106" s="210" t="s">
        <v>691</v>
      </c>
      <c r="D106" s="145" t="s">
        <v>690</v>
      </c>
      <c r="E106" s="208">
        <f t="shared" ref="E106:N106" si="26">E$63</f>
        <v>441</v>
      </c>
      <c r="F106" s="208">
        <f t="shared" si="26"/>
        <v>738</v>
      </c>
      <c r="G106" s="208">
        <f t="shared" si="26"/>
        <v>889</v>
      </c>
      <c r="H106" s="208">
        <f t="shared" si="26"/>
        <v>1003</v>
      </c>
      <c r="I106" s="208">
        <f t="shared" si="26"/>
        <v>1039</v>
      </c>
      <c r="J106" s="208">
        <f t="shared" si="26"/>
        <v>1119</v>
      </c>
      <c r="K106" s="208">
        <f t="shared" si="26"/>
        <v>1199</v>
      </c>
      <c r="L106" s="208">
        <f t="shared" si="26"/>
        <v>1279</v>
      </c>
      <c r="M106" s="208">
        <f t="shared" si="26"/>
        <v>1359</v>
      </c>
      <c r="N106" s="208">
        <f t="shared" si="26"/>
        <v>1439</v>
      </c>
      <c r="O106" s="208" t="s">
        <v>611</v>
      </c>
    </row>
    <row r="107" spans="1:15">
      <c r="A107" s="207">
        <v>41</v>
      </c>
      <c r="B107" s="145" t="s">
        <v>692</v>
      </c>
      <c r="C107" s="210" t="s">
        <v>693</v>
      </c>
      <c r="D107" s="145" t="s">
        <v>692</v>
      </c>
      <c r="E107" s="208">
        <f t="shared" ref="E107:N107" si="27">E$61</f>
        <v>450</v>
      </c>
      <c r="F107" s="208">
        <f t="shared" si="27"/>
        <v>755</v>
      </c>
      <c r="G107" s="208">
        <f t="shared" si="27"/>
        <v>909</v>
      </c>
      <c r="H107" s="208">
        <f t="shared" si="27"/>
        <v>1025</v>
      </c>
      <c r="I107" s="208">
        <f t="shared" si="27"/>
        <v>1062</v>
      </c>
      <c r="J107" s="208">
        <f t="shared" si="27"/>
        <v>1142</v>
      </c>
      <c r="K107" s="208">
        <f t="shared" si="27"/>
        <v>1222</v>
      </c>
      <c r="L107" s="208">
        <f t="shared" si="27"/>
        <v>1302</v>
      </c>
      <c r="M107" s="208">
        <f t="shared" si="27"/>
        <v>1382</v>
      </c>
      <c r="N107" s="208">
        <f t="shared" si="27"/>
        <v>1462</v>
      </c>
      <c r="O107" s="208" t="s">
        <v>625</v>
      </c>
    </row>
    <row r="108" spans="1:15">
      <c r="A108" s="207">
        <v>42</v>
      </c>
      <c r="B108" s="145" t="s">
        <v>694</v>
      </c>
      <c r="C108" s="210" t="s">
        <v>695</v>
      </c>
      <c r="D108" s="145" t="s">
        <v>694</v>
      </c>
      <c r="E108" s="208">
        <f t="shared" ref="E108:N108" si="28">E$63</f>
        <v>441</v>
      </c>
      <c r="F108" s="208">
        <f t="shared" si="28"/>
        <v>738</v>
      </c>
      <c r="G108" s="208">
        <f t="shared" si="28"/>
        <v>889</v>
      </c>
      <c r="H108" s="208">
        <f t="shared" si="28"/>
        <v>1003</v>
      </c>
      <c r="I108" s="208">
        <f t="shared" si="28"/>
        <v>1039</v>
      </c>
      <c r="J108" s="208">
        <f t="shared" si="28"/>
        <v>1119</v>
      </c>
      <c r="K108" s="208">
        <f t="shared" si="28"/>
        <v>1199</v>
      </c>
      <c r="L108" s="208">
        <f t="shared" si="28"/>
        <v>1279</v>
      </c>
      <c r="M108" s="208">
        <f t="shared" si="28"/>
        <v>1359</v>
      </c>
      <c r="N108" s="208">
        <f t="shared" si="28"/>
        <v>1439</v>
      </c>
      <c r="O108" s="208" t="s">
        <v>611</v>
      </c>
    </row>
    <row r="109" spans="1:15">
      <c r="A109" s="207">
        <v>43</v>
      </c>
      <c r="B109" s="145" t="s">
        <v>696</v>
      </c>
      <c r="C109" s="210" t="s">
        <v>697</v>
      </c>
      <c r="D109" s="145" t="s">
        <v>696</v>
      </c>
      <c r="E109" s="208">
        <f t="shared" ref="E109:N109" si="29">E$62</f>
        <v>441</v>
      </c>
      <c r="F109" s="208">
        <f t="shared" si="29"/>
        <v>738</v>
      </c>
      <c r="G109" s="208">
        <f t="shared" si="29"/>
        <v>889</v>
      </c>
      <c r="H109" s="208">
        <f t="shared" si="29"/>
        <v>1003</v>
      </c>
      <c r="I109" s="208">
        <f t="shared" si="29"/>
        <v>1039</v>
      </c>
      <c r="J109" s="208">
        <f t="shared" si="29"/>
        <v>1119</v>
      </c>
      <c r="K109" s="208">
        <f t="shared" si="29"/>
        <v>1199</v>
      </c>
      <c r="L109" s="208">
        <f t="shared" si="29"/>
        <v>1279</v>
      </c>
      <c r="M109" s="208">
        <f t="shared" si="29"/>
        <v>1359</v>
      </c>
      <c r="N109" s="208">
        <f t="shared" si="29"/>
        <v>1439</v>
      </c>
      <c r="O109" s="208" t="s">
        <v>640</v>
      </c>
    </row>
    <row r="110" spans="1:15">
      <c r="A110" s="207">
        <v>44</v>
      </c>
      <c r="B110" s="145" t="s">
        <v>698</v>
      </c>
      <c r="C110" s="210" t="s">
        <v>699</v>
      </c>
      <c r="D110" s="145" t="s">
        <v>698</v>
      </c>
      <c r="E110" s="208">
        <f t="shared" ref="E110:N111" si="30">E$63</f>
        <v>441</v>
      </c>
      <c r="F110" s="208">
        <f t="shared" si="30"/>
        <v>738</v>
      </c>
      <c r="G110" s="208">
        <f t="shared" si="30"/>
        <v>889</v>
      </c>
      <c r="H110" s="208">
        <f t="shared" si="30"/>
        <v>1003</v>
      </c>
      <c r="I110" s="208">
        <f t="shared" si="30"/>
        <v>1039</v>
      </c>
      <c r="J110" s="208">
        <f t="shared" si="30"/>
        <v>1119</v>
      </c>
      <c r="K110" s="208">
        <f t="shared" si="30"/>
        <v>1199</v>
      </c>
      <c r="L110" s="208">
        <f t="shared" si="30"/>
        <v>1279</v>
      </c>
      <c r="M110" s="208">
        <f t="shared" si="30"/>
        <v>1359</v>
      </c>
      <c r="N110" s="208">
        <f t="shared" si="30"/>
        <v>1439</v>
      </c>
      <c r="O110" s="208" t="s">
        <v>611</v>
      </c>
    </row>
    <row r="111" spans="1:15">
      <c r="A111" s="207">
        <v>45</v>
      </c>
      <c r="B111" s="145" t="s">
        <v>700</v>
      </c>
      <c r="C111" s="210" t="s">
        <v>701</v>
      </c>
      <c r="D111" s="145" t="s">
        <v>700</v>
      </c>
      <c r="E111" s="208">
        <f t="shared" si="30"/>
        <v>441</v>
      </c>
      <c r="F111" s="208">
        <f t="shared" si="30"/>
        <v>738</v>
      </c>
      <c r="G111" s="208">
        <f t="shared" si="30"/>
        <v>889</v>
      </c>
      <c r="H111" s="208">
        <f t="shared" si="30"/>
        <v>1003</v>
      </c>
      <c r="I111" s="208">
        <f t="shared" si="30"/>
        <v>1039</v>
      </c>
      <c r="J111" s="208">
        <f t="shared" si="30"/>
        <v>1119</v>
      </c>
      <c r="K111" s="208">
        <f t="shared" si="30"/>
        <v>1199</v>
      </c>
      <c r="L111" s="208">
        <f t="shared" si="30"/>
        <v>1279</v>
      </c>
      <c r="M111" s="208">
        <f t="shared" si="30"/>
        <v>1359</v>
      </c>
      <c r="N111" s="208">
        <f t="shared" si="30"/>
        <v>1439</v>
      </c>
      <c r="O111" s="208" t="s">
        <v>611</v>
      </c>
    </row>
    <row r="112" spans="1:15">
      <c r="A112" s="207">
        <v>46</v>
      </c>
      <c r="B112" s="145" t="s">
        <v>702</v>
      </c>
      <c r="C112" s="210" t="s">
        <v>703</v>
      </c>
      <c r="D112" s="145" t="s">
        <v>702</v>
      </c>
      <c r="E112" s="208">
        <f t="shared" ref="E112:N112" si="31">E$64</f>
        <v>491</v>
      </c>
      <c r="F112" s="208">
        <f t="shared" si="31"/>
        <v>823</v>
      </c>
      <c r="G112" s="208">
        <f t="shared" si="31"/>
        <v>990</v>
      </c>
      <c r="H112" s="208">
        <f t="shared" si="31"/>
        <v>1117</v>
      </c>
      <c r="I112" s="208">
        <f t="shared" si="31"/>
        <v>1158</v>
      </c>
      <c r="J112" s="208">
        <f t="shared" si="31"/>
        <v>1238</v>
      </c>
      <c r="K112" s="208">
        <f t="shared" si="31"/>
        <v>1318</v>
      </c>
      <c r="L112" s="208">
        <f t="shared" si="31"/>
        <v>1398</v>
      </c>
      <c r="M112" s="208">
        <f t="shared" si="31"/>
        <v>1478</v>
      </c>
      <c r="N112" s="208">
        <f t="shared" si="31"/>
        <v>1558</v>
      </c>
      <c r="O112" s="208" t="s">
        <v>614</v>
      </c>
    </row>
    <row r="113" spans="1:15">
      <c r="A113" s="207">
        <v>47</v>
      </c>
      <c r="B113" s="145" t="s">
        <v>704</v>
      </c>
      <c r="C113" s="210" t="s">
        <v>705</v>
      </c>
      <c r="D113" s="145" t="s">
        <v>704</v>
      </c>
      <c r="E113" s="208">
        <f t="shared" ref="E113:N113" si="32">E$61</f>
        <v>450</v>
      </c>
      <c r="F113" s="208">
        <f t="shared" si="32"/>
        <v>755</v>
      </c>
      <c r="G113" s="208">
        <f t="shared" si="32"/>
        <v>909</v>
      </c>
      <c r="H113" s="208">
        <f t="shared" si="32"/>
        <v>1025</v>
      </c>
      <c r="I113" s="208">
        <f t="shared" si="32"/>
        <v>1062</v>
      </c>
      <c r="J113" s="208">
        <f t="shared" si="32"/>
        <v>1142</v>
      </c>
      <c r="K113" s="208">
        <f t="shared" si="32"/>
        <v>1222</v>
      </c>
      <c r="L113" s="208">
        <f t="shared" si="32"/>
        <v>1302</v>
      </c>
      <c r="M113" s="208">
        <f t="shared" si="32"/>
        <v>1382</v>
      </c>
      <c r="N113" s="208">
        <f t="shared" si="32"/>
        <v>1462</v>
      </c>
      <c r="O113" s="208" t="s">
        <v>625</v>
      </c>
    </row>
    <row r="114" spans="1:15">
      <c r="A114" s="207">
        <v>48</v>
      </c>
      <c r="B114" s="145" t="s">
        <v>706</v>
      </c>
      <c r="C114" s="210" t="s">
        <v>707</v>
      </c>
      <c r="D114" s="145" t="s">
        <v>706</v>
      </c>
      <c r="E114" s="208">
        <f t="shared" ref="E114:N114" si="33">E$63</f>
        <v>441</v>
      </c>
      <c r="F114" s="208">
        <f t="shared" si="33"/>
        <v>738</v>
      </c>
      <c r="G114" s="208">
        <f t="shared" si="33"/>
        <v>889</v>
      </c>
      <c r="H114" s="208">
        <f t="shared" si="33"/>
        <v>1003</v>
      </c>
      <c r="I114" s="208">
        <f t="shared" si="33"/>
        <v>1039</v>
      </c>
      <c r="J114" s="208">
        <f t="shared" si="33"/>
        <v>1119</v>
      </c>
      <c r="K114" s="208">
        <f t="shared" si="33"/>
        <v>1199</v>
      </c>
      <c r="L114" s="208">
        <f t="shared" si="33"/>
        <v>1279</v>
      </c>
      <c r="M114" s="208">
        <f t="shared" si="33"/>
        <v>1359</v>
      </c>
      <c r="N114" s="208">
        <f t="shared" si="33"/>
        <v>1439</v>
      </c>
      <c r="O114" s="208" t="s">
        <v>611</v>
      </c>
    </row>
    <row r="115" spans="1:15">
      <c r="A115" s="207">
        <v>49</v>
      </c>
      <c r="B115" s="145" t="s">
        <v>708</v>
      </c>
      <c r="C115" s="210" t="s">
        <v>709</v>
      </c>
      <c r="D115" s="145" t="s">
        <v>708</v>
      </c>
      <c r="E115" s="208">
        <f t="shared" ref="E115:N115" si="34">E$64</f>
        <v>491</v>
      </c>
      <c r="F115" s="208">
        <f t="shared" si="34"/>
        <v>823</v>
      </c>
      <c r="G115" s="208">
        <f t="shared" si="34"/>
        <v>990</v>
      </c>
      <c r="H115" s="208">
        <f t="shared" si="34"/>
        <v>1117</v>
      </c>
      <c r="I115" s="208">
        <f t="shared" si="34"/>
        <v>1158</v>
      </c>
      <c r="J115" s="208">
        <f t="shared" si="34"/>
        <v>1238</v>
      </c>
      <c r="K115" s="208">
        <f t="shared" si="34"/>
        <v>1318</v>
      </c>
      <c r="L115" s="208">
        <f t="shared" si="34"/>
        <v>1398</v>
      </c>
      <c r="M115" s="208">
        <f t="shared" si="34"/>
        <v>1478</v>
      </c>
      <c r="N115" s="208">
        <f t="shared" si="34"/>
        <v>1558</v>
      </c>
      <c r="O115" s="208" t="s">
        <v>614</v>
      </c>
    </row>
    <row r="116" spans="1:15">
      <c r="A116" s="207">
        <v>50</v>
      </c>
      <c r="B116" s="145" t="s">
        <v>710</v>
      </c>
      <c r="C116" s="210" t="s">
        <v>711</v>
      </c>
      <c r="D116" s="145" t="s">
        <v>710</v>
      </c>
      <c r="E116" s="208">
        <f t="shared" ref="E116:N116" si="35">E$63</f>
        <v>441</v>
      </c>
      <c r="F116" s="208">
        <f t="shared" si="35"/>
        <v>738</v>
      </c>
      <c r="G116" s="208">
        <f t="shared" si="35"/>
        <v>889</v>
      </c>
      <c r="H116" s="208">
        <f t="shared" si="35"/>
        <v>1003</v>
      </c>
      <c r="I116" s="208">
        <f t="shared" si="35"/>
        <v>1039</v>
      </c>
      <c r="J116" s="208">
        <f t="shared" si="35"/>
        <v>1119</v>
      </c>
      <c r="K116" s="208">
        <f t="shared" si="35"/>
        <v>1199</v>
      </c>
      <c r="L116" s="208">
        <f t="shared" si="35"/>
        <v>1279</v>
      </c>
      <c r="M116" s="208">
        <f t="shared" si="35"/>
        <v>1359</v>
      </c>
      <c r="N116" s="208">
        <f t="shared" si="35"/>
        <v>1439</v>
      </c>
      <c r="O116" s="208" t="s">
        <v>611</v>
      </c>
    </row>
    <row r="117" spans="1:15">
      <c r="A117" s="207">
        <v>51</v>
      </c>
      <c r="B117" s="145" t="s">
        <v>712</v>
      </c>
      <c r="C117" s="210" t="s">
        <v>713</v>
      </c>
      <c r="D117" s="145" t="s">
        <v>712</v>
      </c>
      <c r="E117" s="208">
        <f t="shared" ref="E117:N117" si="36">E$62</f>
        <v>441</v>
      </c>
      <c r="F117" s="208">
        <f t="shared" si="36"/>
        <v>738</v>
      </c>
      <c r="G117" s="208">
        <f t="shared" si="36"/>
        <v>889</v>
      </c>
      <c r="H117" s="208">
        <f t="shared" si="36"/>
        <v>1003</v>
      </c>
      <c r="I117" s="208">
        <f t="shared" si="36"/>
        <v>1039</v>
      </c>
      <c r="J117" s="208">
        <f t="shared" si="36"/>
        <v>1119</v>
      </c>
      <c r="K117" s="208">
        <f t="shared" si="36"/>
        <v>1199</v>
      </c>
      <c r="L117" s="208">
        <f t="shared" si="36"/>
        <v>1279</v>
      </c>
      <c r="M117" s="208">
        <f t="shared" si="36"/>
        <v>1359</v>
      </c>
      <c r="N117" s="208">
        <f t="shared" si="36"/>
        <v>1439</v>
      </c>
      <c r="O117" s="208" t="s">
        <v>640</v>
      </c>
    </row>
    <row r="118" spans="1:15">
      <c r="A118" s="207">
        <v>52</v>
      </c>
      <c r="B118" s="145" t="s">
        <v>714</v>
      </c>
      <c r="C118" s="210" t="s">
        <v>715</v>
      </c>
      <c r="D118" s="145" t="s">
        <v>714</v>
      </c>
      <c r="E118" s="208">
        <f t="shared" ref="E118:N118" si="37">E$64</f>
        <v>491</v>
      </c>
      <c r="F118" s="208">
        <f t="shared" si="37"/>
        <v>823</v>
      </c>
      <c r="G118" s="208">
        <f t="shared" si="37"/>
        <v>990</v>
      </c>
      <c r="H118" s="208">
        <f t="shared" si="37"/>
        <v>1117</v>
      </c>
      <c r="I118" s="208">
        <f t="shared" si="37"/>
        <v>1158</v>
      </c>
      <c r="J118" s="208">
        <f t="shared" si="37"/>
        <v>1238</v>
      </c>
      <c r="K118" s="208">
        <f t="shared" si="37"/>
        <v>1318</v>
      </c>
      <c r="L118" s="208">
        <f t="shared" si="37"/>
        <v>1398</v>
      </c>
      <c r="M118" s="208">
        <f t="shared" si="37"/>
        <v>1478</v>
      </c>
      <c r="N118" s="208">
        <f t="shared" si="37"/>
        <v>1558</v>
      </c>
      <c r="O118" s="208" t="s">
        <v>614</v>
      </c>
    </row>
    <row r="120" spans="1:15">
      <c r="B120" s="328" t="s">
        <v>716</v>
      </c>
      <c r="C120" s="328"/>
      <c r="D120" s="328"/>
      <c r="E120" s="328"/>
      <c r="F120" s="328"/>
      <c r="G120" s="328"/>
      <c r="H120" s="328"/>
      <c r="I120" s="328"/>
      <c r="J120" s="328"/>
      <c r="K120" s="328"/>
      <c r="L120" s="328"/>
      <c r="M120" s="328"/>
      <c r="N120" s="328"/>
    </row>
    <row r="122" spans="1:15" ht="24.75" customHeight="1">
      <c r="B122" s="203" t="s">
        <v>601</v>
      </c>
      <c r="C122" s="204" t="s">
        <v>602</v>
      </c>
      <c r="D122" s="203" t="s">
        <v>601</v>
      </c>
      <c r="E122" s="211" t="s">
        <v>550</v>
      </c>
      <c r="F122" s="211" t="s">
        <v>551</v>
      </c>
      <c r="G122" s="211" t="s">
        <v>552</v>
      </c>
      <c r="H122" s="211" t="s">
        <v>553</v>
      </c>
      <c r="I122" s="211" t="s">
        <v>554</v>
      </c>
      <c r="J122" s="211" t="s">
        <v>555</v>
      </c>
      <c r="K122" s="211" t="s">
        <v>556</v>
      </c>
      <c r="L122" s="211" t="s">
        <v>557</v>
      </c>
      <c r="M122" s="211" t="s">
        <v>558</v>
      </c>
      <c r="N122" s="211" t="s">
        <v>559</v>
      </c>
    </row>
    <row r="123" spans="1:15">
      <c r="B123" s="160" t="s">
        <v>603</v>
      </c>
      <c r="C123" s="205"/>
      <c r="D123" s="160" t="s">
        <v>603</v>
      </c>
      <c r="E123" s="208">
        <v>390</v>
      </c>
      <c r="F123" s="208">
        <v>654</v>
      </c>
      <c r="G123" s="208">
        <v>788</v>
      </c>
      <c r="H123" s="208">
        <v>888</v>
      </c>
      <c r="I123" s="208">
        <v>921</v>
      </c>
      <c r="J123" s="208">
        <v>996</v>
      </c>
      <c r="K123" s="208">
        <v>1071</v>
      </c>
      <c r="L123" s="208">
        <v>1146</v>
      </c>
      <c r="M123" s="208">
        <v>1221</v>
      </c>
      <c r="N123" s="208">
        <v>1296</v>
      </c>
    </row>
    <row r="124" spans="1:15">
      <c r="B124" s="145" t="s">
        <v>604</v>
      </c>
      <c r="C124" s="207"/>
      <c r="D124" s="145" t="s">
        <v>604</v>
      </c>
      <c r="E124" s="208">
        <v>382</v>
      </c>
      <c r="F124" s="208">
        <v>641</v>
      </c>
      <c r="G124" s="208">
        <v>772</v>
      </c>
      <c r="H124" s="208">
        <v>868</v>
      </c>
      <c r="I124" s="208">
        <v>902</v>
      </c>
      <c r="J124" s="208">
        <v>977</v>
      </c>
      <c r="K124" s="208">
        <v>1052</v>
      </c>
      <c r="L124" s="208">
        <v>1127</v>
      </c>
      <c r="M124" s="208">
        <v>1202</v>
      </c>
      <c r="N124" s="208">
        <v>1277</v>
      </c>
    </row>
    <row r="125" spans="1:15">
      <c r="B125" s="145" t="s">
        <v>605</v>
      </c>
      <c r="C125" s="207"/>
      <c r="D125" s="145" t="s">
        <v>605</v>
      </c>
      <c r="E125" s="208">
        <v>382</v>
      </c>
      <c r="F125" s="208">
        <v>641</v>
      </c>
      <c r="G125" s="208">
        <v>772</v>
      </c>
      <c r="H125" s="208">
        <v>868</v>
      </c>
      <c r="I125" s="208">
        <v>902</v>
      </c>
      <c r="J125" s="208">
        <v>977</v>
      </c>
      <c r="K125" s="208">
        <v>1052</v>
      </c>
      <c r="L125" s="208">
        <v>1127</v>
      </c>
      <c r="M125" s="208">
        <v>1202</v>
      </c>
      <c r="N125" s="208">
        <v>1277</v>
      </c>
    </row>
    <row r="126" spans="1:15">
      <c r="B126" s="145" t="s">
        <v>606</v>
      </c>
      <c r="C126" s="207"/>
      <c r="D126" s="145" t="s">
        <v>606</v>
      </c>
      <c r="E126" s="208">
        <v>425</v>
      </c>
      <c r="F126" s="208">
        <v>713</v>
      </c>
      <c r="G126" s="208">
        <v>859</v>
      </c>
      <c r="H126" s="208">
        <v>967</v>
      </c>
      <c r="I126" s="208">
        <v>1004</v>
      </c>
      <c r="J126" s="208">
        <v>1079</v>
      </c>
      <c r="K126" s="208">
        <v>1154</v>
      </c>
      <c r="L126" s="208">
        <v>1229</v>
      </c>
      <c r="M126" s="208">
        <v>1304</v>
      </c>
      <c r="N126" s="208">
        <v>1379</v>
      </c>
    </row>
    <row r="128" spans="1:15" ht="24.75" customHeight="1">
      <c r="B128" s="203" t="s">
        <v>607</v>
      </c>
      <c r="C128" s="204" t="s">
        <v>602</v>
      </c>
      <c r="D128" s="203" t="s">
        <v>607</v>
      </c>
      <c r="E128" s="204" t="s">
        <v>550</v>
      </c>
      <c r="F128" s="204" t="s">
        <v>551</v>
      </c>
      <c r="G128" s="204" t="s">
        <v>552</v>
      </c>
      <c r="H128" s="204" t="s">
        <v>553</v>
      </c>
      <c r="I128" s="204" t="s">
        <v>554</v>
      </c>
      <c r="J128" s="204" t="s">
        <v>555</v>
      </c>
      <c r="K128" s="204" t="s">
        <v>556</v>
      </c>
      <c r="L128" s="204" t="s">
        <v>557</v>
      </c>
      <c r="M128" s="204" t="s">
        <v>558</v>
      </c>
      <c r="N128" s="204" t="s">
        <v>559</v>
      </c>
      <c r="O128" s="204" t="s">
        <v>608</v>
      </c>
    </row>
    <row r="129" spans="2:15">
      <c r="B129" s="160" t="s">
        <v>609</v>
      </c>
      <c r="C129" s="209" t="s">
        <v>610</v>
      </c>
      <c r="D129" s="160" t="s">
        <v>609</v>
      </c>
      <c r="E129" s="206">
        <f>E$125</f>
        <v>382</v>
      </c>
      <c r="F129" s="206">
        <v>641</v>
      </c>
      <c r="G129" s="206">
        <v>772</v>
      </c>
      <c r="H129" s="206">
        <v>868</v>
      </c>
      <c r="I129" s="206">
        <v>902</v>
      </c>
      <c r="J129" s="206">
        <v>977</v>
      </c>
      <c r="K129" s="206">
        <v>1052</v>
      </c>
      <c r="L129" s="206">
        <v>1127</v>
      </c>
      <c r="M129" s="206">
        <v>1202</v>
      </c>
      <c r="N129" s="206">
        <v>1277</v>
      </c>
      <c r="O129" s="206" t="s">
        <v>611</v>
      </c>
    </row>
    <row r="130" spans="2:15">
      <c r="B130" s="145" t="s">
        <v>612</v>
      </c>
      <c r="C130" s="210" t="s">
        <v>613</v>
      </c>
      <c r="D130" s="145" t="s">
        <v>612</v>
      </c>
      <c r="E130" s="208">
        <f>E$126</f>
        <v>425</v>
      </c>
      <c r="F130" s="208">
        <v>713</v>
      </c>
      <c r="G130" s="208">
        <v>859</v>
      </c>
      <c r="H130" s="208">
        <v>967</v>
      </c>
      <c r="I130" s="208">
        <v>1004</v>
      </c>
      <c r="J130" s="208">
        <v>1079</v>
      </c>
      <c r="K130" s="208">
        <v>1154</v>
      </c>
      <c r="L130" s="208">
        <v>1229</v>
      </c>
      <c r="M130" s="208">
        <v>1304</v>
      </c>
      <c r="N130" s="208">
        <v>1379</v>
      </c>
      <c r="O130" s="208" t="s">
        <v>614</v>
      </c>
    </row>
    <row r="131" spans="2:15">
      <c r="B131" s="145" t="s">
        <v>615</v>
      </c>
      <c r="C131" s="210" t="s">
        <v>616</v>
      </c>
      <c r="D131" s="145" t="s">
        <v>615</v>
      </c>
      <c r="E131" s="208">
        <f>E$126</f>
        <v>425</v>
      </c>
      <c r="F131" s="208">
        <v>713</v>
      </c>
      <c r="G131" s="208">
        <v>859</v>
      </c>
      <c r="H131" s="208">
        <v>967</v>
      </c>
      <c r="I131" s="208">
        <v>1004</v>
      </c>
      <c r="J131" s="208">
        <v>1079</v>
      </c>
      <c r="K131" s="208">
        <v>1154</v>
      </c>
      <c r="L131" s="208">
        <v>1229</v>
      </c>
      <c r="M131" s="208">
        <v>1304</v>
      </c>
      <c r="N131" s="208">
        <v>1379</v>
      </c>
      <c r="O131" s="208" t="s">
        <v>614</v>
      </c>
    </row>
    <row r="132" spans="2:15">
      <c r="B132" s="145" t="s">
        <v>617</v>
      </c>
      <c r="C132" s="210" t="s">
        <v>618</v>
      </c>
      <c r="D132" s="145" t="s">
        <v>617</v>
      </c>
      <c r="E132" s="208">
        <f>E$125</f>
        <v>382</v>
      </c>
      <c r="F132" s="208">
        <v>641</v>
      </c>
      <c r="G132" s="208">
        <v>772</v>
      </c>
      <c r="H132" s="208">
        <v>868</v>
      </c>
      <c r="I132" s="208">
        <v>902</v>
      </c>
      <c r="J132" s="208">
        <v>977</v>
      </c>
      <c r="K132" s="208">
        <v>1052</v>
      </c>
      <c r="L132" s="208">
        <v>1127</v>
      </c>
      <c r="M132" s="208">
        <v>1202</v>
      </c>
      <c r="N132" s="208">
        <v>1277</v>
      </c>
      <c r="O132" s="208" t="s">
        <v>611</v>
      </c>
    </row>
    <row r="133" spans="2:15">
      <c r="B133" s="145" t="s">
        <v>619</v>
      </c>
      <c r="C133" s="210" t="s">
        <v>620</v>
      </c>
      <c r="D133" s="145" t="s">
        <v>619</v>
      </c>
      <c r="E133" s="208">
        <f>E$126</f>
        <v>425</v>
      </c>
      <c r="F133" s="208">
        <v>713</v>
      </c>
      <c r="G133" s="208">
        <v>859</v>
      </c>
      <c r="H133" s="208">
        <v>967</v>
      </c>
      <c r="I133" s="208">
        <v>1004</v>
      </c>
      <c r="J133" s="208">
        <v>1079</v>
      </c>
      <c r="K133" s="208">
        <v>1154</v>
      </c>
      <c r="L133" s="208">
        <v>1229</v>
      </c>
      <c r="M133" s="208">
        <v>1304</v>
      </c>
      <c r="N133" s="208">
        <v>1379</v>
      </c>
      <c r="O133" s="208" t="s">
        <v>614</v>
      </c>
    </row>
    <row r="134" spans="2:15">
      <c r="B134" s="145" t="s">
        <v>621</v>
      </c>
      <c r="C134" s="210" t="s">
        <v>622</v>
      </c>
      <c r="D134" s="145" t="s">
        <v>621</v>
      </c>
      <c r="E134" s="208">
        <f>E$126</f>
        <v>425</v>
      </c>
      <c r="F134" s="208">
        <v>713</v>
      </c>
      <c r="G134" s="208">
        <v>859</v>
      </c>
      <c r="H134" s="208">
        <v>967</v>
      </c>
      <c r="I134" s="208">
        <v>1004</v>
      </c>
      <c r="J134" s="208">
        <v>1079</v>
      </c>
      <c r="K134" s="208">
        <v>1154</v>
      </c>
      <c r="L134" s="208">
        <v>1229</v>
      </c>
      <c r="M134" s="208">
        <v>1304</v>
      </c>
      <c r="N134" s="208">
        <v>1379</v>
      </c>
      <c r="O134" s="208" t="s">
        <v>614</v>
      </c>
    </row>
    <row r="135" spans="2:15">
      <c r="B135" s="145" t="s">
        <v>623</v>
      </c>
      <c r="C135" s="210" t="s">
        <v>624</v>
      </c>
      <c r="D135" s="145" t="s">
        <v>623</v>
      </c>
      <c r="E135" s="208">
        <v>390</v>
      </c>
      <c r="F135" s="208">
        <v>654</v>
      </c>
      <c r="G135" s="208">
        <v>788</v>
      </c>
      <c r="H135" s="208">
        <v>888</v>
      </c>
      <c r="I135" s="208">
        <v>921</v>
      </c>
      <c r="J135" s="208">
        <v>996</v>
      </c>
      <c r="K135" s="208">
        <v>1071</v>
      </c>
      <c r="L135" s="208">
        <v>1146</v>
      </c>
      <c r="M135" s="208">
        <v>1221</v>
      </c>
      <c r="N135" s="208">
        <v>1296</v>
      </c>
      <c r="O135" s="208" t="s">
        <v>625</v>
      </c>
    </row>
    <row r="136" spans="2:15">
      <c r="B136" s="145" t="s">
        <v>626</v>
      </c>
      <c r="C136" s="210" t="s">
        <v>627</v>
      </c>
      <c r="D136" s="145" t="s">
        <v>626</v>
      </c>
      <c r="E136" s="208">
        <f>E$125</f>
        <v>382</v>
      </c>
      <c r="F136" s="208">
        <v>641</v>
      </c>
      <c r="G136" s="208">
        <v>772</v>
      </c>
      <c r="H136" s="208">
        <v>868</v>
      </c>
      <c r="I136" s="208">
        <v>902</v>
      </c>
      <c r="J136" s="208">
        <v>977</v>
      </c>
      <c r="K136" s="208">
        <v>1052</v>
      </c>
      <c r="L136" s="208">
        <v>1127</v>
      </c>
      <c r="M136" s="208">
        <v>1202</v>
      </c>
      <c r="N136" s="208">
        <v>1277</v>
      </c>
      <c r="O136" s="208" t="s">
        <v>611</v>
      </c>
    </row>
    <row r="137" spans="2:15">
      <c r="B137" s="145" t="s">
        <v>628</v>
      </c>
      <c r="C137" s="210" t="s">
        <v>629</v>
      </c>
      <c r="D137" s="145" t="s">
        <v>628</v>
      </c>
      <c r="E137" s="208">
        <f>E$125</f>
        <v>382</v>
      </c>
      <c r="F137" s="208">
        <v>641</v>
      </c>
      <c r="G137" s="208">
        <v>772</v>
      </c>
      <c r="H137" s="208">
        <v>868</v>
      </c>
      <c r="I137" s="208">
        <v>902</v>
      </c>
      <c r="J137" s="208">
        <v>977</v>
      </c>
      <c r="K137" s="208">
        <v>1052</v>
      </c>
      <c r="L137" s="208">
        <v>1127</v>
      </c>
      <c r="M137" s="208">
        <v>1202</v>
      </c>
      <c r="N137" s="208">
        <v>1277</v>
      </c>
      <c r="O137" s="208" t="s">
        <v>611</v>
      </c>
    </row>
    <row r="138" spans="2:15">
      <c r="B138" s="145" t="s">
        <v>630</v>
      </c>
      <c r="C138" s="210" t="s">
        <v>631</v>
      </c>
      <c r="D138" s="145" t="s">
        <v>630</v>
      </c>
      <c r="E138" s="208">
        <f>E$125</f>
        <v>382</v>
      </c>
      <c r="F138" s="208">
        <v>641</v>
      </c>
      <c r="G138" s="208">
        <v>772</v>
      </c>
      <c r="H138" s="208">
        <v>868</v>
      </c>
      <c r="I138" s="208">
        <v>902</v>
      </c>
      <c r="J138" s="208">
        <v>977</v>
      </c>
      <c r="K138" s="208">
        <v>1052</v>
      </c>
      <c r="L138" s="208">
        <v>1127</v>
      </c>
      <c r="M138" s="208">
        <v>1202</v>
      </c>
      <c r="N138" s="208">
        <v>1277</v>
      </c>
      <c r="O138" s="208" t="s">
        <v>611</v>
      </c>
    </row>
    <row r="139" spans="2:15">
      <c r="B139" s="145" t="s">
        <v>632</v>
      </c>
      <c r="C139" s="210" t="s">
        <v>633</v>
      </c>
      <c r="D139" s="145" t="s">
        <v>632</v>
      </c>
      <c r="E139" s="208">
        <f>E$125</f>
        <v>382</v>
      </c>
      <c r="F139" s="208">
        <v>641</v>
      </c>
      <c r="G139" s="208">
        <v>772</v>
      </c>
      <c r="H139" s="208">
        <v>868</v>
      </c>
      <c r="I139" s="208">
        <v>902</v>
      </c>
      <c r="J139" s="208">
        <v>977</v>
      </c>
      <c r="K139" s="208">
        <v>1052</v>
      </c>
      <c r="L139" s="208">
        <v>1127</v>
      </c>
      <c r="M139" s="208">
        <v>1202</v>
      </c>
      <c r="N139" s="208">
        <v>1277</v>
      </c>
      <c r="O139" s="208" t="s">
        <v>611</v>
      </c>
    </row>
    <row r="140" spans="2:15">
      <c r="B140" s="145" t="s">
        <v>634</v>
      </c>
      <c r="C140" s="210" t="s">
        <v>635</v>
      </c>
      <c r="D140" s="145" t="s">
        <v>634</v>
      </c>
      <c r="E140" s="208">
        <f>E$126</f>
        <v>425</v>
      </c>
      <c r="F140" s="208">
        <v>713</v>
      </c>
      <c r="G140" s="208">
        <v>859</v>
      </c>
      <c r="H140" s="208">
        <v>967</v>
      </c>
      <c r="I140" s="208">
        <v>1004</v>
      </c>
      <c r="J140" s="208">
        <v>1079</v>
      </c>
      <c r="K140" s="208">
        <v>1154</v>
      </c>
      <c r="L140" s="208">
        <v>1229</v>
      </c>
      <c r="M140" s="208">
        <v>1304</v>
      </c>
      <c r="N140" s="208">
        <v>1379</v>
      </c>
      <c r="O140" s="208" t="s">
        <v>614</v>
      </c>
    </row>
    <row r="141" spans="2:15">
      <c r="B141" s="145" t="s">
        <v>636</v>
      </c>
      <c r="C141" s="210" t="s">
        <v>637</v>
      </c>
      <c r="D141" s="145" t="s">
        <v>636</v>
      </c>
      <c r="E141" s="208">
        <f>E$126</f>
        <v>425</v>
      </c>
      <c r="F141" s="208">
        <v>713</v>
      </c>
      <c r="G141" s="208">
        <v>859</v>
      </c>
      <c r="H141" s="208">
        <v>967</v>
      </c>
      <c r="I141" s="208">
        <v>1004</v>
      </c>
      <c r="J141" s="208">
        <v>1079</v>
      </c>
      <c r="K141" s="208">
        <v>1154</v>
      </c>
      <c r="L141" s="208">
        <v>1229</v>
      </c>
      <c r="M141" s="208">
        <v>1304</v>
      </c>
      <c r="N141" s="208">
        <v>1379</v>
      </c>
      <c r="O141" s="208" t="s">
        <v>614</v>
      </c>
    </row>
    <row r="142" spans="2:15">
      <c r="B142" s="145" t="s">
        <v>638</v>
      </c>
      <c r="C142" s="210" t="s">
        <v>639</v>
      </c>
      <c r="D142" s="145" t="s">
        <v>638</v>
      </c>
      <c r="E142" s="208">
        <f>E$124</f>
        <v>382</v>
      </c>
      <c r="F142" s="208">
        <v>641</v>
      </c>
      <c r="G142" s="208">
        <v>772</v>
      </c>
      <c r="H142" s="208">
        <v>868</v>
      </c>
      <c r="I142" s="208">
        <v>902</v>
      </c>
      <c r="J142" s="208">
        <v>977</v>
      </c>
      <c r="K142" s="208">
        <v>1052</v>
      </c>
      <c r="L142" s="208">
        <v>1127</v>
      </c>
      <c r="M142" s="208">
        <v>1202</v>
      </c>
      <c r="N142" s="208">
        <v>1277</v>
      </c>
      <c r="O142" s="208" t="s">
        <v>640</v>
      </c>
    </row>
    <row r="143" spans="2:15">
      <c r="B143" s="145" t="s">
        <v>641</v>
      </c>
      <c r="C143" s="210" t="s">
        <v>642</v>
      </c>
      <c r="D143" s="145" t="s">
        <v>641</v>
      </c>
      <c r="E143" s="208">
        <f>E$124</f>
        <v>382</v>
      </c>
      <c r="F143" s="208">
        <v>641</v>
      </c>
      <c r="G143" s="208">
        <v>772</v>
      </c>
      <c r="H143" s="208">
        <v>868</v>
      </c>
      <c r="I143" s="208">
        <v>902</v>
      </c>
      <c r="J143" s="208">
        <v>977</v>
      </c>
      <c r="K143" s="208">
        <v>1052</v>
      </c>
      <c r="L143" s="208">
        <v>1127</v>
      </c>
      <c r="M143" s="208">
        <v>1202</v>
      </c>
      <c r="N143" s="208">
        <v>1277</v>
      </c>
      <c r="O143" s="208" t="s">
        <v>640</v>
      </c>
    </row>
    <row r="144" spans="2:15">
      <c r="B144" s="145" t="s">
        <v>643</v>
      </c>
      <c r="C144" s="210" t="s">
        <v>644</v>
      </c>
      <c r="D144" s="145" t="s">
        <v>643</v>
      </c>
      <c r="E144" s="208">
        <f>E$124</f>
        <v>382</v>
      </c>
      <c r="F144" s="208">
        <v>641</v>
      </c>
      <c r="G144" s="208">
        <v>772</v>
      </c>
      <c r="H144" s="208">
        <v>868</v>
      </c>
      <c r="I144" s="208">
        <v>902</v>
      </c>
      <c r="J144" s="208">
        <v>977</v>
      </c>
      <c r="K144" s="208">
        <v>1052</v>
      </c>
      <c r="L144" s="208">
        <v>1127</v>
      </c>
      <c r="M144" s="208">
        <v>1202</v>
      </c>
      <c r="N144" s="208">
        <v>1277</v>
      </c>
      <c r="O144" s="208" t="s">
        <v>640</v>
      </c>
    </row>
    <row r="145" spans="2:15">
      <c r="B145" s="145" t="s">
        <v>645</v>
      </c>
      <c r="C145" s="210" t="s">
        <v>646</v>
      </c>
      <c r="D145" s="145" t="s">
        <v>645</v>
      </c>
      <c r="E145" s="208">
        <f>E$124</f>
        <v>382</v>
      </c>
      <c r="F145" s="208">
        <v>641</v>
      </c>
      <c r="G145" s="208">
        <v>772</v>
      </c>
      <c r="H145" s="208">
        <v>868</v>
      </c>
      <c r="I145" s="208">
        <v>902</v>
      </c>
      <c r="J145" s="208">
        <v>977</v>
      </c>
      <c r="K145" s="208">
        <v>1052</v>
      </c>
      <c r="L145" s="208">
        <v>1127</v>
      </c>
      <c r="M145" s="208">
        <v>1202</v>
      </c>
      <c r="N145" s="208">
        <v>1277</v>
      </c>
      <c r="O145" s="208" t="s">
        <v>640</v>
      </c>
    </row>
    <row r="146" spans="2:15">
      <c r="B146" s="145" t="s">
        <v>647</v>
      </c>
      <c r="C146" s="210" t="s">
        <v>648</v>
      </c>
      <c r="D146" s="145" t="s">
        <v>647</v>
      </c>
      <c r="E146" s="208">
        <f>E$125</f>
        <v>382</v>
      </c>
      <c r="F146" s="208">
        <v>641</v>
      </c>
      <c r="G146" s="208">
        <v>772</v>
      </c>
      <c r="H146" s="208">
        <v>868</v>
      </c>
      <c r="I146" s="208">
        <v>902</v>
      </c>
      <c r="J146" s="208">
        <v>977</v>
      </c>
      <c r="K146" s="208">
        <v>1052</v>
      </c>
      <c r="L146" s="208">
        <v>1127</v>
      </c>
      <c r="M146" s="208">
        <v>1202</v>
      </c>
      <c r="N146" s="208">
        <v>1277</v>
      </c>
      <c r="O146" s="208" t="s">
        <v>611</v>
      </c>
    </row>
    <row r="147" spans="2:15">
      <c r="B147" s="145" t="s">
        <v>649</v>
      </c>
      <c r="C147" s="210" t="s">
        <v>650</v>
      </c>
      <c r="D147" s="145" t="s">
        <v>649</v>
      </c>
      <c r="E147" s="208">
        <f>E$125</f>
        <v>382</v>
      </c>
      <c r="F147" s="208">
        <v>641</v>
      </c>
      <c r="G147" s="208">
        <v>772</v>
      </c>
      <c r="H147" s="208">
        <v>868</v>
      </c>
      <c r="I147" s="208">
        <v>902</v>
      </c>
      <c r="J147" s="208">
        <v>977</v>
      </c>
      <c r="K147" s="208">
        <v>1052</v>
      </c>
      <c r="L147" s="208">
        <v>1127</v>
      </c>
      <c r="M147" s="208">
        <v>1202</v>
      </c>
      <c r="N147" s="208">
        <v>1277</v>
      </c>
      <c r="O147" s="208" t="s">
        <v>611</v>
      </c>
    </row>
    <row r="148" spans="2:15">
      <c r="B148" s="145" t="s">
        <v>651</v>
      </c>
      <c r="C148" s="210" t="s">
        <v>652</v>
      </c>
      <c r="D148" s="145" t="s">
        <v>651</v>
      </c>
      <c r="E148" s="208">
        <v>390</v>
      </c>
      <c r="F148" s="208">
        <v>654</v>
      </c>
      <c r="G148" s="208">
        <v>788</v>
      </c>
      <c r="H148" s="208">
        <v>888</v>
      </c>
      <c r="I148" s="208">
        <v>921</v>
      </c>
      <c r="J148" s="208">
        <v>996</v>
      </c>
      <c r="K148" s="208">
        <v>1071</v>
      </c>
      <c r="L148" s="208">
        <v>1146</v>
      </c>
      <c r="M148" s="208">
        <v>1221</v>
      </c>
      <c r="N148" s="208">
        <v>1296</v>
      </c>
      <c r="O148" s="208" t="s">
        <v>625</v>
      </c>
    </row>
    <row r="149" spans="2:15">
      <c r="B149" s="145" t="s">
        <v>653</v>
      </c>
      <c r="C149" s="210" t="s">
        <v>654</v>
      </c>
      <c r="D149" s="145" t="s">
        <v>653</v>
      </c>
      <c r="E149" s="208">
        <f>E$125</f>
        <v>382</v>
      </c>
      <c r="F149" s="208">
        <v>641</v>
      </c>
      <c r="G149" s="208">
        <v>772</v>
      </c>
      <c r="H149" s="208">
        <v>868</v>
      </c>
      <c r="I149" s="208">
        <v>902</v>
      </c>
      <c r="J149" s="208">
        <v>977</v>
      </c>
      <c r="K149" s="208">
        <v>1052</v>
      </c>
      <c r="L149" s="208">
        <v>1127</v>
      </c>
      <c r="M149" s="208">
        <v>1202</v>
      </c>
      <c r="N149" s="208">
        <v>1277</v>
      </c>
      <c r="O149" s="208" t="s">
        <v>611</v>
      </c>
    </row>
    <row r="150" spans="2:15">
      <c r="B150" s="145" t="s">
        <v>655</v>
      </c>
      <c r="C150" s="210" t="s">
        <v>656</v>
      </c>
      <c r="D150" s="145" t="s">
        <v>655</v>
      </c>
      <c r="E150" s="208">
        <v>390</v>
      </c>
      <c r="F150" s="208">
        <v>654</v>
      </c>
      <c r="G150" s="208">
        <v>788</v>
      </c>
      <c r="H150" s="208">
        <v>888</v>
      </c>
      <c r="I150" s="208">
        <v>921</v>
      </c>
      <c r="J150" s="208">
        <v>996</v>
      </c>
      <c r="K150" s="208">
        <v>1071</v>
      </c>
      <c r="L150" s="208">
        <v>1146</v>
      </c>
      <c r="M150" s="208">
        <v>1221</v>
      </c>
      <c r="N150" s="208">
        <v>1296</v>
      </c>
      <c r="O150" s="208" t="s">
        <v>625</v>
      </c>
    </row>
    <row r="151" spans="2:15">
      <c r="B151" s="145" t="s">
        <v>657</v>
      </c>
      <c r="C151" s="210" t="s">
        <v>658</v>
      </c>
      <c r="D151" s="145" t="s">
        <v>657</v>
      </c>
      <c r="E151" s="208">
        <f>E$124</f>
        <v>382</v>
      </c>
      <c r="F151" s="208">
        <v>641</v>
      </c>
      <c r="G151" s="208">
        <v>772</v>
      </c>
      <c r="H151" s="208">
        <v>868</v>
      </c>
      <c r="I151" s="208">
        <v>902</v>
      </c>
      <c r="J151" s="208">
        <v>977</v>
      </c>
      <c r="K151" s="208">
        <v>1052</v>
      </c>
      <c r="L151" s="208">
        <v>1127</v>
      </c>
      <c r="M151" s="208">
        <v>1202</v>
      </c>
      <c r="N151" s="208">
        <v>1277</v>
      </c>
      <c r="O151" s="208" t="s">
        <v>640</v>
      </c>
    </row>
    <row r="152" spans="2:15">
      <c r="B152" s="145" t="s">
        <v>659</v>
      </c>
      <c r="C152" s="210" t="s">
        <v>660</v>
      </c>
      <c r="D152" s="145" t="s">
        <v>659</v>
      </c>
      <c r="E152" s="208">
        <f>E$124</f>
        <v>382</v>
      </c>
      <c r="F152" s="208">
        <v>641</v>
      </c>
      <c r="G152" s="208">
        <v>772</v>
      </c>
      <c r="H152" s="208">
        <v>868</v>
      </c>
      <c r="I152" s="208">
        <v>902</v>
      </c>
      <c r="J152" s="208">
        <v>977</v>
      </c>
      <c r="K152" s="208">
        <v>1052</v>
      </c>
      <c r="L152" s="208">
        <v>1127</v>
      </c>
      <c r="M152" s="208">
        <v>1202</v>
      </c>
      <c r="N152" s="208">
        <v>1277</v>
      </c>
      <c r="O152" s="208" t="s">
        <v>640</v>
      </c>
    </row>
    <row r="153" spans="2:15">
      <c r="B153" s="145" t="s">
        <v>661</v>
      </c>
      <c r="C153" s="210" t="s">
        <v>662</v>
      </c>
      <c r="D153" s="145" t="s">
        <v>661</v>
      </c>
      <c r="E153" s="208">
        <f>E$125</f>
        <v>382</v>
      </c>
      <c r="F153" s="208">
        <v>641</v>
      </c>
      <c r="G153" s="208">
        <v>772</v>
      </c>
      <c r="H153" s="208">
        <v>868</v>
      </c>
      <c r="I153" s="208">
        <v>902</v>
      </c>
      <c r="J153" s="208">
        <v>977</v>
      </c>
      <c r="K153" s="208">
        <v>1052</v>
      </c>
      <c r="L153" s="208">
        <v>1127</v>
      </c>
      <c r="M153" s="208">
        <v>1202</v>
      </c>
      <c r="N153" s="208">
        <v>1277</v>
      </c>
      <c r="O153" s="208" t="s">
        <v>611</v>
      </c>
    </row>
    <row r="154" spans="2:15">
      <c r="B154" s="145" t="s">
        <v>663</v>
      </c>
      <c r="C154" s="210" t="s">
        <v>664</v>
      </c>
      <c r="D154" s="145" t="s">
        <v>663</v>
      </c>
      <c r="E154" s="208">
        <f>E$124</f>
        <v>382</v>
      </c>
      <c r="F154" s="208">
        <v>641</v>
      </c>
      <c r="G154" s="208">
        <v>772</v>
      </c>
      <c r="H154" s="208">
        <v>868</v>
      </c>
      <c r="I154" s="208">
        <v>902</v>
      </c>
      <c r="J154" s="208">
        <v>977</v>
      </c>
      <c r="K154" s="208">
        <v>1052</v>
      </c>
      <c r="L154" s="208">
        <v>1127</v>
      </c>
      <c r="M154" s="208">
        <v>1202</v>
      </c>
      <c r="N154" s="208">
        <v>1277</v>
      </c>
      <c r="O154" s="208" t="s">
        <v>640</v>
      </c>
    </row>
    <row r="155" spans="2:15">
      <c r="B155" s="145" t="s">
        <v>665</v>
      </c>
      <c r="C155" s="210" t="s">
        <v>666</v>
      </c>
      <c r="D155" s="145" t="s">
        <v>665</v>
      </c>
      <c r="E155" s="208">
        <f>E$126</f>
        <v>425</v>
      </c>
      <c r="F155" s="208">
        <v>713</v>
      </c>
      <c r="G155" s="208">
        <v>859</v>
      </c>
      <c r="H155" s="208">
        <v>967</v>
      </c>
      <c r="I155" s="208">
        <v>1004</v>
      </c>
      <c r="J155" s="208">
        <v>1079</v>
      </c>
      <c r="K155" s="208">
        <v>1154</v>
      </c>
      <c r="L155" s="208">
        <v>1229</v>
      </c>
      <c r="M155" s="208">
        <v>1304</v>
      </c>
      <c r="N155" s="208">
        <v>1379</v>
      </c>
      <c r="O155" s="208" t="s">
        <v>614</v>
      </c>
    </row>
    <row r="156" spans="2:15">
      <c r="B156" s="145" t="s">
        <v>667</v>
      </c>
      <c r="C156" s="210" t="s">
        <v>625</v>
      </c>
      <c r="D156" s="145" t="s">
        <v>667</v>
      </c>
      <c r="E156" s="208">
        <f>E$124</f>
        <v>382</v>
      </c>
      <c r="F156" s="208">
        <v>641</v>
      </c>
      <c r="G156" s="208">
        <v>772</v>
      </c>
      <c r="H156" s="208">
        <v>868</v>
      </c>
      <c r="I156" s="208">
        <v>902</v>
      </c>
      <c r="J156" s="208">
        <v>977</v>
      </c>
      <c r="K156" s="208">
        <v>1052</v>
      </c>
      <c r="L156" s="208">
        <v>1127</v>
      </c>
      <c r="M156" s="208">
        <v>1202</v>
      </c>
      <c r="N156" s="208">
        <v>1277</v>
      </c>
      <c r="O156" s="208" t="s">
        <v>640</v>
      </c>
    </row>
    <row r="157" spans="2:15">
      <c r="B157" s="145" t="s">
        <v>668</v>
      </c>
      <c r="C157" s="210" t="s">
        <v>669</v>
      </c>
      <c r="D157" s="145" t="s">
        <v>668</v>
      </c>
      <c r="E157" s="208">
        <f>E$126</f>
        <v>425</v>
      </c>
      <c r="F157" s="208">
        <v>713</v>
      </c>
      <c r="G157" s="208">
        <v>859</v>
      </c>
      <c r="H157" s="208">
        <v>967</v>
      </c>
      <c r="I157" s="208">
        <v>1004</v>
      </c>
      <c r="J157" s="208">
        <v>1079</v>
      </c>
      <c r="K157" s="208">
        <v>1154</v>
      </c>
      <c r="L157" s="208">
        <v>1229</v>
      </c>
      <c r="M157" s="208">
        <v>1304</v>
      </c>
      <c r="N157" s="208">
        <v>1379</v>
      </c>
      <c r="O157" s="208" t="s">
        <v>614</v>
      </c>
    </row>
    <row r="158" spans="2:15">
      <c r="B158" s="145" t="s">
        <v>670</v>
      </c>
      <c r="C158" s="210" t="s">
        <v>671</v>
      </c>
      <c r="D158" s="145" t="s">
        <v>670</v>
      </c>
      <c r="E158" s="208">
        <v>390</v>
      </c>
      <c r="F158" s="208">
        <v>654</v>
      </c>
      <c r="G158" s="208">
        <v>788</v>
      </c>
      <c r="H158" s="208">
        <v>888</v>
      </c>
      <c r="I158" s="208">
        <v>921</v>
      </c>
      <c r="J158" s="208">
        <v>996</v>
      </c>
      <c r="K158" s="208">
        <v>1071</v>
      </c>
      <c r="L158" s="208">
        <v>1146</v>
      </c>
      <c r="M158" s="208">
        <v>1221</v>
      </c>
      <c r="N158" s="208">
        <v>1296</v>
      </c>
      <c r="O158" s="208" t="s">
        <v>625</v>
      </c>
    </row>
    <row r="159" spans="2:15">
      <c r="B159" s="145" t="s">
        <v>672</v>
      </c>
      <c r="C159" s="210" t="s">
        <v>673</v>
      </c>
      <c r="D159" s="145" t="s">
        <v>672</v>
      </c>
      <c r="E159" s="208">
        <v>390</v>
      </c>
      <c r="F159" s="208">
        <v>654</v>
      </c>
      <c r="G159" s="208">
        <v>788</v>
      </c>
      <c r="H159" s="208">
        <v>888</v>
      </c>
      <c r="I159" s="208">
        <v>921</v>
      </c>
      <c r="J159" s="208">
        <v>996</v>
      </c>
      <c r="K159" s="208">
        <v>1071</v>
      </c>
      <c r="L159" s="208">
        <v>1146</v>
      </c>
      <c r="M159" s="208">
        <v>1221</v>
      </c>
      <c r="N159" s="208">
        <v>1296</v>
      </c>
      <c r="O159" s="208" t="s">
        <v>625</v>
      </c>
    </row>
    <row r="160" spans="2:15">
      <c r="B160" s="145" t="s">
        <v>674</v>
      </c>
      <c r="C160" s="210" t="s">
        <v>675</v>
      </c>
      <c r="D160" s="145" t="s">
        <v>674</v>
      </c>
      <c r="E160" s="208">
        <f>E$126</f>
        <v>425</v>
      </c>
      <c r="F160" s="208">
        <v>713</v>
      </c>
      <c r="G160" s="208">
        <v>859</v>
      </c>
      <c r="H160" s="208">
        <v>967</v>
      </c>
      <c r="I160" s="208">
        <v>1004</v>
      </c>
      <c r="J160" s="208">
        <v>1079</v>
      </c>
      <c r="K160" s="208">
        <v>1154</v>
      </c>
      <c r="L160" s="208">
        <v>1229</v>
      </c>
      <c r="M160" s="208">
        <v>1304</v>
      </c>
      <c r="N160" s="208">
        <v>1379</v>
      </c>
      <c r="O160" s="208" t="s">
        <v>614</v>
      </c>
    </row>
    <row r="161" spans="2:15">
      <c r="B161" s="145" t="s">
        <v>676</v>
      </c>
      <c r="C161" s="210" t="s">
        <v>677</v>
      </c>
      <c r="D161" s="145" t="s">
        <v>676</v>
      </c>
      <c r="E161" s="208">
        <v>390</v>
      </c>
      <c r="F161" s="208">
        <v>654</v>
      </c>
      <c r="G161" s="208">
        <v>788</v>
      </c>
      <c r="H161" s="208">
        <v>888</v>
      </c>
      <c r="I161" s="208">
        <v>921</v>
      </c>
      <c r="J161" s="208">
        <v>996</v>
      </c>
      <c r="K161" s="208">
        <v>1071</v>
      </c>
      <c r="L161" s="208">
        <v>1146</v>
      </c>
      <c r="M161" s="208">
        <v>1221</v>
      </c>
      <c r="N161" s="208">
        <v>1296</v>
      </c>
      <c r="O161" s="208" t="s">
        <v>625</v>
      </c>
    </row>
    <row r="162" spans="2:15">
      <c r="B162" s="145" t="s">
        <v>678</v>
      </c>
      <c r="C162" s="210" t="s">
        <v>679</v>
      </c>
      <c r="D162" s="145" t="s">
        <v>678</v>
      </c>
      <c r="E162" s="208">
        <f>E$125</f>
        <v>382</v>
      </c>
      <c r="F162" s="208">
        <v>641</v>
      </c>
      <c r="G162" s="208">
        <v>772</v>
      </c>
      <c r="H162" s="208">
        <v>868</v>
      </c>
      <c r="I162" s="208">
        <v>902</v>
      </c>
      <c r="J162" s="208">
        <v>977</v>
      </c>
      <c r="K162" s="208">
        <v>1052</v>
      </c>
      <c r="L162" s="208">
        <v>1127</v>
      </c>
      <c r="M162" s="208">
        <v>1202</v>
      </c>
      <c r="N162" s="208">
        <v>1277</v>
      </c>
      <c r="O162" s="208" t="s">
        <v>611</v>
      </c>
    </row>
    <row r="163" spans="2:15">
      <c r="B163" s="145" t="s">
        <v>680</v>
      </c>
      <c r="C163" s="210" t="s">
        <v>681</v>
      </c>
      <c r="D163" s="145" t="s">
        <v>680</v>
      </c>
      <c r="E163" s="208">
        <f>E$124</f>
        <v>382</v>
      </c>
      <c r="F163" s="208">
        <v>641</v>
      </c>
      <c r="G163" s="208">
        <v>772</v>
      </c>
      <c r="H163" s="208">
        <v>868</v>
      </c>
      <c r="I163" s="208">
        <v>902</v>
      </c>
      <c r="J163" s="208">
        <v>977</v>
      </c>
      <c r="K163" s="208">
        <v>1052</v>
      </c>
      <c r="L163" s="208">
        <v>1127</v>
      </c>
      <c r="M163" s="208">
        <v>1202</v>
      </c>
      <c r="N163" s="208">
        <v>1277</v>
      </c>
      <c r="O163" s="208" t="s">
        <v>640</v>
      </c>
    </row>
    <row r="164" spans="2:15">
      <c r="B164" s="145" t="s">
        <v>682</v>
      </c>
      <c r="C164" s="210" t="s">
        <v>683</v>
      </c>
      <c r="D164" s="145" t="s">
        <v>682</v>
      </c>
      <c r="E164" s="208">
        <f>E$124</f>
        <v>382</v>
      </c>
      <c r="F164" s="208">
        <v>641</v>
      </c>
      <c r="G164" s="208">
        <v>772</v>
      </c>
      <c r="H164" s="208">
        <v>868</v>
      </c>
      <c r="I164" s="208">
        <v>902</v>
      </c>
      <c r="J164" s="208">
        <v>977</v>
      </c>
      <c r="K164" s="208">
        <v>1052</v>
      </c>
      <c r="L164" s="208">
        <v>1127</v>
      </c>
      <c r="M164" s="208">
        <v>1202</v>
      </c>
      <c r="N164" s="208">
        <v>1277</v>
      </c>
      <c r="O164" s="208" t="s">
        <v>640</v>
      </c>
    </row>
    <row r="165" spans="2:15">
      <c r="B165" s="145" t="s">
        <v>684</v>
      </c>
      <c r="C165" s="210" t="s">
        <v>685</v>
      </c>
      <c r="D165" s="145" t="s">
        <v>684</v>
      </c>
      <c r="E165" s="208">
        <f>E$125</f>
        <v>382</v>
      </c>
      <c r="F165" s="208">
        <v>641</v>
      </c>
      <c r="G165" s="208">
        <v>772</v>
      </c>
      <c r="H165" s="208">
        <v>868</v>
      </c>
      <c r="I165" s="208">
        <v>902</v>
      </c>
      <c r="J165" s="208">
        <v>977</v>
      </c>
      <c r="K165" s="208">
        <v>1052</v>
      </c>
      <c r="L165" s="208">
        <v>1127</v>
      </c>
      <c r="M165" s="208">
        <v>1202</v>
      </c>
      <c r="N165" s="208">
        <v>1277</v>
      </c>
      <c r="O165" s="208" t="s">
        <v>611</v>
      </c>
    </row>
    <row r="166" spans="2:15">
      <c r="B166" s="145" t="s">
        <v>686</v>
      </c>
      <c r="C166" s="210" t="s">
        <v>687</v>
      </c>
      <c r="D166" s="145" t="s">
        <v>686</v>
      </c>
      <c r="E166" s="208">
        <f>E$126</f>
        <v>425</v>
      </c>
      <c r="F166" s="208">
        <v>713</v>
      </c>
      <c r="G166" s="208">
        <v>859</v>
      </c>
      <c r="H166" s="208">
        <v>967</v>
      </c>
      <c r="I166" s="208">
        <v>1004</v>
      </c>
      <c r="J166" s="208">
        <v>1079</v>
      </c>
      <c r="K166" s="208">
        <v>1154</v>
      </c>
      <c r="L166" s="208">
        <v>1229</v>
      </c>
      <c r="M166" s="208">
        <v>1304</v>
      </c>
      <c r="N166" s="208">
        <v>1379</v>
      </c>
      <c r="O166" s="208" t="s">
        <v>614</v>
      </c>
    </row>
    <row r="167" spans="2:15">
      <c r="B167" s="145" t="s">
        <v>688</v>
      </c>
      <c r="C167" s="210" t="s">
        <v>689</v>
      </c>
      <c r="D167" s="145" t="s">
        <v>688</v>
      </c>
      <c r="E167" s="208">
        <v>390</v>
      </c>
      <c r="F167" s="208">
        <v>654</v>
      </c>
      <c r="G167" s="208">
        <v>788</v>
      </c>
      <c r="H167" s="208">
        <v>888</v>
      </c>
      <c r="I167" s="208">
        <v>921</v>
      </c>
      <c r="J167" s="208">
        <v>996</v>
      </c>
      <c r="K167" s="208">
        <v>1071</v>
      </c>
      <c r="L167" s="208">
        <v>1146</v>
      </c>
      <c r="M167" s="208">
        <v>1221</v>
      </c>
      <c r="N167" s="208">
        <v>1296</v>
      </c>
      <c r="O167" s="208" t="s">
        <v>625</v>
      </c>
    </row>
    <row r="168" spans="2:15">
      <c r="B168" s="145" t="s">
        <v>690</v>
      </c>
      <c r="C168" s="210" t="s">
        <v>691</v>
      </c>
      <c r="D168" s="145" t="s">
        <v>690</v>
      </c>
      <c r="E168" s="208">
        <f>E$125</f>
        <v>382</v>
      </c>
      <c r="F168" s="208">
        <v>641</v>
      </c>
      <c r="G168" s="208">
        <v>772</v>
      </c>
      <c r="H168" s="208">
        <v>868</v>
      </c>
      <c r="I168" s="208">
        <v>902</v>
      </c>
      <c r="J168" s="208">
        <v>977</v>
      </c>
      <c r="K168" s="208">
        <v>1052</v>
      </c>
      <c r="L168" s="208">
        <v>1127</v>
      </c>
      <c r="M168" s="208">
        <v>1202</v>
      </c>
      <c r="N168" s="208">
        <v>1277</v>
      </c>
      <c r="O168" s="208" t="s">
        <v>611</v>
      </c>
    </row>
    <row r="169" spans="2:15">
      <c r="B169" s="145" t="s">
        <v>692</v>
      </c>
      <c r="C169" s="210" t="s">
        <v>693</v>
      </c>
      <c r="D169" s="145" t="s">
        <v>692</v>
      </c>
      <c r="E169" s="208">
        <v>390</v>
      </c>
      <c r="F169" s="208">
        <v>654</v>
      </c>
      <c r="G169" s="208">
        <v>788</v>
      </c>
      <c r="H169" s="208">
        <v>888</v>
      </c>
      <c r="I169" s="208">
        <v>921</v>
      </c>
      <c r="J169" s="208">
        <v>996</v>
      </c>
      <c r="K169" s="208">
        <v>1071</v>
      </c>
      <c r="L169" s="208">
        <v>1146</v>
      </c>
      <c r="M169" s="208">
        <v>1221</v>
      </c>
      <c r="N169" s="208">
        <v>1296</v>
      </c>
      <c r="O169" s="208" t="s">
        <v>625</v>
      </c>
    </row>
    <row r="170" spans="2:15">
      <c r="B170" s="145" t="s">
        <v>694</v>
      </c>
      <c r="C170" s="210" t="s">
        <v>695</v>
      </c>
      <c r="D170" s="145" t="s">
        <v>694</v>
      </c>
      <c r="E170" s="208">
        <f>E$125</f>
        <v>382</v>
      </c>
      <c r="F170" s="208">
        <v>641</v>
      </c>
      <c r="G170" s="208">
        <v>772</v>
      </c>
      <c r="H170" s="208">
        <v>868</v>
      </c>
      <c r="I170" s="208">
        <v>902</v>
      </c>
      <c r="J170" s="208">
        <v>977</v>
      </c>
      <c r="K170" s="208">
        <v>1052</v>
      </c>
      <c r="L170" s="208">
        <v>1127</v>
      </c>
      <c r="M170" s="208">
        <v>1202</v>
      </c>
      <c r="N170" s="208">
        <v>1277</v>
      </c>
      <c r="O170" s="208" t="s">
        <v>611</v>
      </c>
    </row>
    <row r="171" spans="2:15">
      <c r="B171" s="145" t="s">
        <v>696</v>
      </c>
      <c r="C171" s="210" t="s">
        <v>697</v>
      </c>
      <c r="D171" s="145" t="s">
        <v>696</v>
      </c>
      <c r="E171" s="208">
        <f>E$124</f>
        <v>382</v>
      </c>
      <c r="F171" s="208">
        <v>641</v>
      </c>
      <c r="G171" s="208">
        <v>772</v>
      </c>
      <c r="H171" s="208">
        <v>868</v>
      </c>
      <c r="I171" s="208">
        <v>902</v>
      </c>
      <c r="J171" s="208">
        <v>977</v>
      </c>
      <c r="K171" s="208">
        <v>1052</v>
      </c>
      <c r="L171" s="208">
        <v>1127</v>
      </c>
      <c r="M171" s="208">
        <v>1202</v>
      </c>
      <c r="N171" s="208">
        <v>1277</v>
      </c>
      <c r="O171" s="208" t="s">
        <v>640</v>
      </c>
    </row>
    <row r="172" spans="2:15">
      <c r="B172" s="145" t="s">
        <v>698</v>
      </c>
      <c r="C172" s="210" t="s">
        <v>699</v>
      </c>
      <c r="D172" s="145" t="s">
        <v>698</v>
      </c>
      <c r="E172" s="208">
        <f>E$125</f>
        <v>382</v>
      </c>
      <c r="F172" s="208">
        <v>641</v>
      </c>
      <c r="G172" s="208">
        <v>772</v>
      </c>
      <c r="H172" s="208">
        <v>868</v>
      </c>
      <c r="I172" s="208">
        <v>902</v>
      </c>
      <c r="J172" s="208">
        <v>977</v>
      </c>
      <c r="K172" s="208">
        <v>1052</v>
      </c>
      <c r="L172" s="208">
        <v>1127</v>
      </c>
      <c r="M172" s="208">
        <v>1202</v>
      </c>
      <c r="N172" s="208">
        <v>1277</v>
      </c>
      <c r="O172" s="208" t="s">
        <v>611</v>
      </c>
    </row>
    <row r="173" spans="2:15">
      <c r="B173" s="145" t="s">
        <v>700</v>
      </c>
      <c r="C173" s="210" t="s">
        <v>701</v>
      </c>
      <c r="D173" s="145" t="s">
        <v>700</v>
      </c>
      <c r="E173" s="208">
        <f>E$125</f>
        <v>382</v>
      </c>
      <c r="F173" s="208">
        <v>641</v>
      </c>
      <c r="G173" s="208">
        <v>772</v>
      </c>
      <c r="H173" s="208">
        <v>868</v>
      </c>
      <c r="I173" s="208">
        <v>902</v>
      </c>
      <c r="J173" s="208">
        <v>977</v>
      </c>
      <c r="K173" s="208">
        <v>1052</v>
      </c>
      <c r="L173" s="208">
        <v>1127</v>
      </c>
      <c r="M173" s="208">
        <v>1202</v>
      </c>
      <c r="N173" s="208">
        <v>1277</v>
      </c>
      <c r="O173" s="208" t="s">
        <v>611</v>
      </c>
    </row>
    <row r="174" spans="2:15">
      <c r="B174" s="145" t="s">
        <v>702</v>
      </c>
      <c r="C174" s="210" t="s">
        <v>703</v>
      </c>
      <c r="D174" s="145" t="s">
        <v>702</v>
      </c>
      <c r="E174" s="208">
        <f>E$126</f>
        <v>425</v>
      </c>
      <c r="F174" s="208">
        <v>713</v>
      </c>
      <c r="G174" s="208">
        <v>859</v>
      </c>
      <c r="H174" s="208">
        <v>967</v>
      </c>
      <c r="I174" s="208">
        <v>1004</v>
      </c>
      <c r="J174" s="208">
        <v>1079</v>
      </c>
      <c r="K174" s="208">
        <v>1154</v>
      </c>
      <c r="L174" s="208">
        <v>1229</v>
      </c>
      <c r="M174" s="208">
        <v>1304</v>
      </c>
      <c r="N174" s="208">
        <v>1379</v>
      </c>
      <c r="O174" s="208" t="s">
        <v>614</v>
      </c>
    </row>
    <row r="175" spans="2:15">
      <c r="B175" s="145" t="s">
        <v>704</v>
      </c>
      <c r="C175" s="210" t="s">
        <v>705</v>
      </c>
      <c r="D175" s="145" t="s">
        <v>704</v>
      </c>
      <c r="E175" s="208">
        <v>390</v>
      </c>
      <c r="F175" s="208">
        <v>654</v>
      </c>
      <c r="G175" s="208">
        <v>788</v>
      </c>
      <c r="H175" s="208">
        <v>888</v>
      </c>
      <c r="I175" s="208">
        <v>921</v>
      </c>
      <c r="J175" s="208">
        <v>996</v>
      </c>
      <c r="K175" s="208">
        <v>1071</v>
      </c>
      <c r="L175" s="208">
        <v>1146</v>
      </c>
      <c r="M175" s="208">
        <v>1221</v>
      </c>
      <c r="N175" s="208">
        <v>1296</v>
      </c>
      <c r="O175" s="208" t="s">
        <v>625</v>
      </c>
    </row>
    <row r="176" spans="2:15">
      <c r="B176" s="145" t="s">
        <v>706</v>
      </c>
      <c r="C176" s="210" t="s">
        <v>707</v>
      </c>
      <c r="D176" s="145" t="s">
        <v>706</v>
      </c>
      <c r="E176" s="208">
        <f>E$125</f>
        <v>382</v>
      </c>
      <c r="F176" s="208">
        <v>641</v>
      </c>
      <c r="G176" s="208">
        <v>772</v>
      </c>
      <c r="H176" s="208">
        <v>868</v>
      </c>
      <c r="I176" s="208">
        <v>902</v>
      </c>
      <c r="J176" s="208">
        <v>977</v>
      </c>
      <c r="K176" s="208">
        <v>1052</v>
      </c>
      <c r="L176" s="208">
        <v>1127</v>
      </c>
      <c r="M176" s="208">
        <v>1202</v>
      </c>
      <c r="N176" s="208">
        <v>1277</v>
      </c>
      <c r="O176" s="208" t="s">
        <v>611</v>
      </c>
    </row>
    <row r="177" spans="2:15">
      <c r="B177" s="145" t="s">
        <v>708</v>
      </c>
      <c r="C177" s="210" t="s">
        <v>709</v>
      </c>
      <c r="D177" s="145" t="s">
        <v>708</v>
      </c>
      <c r="E177" s="208">
        <f>E$126</f>
        <v>425</v>
      </c>
      <c r="F177" s="208">
        <v>713</v>
      </c>
      <c r="G177" s="208">
        <v>859</v>
      </c>
      <c r="H177" s="208">
        <v>967</v>
      </c>
      <c r="I177" s="208">
        <v>1004</v>
      </c>
      <c r="J177" s="208">
        <v>1079</v>
      </c>
      <c r="K177" s="208">
        <v>1154</v>
      </c>
      <c r="L177" s="208">
        <v>1229</v>
      </c>
      <c r="M177" s="208">
        <v>1304</v>
      </c>
      <c r="N177" s="208">
        <v>1379</v>
      </c>
      <c r="O177" s="208" t="s">
        <v>614</v>
      </c>
    </row>
    <row r="178" spans="2:15">
      <c r="B178" s="145" t="s">
        <v>710</v>
      </c>
      <c r="C178" s="210" t="s">
        <v>711</v>
      </c>
      <c r="D178" s="145" t="s">
        <v>710</v>
      </c>
      <c r="E178" s="208">
        <f>E$125</f>
        <v>382</v>
      </c>
      <c r="F178" s="208">
        <v>641</v>
      </c>
      <c r="G178" s="208">
        <v>772</v>
      </c>
      <c r="H178" s="208">
        <v>868</v>
      </c>
      <c r="I178" s="208">
        <v>902</v>
      </c>
      <c r="J178" s="208">
        <v>977</v>
      </c>
      <c r="K178" s="208">
        <v>1052</v>
      </c>
      <c r="L178" s="208">
        <v>1127</v>
      </c>
      <c r="M178" s="208">
        <v>1202</v>
      </c>
      <c r="N178" s="208">
        <v>1277</v>
      </c>
      <c r="O178" s="208" t="s">
        <v>611</v>
      </c>
    </row>
    <row r="179" spans="2:15">
      <c r="B179" s="145" t="s">
        <v>712</v>
      </c>
      <c r="C179" s="210" t="s">
        <v>713</v>
      </c>
      <c r="D179" s="145" t="s">
        <v>712</v>
      </c>
      <c r="E179" s="208">
        <f>E$124</f>
        <v>382</v>
      </c>
      <c r="F179" s="208">
        <v>641</v>
      </c>
      <c r="G179" s="208">
        <v>772</v>
      </c>
      <c r="H179" s="208">
        <v>868</v>
      </c>
      <c r="I179" s="208">
        <v>902</v>
      </c>
      <c r="J179" s="208">
        <v>977</v>
      </c>
      <c r="K179" s="208">
        <v>1052</v>
      </c>
      <c r="L179" s="208">
        <v>1127</v>
      </c>
      <c r="M179" s="208">
        <v>1202</v>
      </c>
      <c r="N179" s="208">
        <v>1277</v>
      </c>
      <c r="O179" s="208" t="s">
        <v>640</v>
      </c>
    </row>
    <row r="180" spans="2:15">
      <c r="B180" s="145" t="s">
        <v>714</v>
      </c>
      <c r="C180" s="210" t="s">
        <v>715</v>
      </c>
      <c r="D180" s="145" t="s">
        <v>714</v>
      </c>
      <c r="E180" s="208">
        <f>E$126</f>
        <v>425</v>
      </c>
      <c r="F180" s="208">
        <v>713</v>
      </c>
      <c r="G180" s="208">
        <v>859</v>
      </c>
      <c r="H180" s="208">
        <v>967</v>
      </c>
      <c r="I180" s="208">
        <v>1004</v>
      </c>
      <c r="J180" s="208">
        <v>1079</v>
      </c>
      <c r="K180" s="208">
        <v>1154</v>
      </c>
      <c r="L180" s="208">
        <v>1229</v>
      </c>
      <c r="M180" s="208">
        <v>1304</v>
      </c>
      <c r="N180" s="208">
        <v>1379</v>
      </c>
      <c r="O180" s="208" t="s">
        <v>614</v>
      </c>
    </row>
  </sheetData>
  <mergeCells count="2">
    <mergeCell ref="A58:M58"/>
    <mergeCell ref="B120:N1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D48"/>
  <sheetViews>
    <sheetView showGridLines="0" zoomScale="170" zoomScaleNormal="170" workbookViewId="0">
      <selection activeCell="O8" sqref="O8"/>
    </sheetView>
  </sheetViews>
  <sheetFormatPr defaultColWidth="9.7109375" defaultRowHeight="12.75"/>
  <cols>
    <col min="1" max="1" width="2.7109375" style="63" customWidth="1"/>
    <col min="2" max="2" width="2.28515625" style="63" customWidth="1"/>
    <col min="3" max="102" width="0.7109375" style="63" customWidth="1"/>
    <col min="103" max="103" width="2.28515625" style="63" customWidth="1"/>
    <col min="104" max="104" width="2.7109375" style="63" customWidth="1"/>
    <col min="105" max="16384" width="9.7109375" style="63"/>
  </cols>
  <sheetData>
    <row r="1" spans="1:108">
      <c r="A1" s="212"/>
      <c r="B1" s="355"/>
      <c r="C1" s="355"/>
      <c r="D1" s="355"/>
      <c r="E1" s="355"/>
      <c r="F1" s="355"/>
      <c r="G1" s="355"/>
      <c r="H1" s="355"/>
      <c r="I1" s="355"/>
      <c r="J1" s="355"/>
      <c r="K1" s="355"/>
      <c r="L1" s="355"/>
      <c r="M1" s="355"/>
      <c r="N1" s="355"/>
      <c r="O1" s="355"/>
      <c r="P1" s="355"/>
      <c r="Q1" s="355"/>
      <c r="R1" s="355"/>
      <c r="S1" s="355"/>
      <c r="T1" s="355"/>
      <c r="U1" s="355"/>
      <c r="V1" s="355"/>
      <c r="W1" s="355"/>
      <c r="X1" s="355"/>
      <c r="Y1" s="355"/>
      <c r="Z1" s="355"/>
      <c r="AA1" s="355"/>
      <c r="AB1" s="355"/>
      <c r="AC1" s="355"/>
      <c r="AD1" s="355"/>
      <c r="AE1" s="355"/>
      <c r="AF1" s="355"/>
      <c r="AG1" s="355"/>
      <c r="AH1" s="355"/>
      <c r="AI1" s="355"/>
      <c r="AJ1" s="355"/>
      <c r="AK1" s="355"/>
      <c r="AL1" s="355"/>
      <c r="AM1" s="355"/>
      <c r="AN1" s="355"/>
      <c r="AO1" s="355"/>
      <c r="AP1" s="355"/>
      <c r="AQ1" s="355"/>
      <c r="AR1" s="355"/>
      <c r="AS1" s="355"/>
      <c r="AT1" s="355"/>
      <c r="AU1" s="355"/>
      <c r="AV1" s="355"/>
      <c r="AW1" s="355"/>
      <c r="AX1" s="355"/>
      <c r="AY1" s="355"/>
      <c r="AZ1" s="355"/>
      <c r="BA1" s="355"/>
      <c r="BB1" s="355"/>
      <c r="BC1" s="355"/>
      <c r="BD1" s="355"/>
      <c r="BE1" s="355"/>
      <c r="BF1" s="355"/>
      <c r="BG1" s="355"/>
      <c r="BH1" s="355"/>
      <c r="BI1" s="355"/>
      <c r="BJ1" s="355"/>
      <c r="BK1" s="355"/>
      <c r="BL1" s="355"/>
      <c r="BM1" s="355"/>
      <c r="BN1" s="355"/>
      <c r="BO1" s="355"/>
      <c r="BP1" s="355"/>
      <c r="BQ1" s="355"/>
      <c r="BR1" s="355"/>
      <c r="BS1" s="355"/>
      <c r="BT1" s="355"/>
      <c r="BU1" s="355"/>
      <c r="BV1" s="355"/>
      <c r="BW1" s="355"/>
      <c r="BX1" s="355"/>
      <c r="BY1" s="355"/>
      <c r="BZ1" s="355"/>
      <c r="CA1" s="355"/>
      <c r="CB1" s="355"/>
      <c r="CC1" s="355"/>
      <c r="CD1" s="355"/>
      <c r="CE1" s="355"/>
      <c r="CF1" s="355"/>
      <c r="CG1" s="355"/>
      <c r="CH1" s="355"/>
      <c r="CI1" s="355"/>
      <c r="CJ1" s="355"/>
      <c r="CK1" s="355"/>
      <c r="CL1" s="355"/>
      <c r="CM1" s="355"/>
      <c r="CN1" s="355"/>
      <c r="CO1" s="355"/>
      <c r="CP1" s="355"/>
      <c r="CQ1" s="355"/>
      <c r="CR1" s="355"/>
      <c r="CS1" s="355"/>
      <c r="CT1" s="355"/>
      <c r="CU1" s="355"/>
      <c r="CV1" s="355"/>
      <c r="CW1" s="355"/>
      <c r="CX1" s="355"/>
      <c r="CY1" s="355"/>
      <c r="CZ1" s="212"/>
      <c r="DA1" s="212"/>
      <c r="DB1" s="212"/>
    </row>
    <row r="2" spans="1:108" ht="12" customHeight="1">
      <c r="A2" s="212"/>
      <c r="B2" s="77"/>
      <c r="C2" s="356"/>
      <c r="D2" s="356"/>
      <c r="E2" s="356"/>
      <c r="F2" s="356"/>
      <c r="G2" s="356"/>
      <c r="H2" s="356"/>
      <c r="I2" s="356"/>
      <c r="J2" s="356"/>
      <c r="K2" s="356"/>
      <c r="L2" s="356"/>
      <c r="M2" s="356"/>
      <c r="N2" s="356"/>
      <c r="O2" s="356"/>
      <c r="P2" s="356"/>
      <c r="Q2" s="356"/>
      <c r="R2" s="356"/>
      <c r="S2" s="356"/>
      <c r="T2" s="356"/>
      <c r="U2" s="356"/>
      <c r="V2" s="356"/>
      <c r="W2" s="356"/>
      <c r="X2" s="356"/>
      <c r="Y2" s="356"/>
      <c r="Z2" s="356"/>
      <c r="AA2" s="356"/>
      <c r="AB2" s="356"/>
      <c r="AC2" s="356"/>
      <c r="AD2" s="356"/>
      <c r="AE2" s="356"/>
      <c r="AF2" s="356"/>
      <c r="AG2" s="356"/>
      <c r="AH2" s="356"/>
      <c r="AI2" s="356"/>
      <c r="AJ2" s="356"/>
      <c r="AK2" s="356"/>
      <c r="AL2" s="356"/>
      <c r="AM2" s="356"/>
      <c r="AN2" s="356"/>
      <c r="AO2" s="356"/>
      <c r="AP2" s="356"/>
      <c r="AQ2" s="356"/>
      <c r="AR2" s="356"/>
      <c r="AS2" s="356"/>
      <c r="AT2" s="356"/>
      <c r="AU2" s="356"/>
      <c r="AV2" s="356"/>
      <c r="AW2" s="356"/>
      <c r="AX2" s="356"/>
      <c r="AY2" s="356"/>
      <c r="AZ2" s="356"/>
      <c r="BA2" s="356"/>
      <c r="BB2" s="356"/>
      <c r="BC2" s="356"/>
      <c r="BD2" s="356"/>
      <c r="BE2" s="356"/>
      <c r="BF2" s="356"/>
      <c r="BG2" s="356"/>
      <c r="BH2" s="356"/>
      <c r="BI2" s="356"/>
      <c r="BJ2" s="356"/>
      <c r="BK2" s="356"/>
      <c r="BL2" s="356"/>
      <c r="BM2" s="356"/>
      <c r="BN2" s="356"/>
      <c r="BO2" s="356"/>
      <c r="BP2" s="356"/>
      <c r="BQ2" s="356"/>
      <c r="BR2" s="356"/>
      <c r="BS2" s="356"/>
      <c r="BT2" s="356"/>
      <c r="BU2" s="356"/>
      <c r="BV2" s="356"/>
      <c r="BW2" s="356"/>
      <c r="BX2" s="356"/>
      <c r="BY2" s="356"/>
      <c r="BZ2" s="356"/>
      <c r="CA2" s="356"/>
      <c r="CB2" s="356"/>
      <c r="CC2" s="356"/>
      <c r="CD2" s="356"/>
      <c r="CE2" s="356"/>
      <c r="CF2" s="356"/>
      <c r="CG2" s="356"/>
      <c r="CH2" s="356"/>
      <c r="CI2" s="356"/>
      <c r="CJ2" s="356"/>
      <c r="CK2" s="356"/>
      <c r="CL2" s="356"/>
      <c r="CM2" s="356"/>
      <c r="CN2" s="356"/>
      <c r="CO2" s="356"/>
      <c r="CP2" s="356"/>
      <c r="CQ2" s="356"/>
      <c r="CR2" s="356"/>
      <c r="CS2" s="356"/>
      <c r="CT2" s="356"/>
      <c r="CU2" s="356"/>
      <c r="CV2" s="356"/>
      <c r="CW2" s="356"/>
      <c r="CX2" s="356"/>
      <c r="CY2" s="77"/>
      <c r="CZ2" s="212"/>
      <c r="DA2" s="212"/>
      <c r="DB2" s="212"/>
    </row>
    <row r="3" spans="1:108" ht="15.75" customHeight="1">
      <c r="A3" s="355"/>
      <c r="B3" s="214"/>
      <c r="C3" s="357" t="s">
        <v>717</v>
      </c>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7"/>
      <c r="BP3" s="357"/>
      <c r="BQ3" s="357"/>
      <c r="BR3" s="357"/>
      <c r="BS3" s="357"/>
      <c r="BT3" s="357"/>
      <c r="BU3" s="357"/>
      <c r="BV3" s="357"/>
      <c r="BW3" s="357"/>
      <c r="BX3" s="357"/>
      <c r="BY3" s="357"/>
      <c r="BZ3" s="357"/>
      <c r="CA3" s="357"/>
      <c r="CB3" s="357"/>
      <c r="CC3" s="357"/>
      <c r="CD3" s="357"/>
      <c r="CE3" s="357"/>
      <c r="CF3" s="357"/>
      <c r="CG3" s="357"/>
      <c r="CH3" s="357"/>
      <c r="CI3" s="357"/>
      <c r="CJ3" s="357"/>
      <c r="CK3" s="357"/>
      <c r="CL3" s="357"/>
      <c r="CM3" s="357"/>
      <c r="CN3" s="357"/>
      <c r="CO3" s="357"/>
      <c r="CP3" s="357"/>
      <c r="CQ3" s="357"/>
      <c r="CR3" s="357"/>
      <c r="CS3" s="357"/>
      <c r="CT3" s="357"/>
      <c r="CU3" s="357"/>
      <c r="CV3" s="357"/>
      <c r="CW3" s="357"/>
      <c r="CX3" s="357"/>
      <c r="CY3" s="215"/>
      <c r="CZ3" s="355"/>
      <c r="DA3" s="212"/>
      <c r="DB3" s="212"/>
      <c r="DD3" s="214"/>
    </row>
    <row r="4" spans="1:108" ht="9.75" customHeight="1">
      <c r="A4" s="355"/>
      <c r="C4" s="357"/>
      <c r="D4" s="357"/>
      <c r="E4" s="357"/>
      <c r="F4" s="357"/>
      <c r="G4" s="357"/>
      <c r="H4" s="357"/>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7"/>
      <c r="BP4" s="357"/>
      <c r="BQ4" s="357"/>
      <c r="BR4" s="357"/>
      <c r="BS4" s="357"/>
      <c r="BT4" s="357"/>
      <c r="BU4" s="357"/>
      <c r="BV4" s="357"/>
      <c r="BW4" s="357"/>
      <c r="BX4" s="357"/>
      <c r="BY4" s="357"/>
      <c r="BZ4" s="357"/>
      <c r="CA4" s="357"/>
      <c r="CB4" s="357"/>
      <c r="CC4" s="357"/>
      <c r="CD4" s="357"/>
      <c r="CE4" s="357"/>
      <c r="CF4" s="357"/>
      <c r="CG4" s="357"/>
      <c r="CH4" s="357"/>
      <c r="CI4" s="357"/>
      <c r="CJ4" s="357"/>
      <c r="CK4" s="357"/>
      <c r="CL4" s="357"/>
      <c r="CM4" s="357"/>
      <c r="CN4" s="357"/>
      <c r="CO4" s="357"/>
      <c r="CP4" s="357"/>
      <c r="CQ4" s="357"/>
      <c r="CR4" s="357"/>
      <c r="CS4" s="357"/>
      <c r="CT4" s="357"/>
      <c r="CU4" s="357"/>
      <c r="CV4" s="357"/>
      <c r="CW4" s="357"/>
      <c r="CX4" s="357"/>
      <c r="CZ4" s="355"/>
      <c r="DA4" s="212"/>
      <c r="DB4" s="212"/>
    </row>
    <row r="5" spans="1:108" ht="9.75" customHeight="1">
      <c r="A5" s="355"/>
      <c r="C5" s="357"/>
      <c r="D5" s="357"/>
      <c r="E5" s="357"/>
      <c r="F5" s="357"/>
      <c r="G5" s="357"/>
      <c r="H5" s="357"/>
      <c r="I5" s="357"/>
      <c r="J5" s="357"/>
      <c r="K5" s="357"/>
      <c r="L5" s="357"/>
      <c r="M5" s="357"/>
      <c r="N5" s="357"/>
      <c r="O5" s="357"/>
      <c r="P5" s="357"/>
      <c r="Q5" s="357"/>
      <c r="R5" s="357"/>
      <c r="S5" s="357"/>
      <c r="T5" s="357"/>
      <c r="U5" s="357"/>
      <c r="V5" s="357"/>
      <c r="W5" s="357"/>
      <c r="X5" s="357"/>
      <c r="Y5" s="357"/>
      <c r="Z5" s="357"/>
      <c r="AA5" s="357"/>
      <c r="AB5" s="357"/>
      <c r="AC5" s="357"/>
      <c r="AD5" s="357"/>
      <c r="AE5" s="357"/>
      <c r="AF5" s="357"/>
      <c r="AG5" s="357"/>
      <c r="AH5" s="357"/>
      <c r="AI5" s="357"/>
      <c r="AJ5" s="357"/>
      <c r="AK5" s="357"/>
      <c r="AL5" s="357"/>
      <c r="AM5" s="357"/>
      <c r="AN5" s="357"/>
      <c r="AO5" s="357"/>
      <c r="AP5" s="357"/>
      <c r="AQ5" s="357"/>
      <c r="AR5" s="357"/>
      <c r="AS5" s="357"/>
      <c r="AT5" s="357"/>
      <c r="AU5" s="357"/>
      <c r="AV5" s="357"/>
      <c r="AW5" s="357"/>
      <c r="AX5" s="357"/>
      <c r="AY5" s="357"/>
      <c r="AZ5" s="357"/>
      <c r="BA5" s="357"/>
      <c r="BB5" s="357"/>
      <c r="BC5" s="357"/>
      <c r="BD5" s="357"/>
      <c r="BE5" s="357"/>
      <c r="BF5" s="357"/>
      <c r="BG5" s="357"/>
      <c r="BH5" s="357"/>
      <c r="BI5" s="357"/>
      <c r="BJ5" s="357"/>
      <c r="BK5" s="357"/>
      <c r="BL5" s="357"/>
      <c r="BM5" s="357"/>
      <c r="BN5" s="357"/>
      <c r="BO5" s="357"/>
      <c r="BP5" s="357"/>
      <c r="BQ5" s="357"/>
      <c r="BR5" s="357"/>
      <c r="BS5" s="357"/>
      <c r="BT5" s="357"/>
      <c r="BU5" s="357"/>
      <c r="BV5" s="357"/>
      <c r="BW5" s="357"/>
      <c r="BX5" s="357"/>
      <c r="BY5" s="357"/>
      <c r="BZ5" s="357"/>
      <c r="CA5" s="357"/>
      <c r="CB5" s="357"/>
      <c r="CC5" s="357"/>
      <c r="CD5" s="357"/>
      <c r="CE5" s="357"/>
      <c r="CF5" s="357"/>
      <c r="CG5" s="357"/>
      <c r="CH5" s="357"/>
      <c r="CI5" s="357"/>
      <c r="CJ5" s="357"/>
      <c r="CK5" s="357"/>
      <c r="CL5" s="357"/>
      <c r="CM5" s="357"/>
      <c r="CN5" s="357"/>
      <c r="CO5" s="357"/>
      <c r="CP5" s="357"/>
      <c r="CQ5" s="357"/>
      <c r="CR5" s="357"/>
      <c r="CS5" s="357"/>
      <c r="CT5" s="357"/>
      <c r="CU5" s="357"/>
      <c r="CV5" s="357"/>
      <c r="CW5" s="357"/>
      <c r="CX5" s="357"/>
      <c r="CZ5" s="355"/>
      <c r="DA5" s="212"/>
      <c r="DB5" s="212"/>
    </row>
    <row r="6" spans="1:108" ht="9.75" customHeight="1">
      <c r="A6" s="355"/>
      <c r="C6" s="358"/>
      <c r="D6" s="358"/>
      <c r="E6" s="358"/>
      <c r="F6" s="358"/>
      <c r="G6" s="358"/>
      <c r="H6" s="358"/>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9" t="e">
        <f>preparedby&amp;" "&amp;versionmsg</f>
        <v>#NAME?</v>
      </c>
      <c r="AR6" s="359"/>
      <c r="AS6" s="359"/>
      <c r="AT6" s="359"/>
      <c r="AU6" s="359"/>
      <c r="AV6" s="359"/>
      <c r="AW6" s="359"/>
      <c r="AX6" s="359"/>
      <c r="AY6" s="359"/>
      <c r="AZ6" s="359"/>
      <c r="BA6" s="359"/>
      <c r="BB6" s="359"/>
      <c r="BC6" s="359"/>
      <c r="BD6" s="359"/>
      <c r="BE6" s="359"/>
      <c r="BF6" s="359"/>
      <c r="BG6" s="359"/>
      <c r="BH6" s="359"/>
      <c r="BI6" s="359"/>
      <c r="BJ6" s="359"/>
      <c r="BK6" s="359"/>
      <c r="BL6" s="359"/>
      <c r="BM6" s="359"/>
      <c r="BN6" s="359"/>
      <c r="BO6" s="359"/>
      <c r="BP6" s="359"/>
      <c r="BQ6" s="359"/>
      <c r="BR6" s="359"/>
      <c r="BS6" s="359"/>
      <c r="BT6" s="359"/>
      <c r="BU6" s="359"/>
      <c r="BV6" s="359"/>
      <c r="BW6" s="359"/>
      <c r="BX6" s="359"/>
      <c r="BY6" s="359"/>
      <c r="BZ6" s="359"/>
      <c r="CA6" s="359"/>
      <c r="CB6" s="359"/>
      <c r="CC6" s="359"/>
      <c r="CD6" s="359"/>
      <c r="CE6" s="359"/>
      <c r="CF6" s="359"/>
      <c r="CG6" s="359"/>
      <c r="CH6" s="359"/>
      <c r="CI6" s="359"/>
      <c r="CJ6" s="359"/>
      <c r="CK6" s="359"/>
      <c r="CL6" s="359"/>
      <c r="CM6" s="359"/>
      <c r="CN6" s="359"/>
      <c r="CO6" s="359"/>
      <c r="CP6" s="359"/>
      <c r="CQ6" s="359"/>
      <c r="CR6" s="359"/>
      <c r="CS6" s="359"/>
      <c r="CT6" s="359"/>
      <c r="CU6" s="359"/>
      <c r="CV6" s="359"/>
      <c r="CW6" s="359"/>
      <c r="CX6" s="359"/>
      <c r="CZ6" s="355"/>
      <c r="DA6" s="212"/>
      <c r="DB6" s="212"/>
    </row>
    <row r="7" spans="1:108" ht="9.75" customHeight="1">
      <c r="A7" s="355"/>
      <c r="C7" s="360"/>
      <c r="D7" s="360"/>
      <c r="E7" s="360"/>
      <c r="F7" s="360"/>
      <c r="G7" s="360"/>
      <c r="H7" s="360"/>
      <c r="I7" s="360"/>
      <c r="J7" s="360"/>
      <c r="K7" s="360"/>
      <c r="L7" s="360"/>
      <c r="M7" s="360"/>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c r="AO7" s="360"/>
      <c r="AP7" s="360"/>
      <c r="AQ7" s="360"/>
      <c r="AR7" s="360"/>
      <c r="AS7" s="360"/>
      <c r="AT7" s="360"/>
      <c r="AU7" s="360"/>
      <c r="AV7" s="360"/>
      <c r="AW7" s="360"/>
      <c r="AX7" s="360"/>
      <c r="AY7" s="360"/>
      <c r="AZ7" s="360"/>
      <c r="BA7" s="360"/>
      <c r="BB7" s="360"/>
      <c r="BC7" s="360"/>
      <c r="BD7" s="360"/>
      <c r="BE7" s="360"/>
      <c r="BF7" s="360"/>
      <c r="BG7" s="360"/>
      <c r="BH7" s="360"/>
      <c r="BI7" s="360"/>
      <c r="BJ7" s="360"/>
      <c r="BK7" s="360"/>
      <c r="BL7" s="360"/>
      <c r="BM7" s="360"/>
      <c r="BN7" s="360"/>
      <c r="BO7" s="360"/>
      <c r="BP7" s="360"/>
      <c r="BQ7" s="360"/>
      <c r="BR7" s="360"/>
      <c r="BS7" s="360"/>
      <c r="BT7" s="360"/>
      <c r="BU7" s="360"/>
      <c r="BV7" s="360"/>
      <c r="BW7" s="360"/>
      <c r="BX7" s="360"/>
      <c r="BY7" s="360"/>
      <c r="BZ7" s="360"/>
      <c r="CA7" s="360"/>
      <c r="CB7" s="360"/>
      <c r="CC7" s="360"/>
      <c r="CD7" s="360"/>
      <c r="CE7" s="360"/>
      <c r="CF7" s="360"/>
      <c r="CG7" s="360"/>
      <c r="CH7" s="360"/>
      <c r="CI7" s="360"/>
      <c r="CJ7" s="360"/>
      <c r="CK7" s="360"/>
      <c r="CL7" s="360"/>
      <c r="CM7" s="360"/>
      <c r="CN7" s="360"/>
      <c r="CO7" s="360"/>
      <c r="CP7" s="360"/>
      <c r="CQ7" s="360"/>
      <c r="CR7" s="360"/>
      <c r="CS7" s="360"/>
      <c r="CT7" s="360"/>
      <c r="CU7" s="360"/>
      <c r="CV7" s="360"/>
      <c r="CW7" s="360"/>
      <c r="CX7" s="360"/>
      <c r="CZ7" s="355"/>
      <c r="DA7" s="212"/>
      <c r="DB7" s="212"/>
    </row>
    <row r="8" spans="1:108" ht="15.75" customHeight="1">
      <c r="A8" s="355"/>
      <c r="C8" s="361" t="s">
        <v>70</v>
      </c>
      <c r="D8" s="361"/>
      <c r="E8" s="361"/>
      <c r="F8" s="361"/>
      <c r="G8" s="361"/>
      <c r="H8" s="361"/>
      <c r="I8" s="361"/>
      <c r="J8" s="361"/>
      <c r="K8" s="361"/>
      <c r="L8" s="361"/>
      <c r="M8" s="361"/>
      <c r="N8" s="361"/>
      <c r="O8" s="362" t="e">
        <f>IF(#REF!="","",#REF!)</f>
        <v>#REF!</v>
      </c>
      <c r="P8" s="362"/>
      <c r="Q8" s="362"/>
      <c r="R8" s="362"/>
      <c r="S8" s="362"/>
      <c r="T8" s="362"/>
      <c r="U8" s="362"/>
      <c r="V8" s="362"/>
      <c r="W8" s="362"/>
      <c r="X8" s="362"/>
      <c r="Y8" s="362"/>
      <c r="Z8" s="362"/>
      <c r="AA8" s="362"/>
      <c r="AB8" s="362"/>
      <c r="AC8" s="362"/>
      <c r="AD8" s="362"/>
      <c r="AE8" s="362"/>
      <c r="AF8" s="362"/>
      <c r="AG8" s="362"/>
      <c r="AH8" s="362"/>
      <c r="AI8" s="362"/>
      <c r="AJ8" s="362"/>
      <c r="AK8" s="362"/>
      <c r="AL8" s="362"/>
      <c r="AM8" s="362"/>
      <c r="AN8" s="362"/>
      <c r="AO8" s="362"/>
      <c r="AP8" s="362"/>
      <c r="AQ8" s="362"/>
      <c r="AR8" s="362"/>
      <c r="AS8" s="362"/>
      <c r="AT8" s="362"/>
      <c r="AU8" s="362"/>
      <c r="AV8" s="362"/>
      <c r="AW8" s="362"/>
      <c r="AX8" s="362"/>
      <c r="AY8" s="362"/>
      <c r="AZ8" s="362"/>
      <c r="BA8" s="362"/>
      <c r="BB8" s="362"/>
      <c r="BC8" s="362"/>
      <c r="BD8" s="362"/>
      <c r="BE8" s="362"/>
      <c r="BF8" s="362"/>
      <c r="BG8" s="362"/>
      <c r="BH8" s="362"/>
      <c r="BI8" s="362"/>
      <c r="BJ8" s="362"/>
      <c r="BK8" s="362"/>
      <c r="BL8" s="362"/>
      <c r="BM8" s="362"/>
      <c r="BN8" s="362"/>
      <c r="BO8" s="362"/>
      <c r="BP8" s="362"/>
      <c r="BQ8" s="363" t="s">
        <v>71</v>
      </c>
      <c r="BR8" s="363"/>
      <c r="BS8" s="363"/>
      <c r="BT8" s="363"/>
      <c r="BU8" s="363"/>
      <c r="BV8" s="363"/>
      <c r="BW8" s="363"/>
      <c r="BX8" s="363"/>
      <c r="BY8" s="363"/>
      <c r="BZ8" s="363"/>
      <c r="CA8" s="363"/>
      <c r="CB8" s="363"/>
      <c r="CC8" s="364" t="e">
        <f>IF(#REF!="","",#REF!)</f>
        <v>#REF!</v>
      </c>
      <c r="CD8" s="364"/>
      <c r="CE8" s="364"/>
      <c r="CF8" s="364"/>
      <c r="CG8" s="364"/>
      <c r="CH8" s="364"/>
      <c r="CI8" s="364"/>
      <c r="CJ8" s="364"/>
      <c r="CK8" s="364"/>
      <c r="CL8" s="364"/>
      <c r="CM8" s="364"/>
      <c r="CN8" s="364"/>
      <c r="CO8" s="364"/>
      <c r="CP8" s="364"/>
      <c r="CQ8" s="364"/>
      <c r="CR8" s="364"/>
      <c r="CS8" s="364"/>
      <c r="CT8" s="364"/>
      <c r="CU8" s="364"/>
      <c r="CV8" s="364"/>
      <c r="CW8" s="364"/>
      <c r="CX8" s="364"/>
      <c r="CZ8" s="355"/>
      <c r="DA8" s="212"/>
      <c r="DB8" s="212"/>
    </row>
    <row r="9" spans="1:108" ht="12.75" customHeight="1">
      <c r="A9" s="213"/>
      <c r="B9" s="349"/>
      <c r="C9" s="349"/>
      <c r="D9" s="349"/>
      <c r="E9" s="349"/>
      <c r="F9" s="349"/>
      <c r="G9" s="349"/>
      <c r="H9" s="349"/>
      <c r="I9" s="349"/>
      <c r="J9" s="349"/>
      <c r="K9" s="349"/>
      <c r="L9" s="349"/>
      <c r="M9" s="349"/>
      <c r="N9" s="349"/>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49"/>
      <c r="BD9" s="349"/>
      <c r="BE9" s="349"/>
      <c r="BF9" s="349"/>
      <c r="BG9" s="349"/>
      <c r="BH9" s="349"/>
      <c r="BI9" s="349"/>
      <c r="BJ9" s="349"/>
      <c r="BK9" s="349"/>
      <c r="BL9" s="349"/>
      <c r="BM9" s="349"/>
      <c r="BN9" s="349"/>
      <c r="BO9" s="349"/>
      <c r="BP9" s="349"/>
      <c r="BQ9" s="349"/>
      <c r="BR9" s="349"/>
      <c r="BS9" s="349"/>
      <c r="BT9" s="349"/>
      <c r="BU9" s="349"/>
      <c r="BV9" s="349"/>
      <c r="BW9" s="349"/>
      <c r="BX9" s="349"/>
      <c r="BY9" s="349"/>
      <c r="BZ9" s="349"/>
      <c r="CA9" s="349"/>
      <c r="CB9" s="349"/>
      <c r="CC9" s="349"/>
      <c r="CD9" s="349"/>
      <c r="CE9" s="349"/>
      <c r="CF9" s="349"/>
      <c r="CG9" s="349"/>
      <c r="CH9" s="349"/>
      <c r="CI9" s="349"/>
      <c r="CJ9" s="349"/>
      <c r="CK9" s="349"/>
      <c r="CL9" s="349"/>
      <c r="CM9" s="349"/>
      <c r="CN9" s="349"/>
      <c r="CO9" s="349"/>
      <c r="CP9" s="349"/>
      <c r="CQ9" s="349"/>
      <c r="CR9" s="349"/>
      <c r="CS9" s="349"/>
      <c r="CT9" s="349"/>
      <c r="CU9" s="349"/>
      <c r="CV9" s="349"/>
      <c r="CW9" s="349"/>
      <c r="CX9" s="349"/>
      <c r="CY9" s="349"/>
      <c r="CZ9" s="213"/>
      <c r="DA9" s="212"/>
      <c r="DB9" s="212"/>
    </row>
    <row r="10" spans="1:108" ht="19.5" customHeight="1">
      <c r="A10" s="212"/>
      <c r="B10" s="350"/>
      <c r="C10" s="350"/>
      <c r="D10" s="350"/>
      <c r="E10" s="350"/>
      <c r="F10" s="350"/>
      <c r="G10" s="350"/>
      <c r="H10" s="350"/>
      <c r="I10" s="350"/>
      <c r="J10" s="350"/>
      <c r="K10" s="350"/>
      <c r="L10" s="350"/>
      <c r="M10" s="350"/>
      <c r="N10" s="350"/>
      <c r="O10" s="350"/>
      <c r="P10" s="350"/>
      <c r="Q10" s="350"/>
      <c r="R10" s="350"/>
      <c r="S10" s="350"/>
      <c r="T10" s="350"/>
      <c r="U10" s="350"/>
      <c r="V10" s="350"/>
      <c r="W10" s="350"/>
      <c r="X10" s="350"/>
      <c r="Y10" s="350"/>
      <c r="Z10" s="350"/>
      <c r="AA10" s="350"/>
      <c r="AB10" s="350"/>
      <c r="AC10" s="350"/>
      <c r="AD10" s="350"/>
      <c r="AE10" s="350"/>
      <c r="AF10" s="350"/>
      <c r="AG10" s="350"/>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0"/>
      <c r="BD10" s="350"/>
      <c r="BE10" s="350"/>
      <c r="BF10" s="350"/>
      <c r="BG10" s="350"/>
      <c r="BH10" s="350"/>
      <c r="BI10" s="350"/>
      <c r="BJ10" s="350"/>
      <c r="BK10" s="350"/>
      <c r="BL10" s="350"/>
      <c r="BM10" s="350"/>
      <c r="BN10" s="350"/>
      <c r="BO10" s="350"/>
      <c r="BP10" s="350"/>
      <c r="BQ10" s="350"/>
      <c r="BR10" s="350"/>
      <c r="BS10" s="350"/>
      <c r="BT10" s="350"/>
      <c r="BU10" s="350"/>
      <c r="BV10" s="350"/>
      <c r="BW10" s="350"/>
      <c r="BX10" s="350"/>
      <c r="BY10" s="350"/>
      <c r="BZ10" s="350"/>
      <c r="CA10" s="350"/>
      <c r="CB10" s="350"/>
      <c r="CC10" s="350"/>
      <c r="CD10" s="350"/>
      <c r="CE10" s="350"/>
      <c r="CF10" s="350"/>
      <c r="CG10" s="350"/>
      <c r="CH10" s="350"/>
      <c r="CI10" s="350"/>
      <c r="CJ10" s="350"/>
      <c r="CK10" s="350"/>
      <c r="CL10" s="350"/>
      <c r="CM10" s="350"/>
      <c r="CN10" s="350"/>
      <c r="CO10" s="350"/>
      <c r="CP10" s="350"/>
      <c r="CQ10" s="350"/>
      <c r="CR10" s="350"/>
      <c r="CS10" s="350"/>
      <c r="CT10" s="350"/>
      <c r="CU10" s="350"/>
      <c r="CV10" s="350"/>
      <c r="CW10" s="350"/>
      <c r="CX10" s="350"/>
      <c r="CY10" s="350"/>
      <c r="CZ10" s="212"/>
      <c r="DA10" s="212"/>
      <c r="DB10" s="212"/>
    </row>
    <row r="11" spans="1:108" ht="13.5" customHeight="1">
      <c r="A11" s="332"/>
      <c r="B11" s="216"/>
      <c r="C11" s="351"/>
      <c r="D11" s="351"/>
      <c r="E11" s="351"/>
      <c r="F11" s="351"/>
      <c r="G11" s="351"/>
      <c r="H11" s="351"/>
      <c r="I11" s="351"/>
      <c r="J11" s="351"/>
      <c r="K11" s="351"/>
      <c r="L11" s="351"/>
      <c r="M11" s="351"/>
      <c r="N11" s="351"/>
      <c r="O11" s="351"/>
      <c r="P11" s="351"/>
      <c r="Q11" s="351"/>
      <c r="R11" s="351"/>
      <c r="S11" s="351"/>
      <c r="T11" s="351"/>
      <c r="U11" s="351"/>
      <c r="V11" s="351"/>
      <c r="W11" s="351"/>
      <c r="X11" s="351"/>
      <c r="Y11" s="351"/>
      <c r="Z11" s="351"/>
      <c r="AA11" s="351"/>
      <c r="AB11" s="351"/>
      <c r="AC11" s="351"/>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1"/>
      <c r="BD11" s="351"/>
      <c r="BE11" s="351"/>
      <c r="BF11" s="351"/>
      <c r="BG11" s="351"/>
      <c r="BH11" s="351"/>
      <c r="BI11" s="351"/>
      <c r="BJ11" s="351"/>
      <c r="BK11" s="351"/>
      <c r="BL11" s="351"/>
      <c r="BM11" s="351"/>
      <c r="BN11" s="351"/>
      <c r="BO11" s="351"/>
      <c r="BP11" s="351"/>
      <c r="BQ11" s="351"/>
      <c r="BR11" s="351"/>
      <c r="BS11" s="351"/>
      <c r="BT11" s="351"/>
      <c r="BU11" s="351"/>
      <c r="BV11" s="351"/>
      <c r="BW11" s="351"/>
      <c r="BX11" s="351"/>
      <c r="BY11" s="351"/>
      <c r="BZ11" s="351"/>
      <c r="CA11" s="351"/>
      <c r="CB11" s="351"/>
      <c r="CC11" s="351"/>
      <c r="CD11" s="351"/>
      <c r="CE11" s="351"/>
      <c r="CF11" s="351"/>
      <c r="CG11" s="351"/>
      <c r="CH11" s="351"/>
      <c r="CI11" s="351"/>
      <c r="CJ11" s="351"/>
      <c r="CK11" s="351"/>
      <c r="CL11" s="351"/>
      <c r="CM11" s="351"/>
      <c r="CN11" s="351"/>
      <c r="CO11" s="351"/>
      <c r="CP11" s="351"/>
      <c r="CQ11" s="351"/>
      <c r="CR11" s="351"/>
      <c r="CS11" s="351"/>
      <c r="CT11" s="351"/>
      <c r="CU11" s="351"/>
      <c r="CV11" s="351"/>
      <c r="CW11" s="351"/>
      <c r="CX11" s="351"/>
      <c r="CY11" s="217"/>
      <c r="CZ11" s="334"/>
      <c r="DA11" s="212"/>
      <c r="DB11" s="212"/>
    </row>
    <row r="12" spans="1:108" ht="15.75" customHeight="1">
      <c r="A12" s="332"/>
      <c r="B12" s="218"/>
      <c r="C12" s="347" t="s">
        <v>718</v>
      </c>
      <c r="D12" s="347"/>
      <c r="E12" s="347"/>
      <c r="F12" s="347"/>
      <c r="G12" s="347"/>
      <c r="H12" s="347"/>
      <c r="I12" s="347"/>
      <c r="J12" s="347"/>
      <c r="K12" s="347"/>
      <c r="L12" s="347"/>
      <c r="M12" s="347"/>
      <c r="N12" s="347"/>
      <c r="O12" s="347"/>
      <c r="P12" s="347"/>
      <c r="Q12" s="347"/>
      <c r="R12" s="347"/>
      <c r="S12" s="347"/>
      <c r="T12" s="347"/>
      <c r="U12" s="347"/>
      <c r="V12" s="347"/>
      <c r="W12" s="347"/>
      <c r="X12" s="347"/>
      <c r="Y12" s="347"/>
      <c r="Z12" s="347"/>
      <c r="AA12" s="347"/>
      <c r="AB12" s="347"/>
      <c r="AC12" s="347"/>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7"/>
      <c r="BD12" s="347"/>
      <c r="BE12" s="347"/>
      <c r="BF12" s="347"/>
      <c r="BG12" s="347"/>
      <c r="BH12" s="347"/>
      <c r="BI12" s="347"/>
      <c r="BJ12" s="347"/>
      <c r="BK12" s="347"/>
      <c r="BL12" s="347"/>
      <c r="BM12" s="347"/>
      <c r="BN12" s="347"/>
      <c r="BO12" s="347"/>
      <c r="BP12" s="347"/>
      <c r="BQ12" s="347"/>
      <c r="BR12" s="347"/>
      <c r="BS12" s="347"/>
      <c r="BT12" s="347"/>
      <c r="BU12" s="347"/>
      <c r="BV12" s="347"/>
      <c r="BW12" s="347"/>
      <c r="BX12" s="347"/>
      <c r="BY12" s="347"/>
      <c r="BZ12" s="347"/>
      <c r="CA12" s="347"/>
      <c r="CB12" s="347"/>
      <c r="CC12" s="347"/>
      <c r="CD12" s="347"/>
      <c r="CE12" s="347"/>
      <c r="CF12" s="347"/>
      <c r="CG12" s="347"/>
      <c r="CH12" s="352">
        <v>0</v>
      </c>
      <c r="CI12" s="352"/>
      <c r="CJ12" s="352"/>
      <c r="CK12" s="352"/>
      <c r="CL12" s="352"/>
      <c r="CM12" s="352"/>
      <c r="CN12" s="352"/>
      <c r="CO12" s="352"/>
      <c r="CP12" s="352"/>
      <c r="CQ12" s="352"/>
      <c r="CR12" s="352"/>
      <c r="CS12" s="352"/>
      <c r="CT12" s="352"/>
      <c r="CU12" s="352"/>
      <c r="CV12" s="352"/>
      <c r="CW12" s="352"/>
      <c r="CX12" s="352"/>
      <c r="CY12" s="219"/>
      <c r="CZ12" s="334"/>
      <c r="DA12" s="212"/>
      <c r="DB12" s="212"/>
    </row>
    <row r="13" spans="1:108" ht="15.75" customHeight="1">
      <c r="A13" s="332"/>
      <c r="B13" s="218"/>
      <c r="C13" s="347" t="s">
        <v>719</v>
      </c>
      <c r="D13" s="347"/>
      <c r="E13" s="347"/>
      <c r="F13" s="347"/>
      <c r="G13" s="347"/>
      <c r="H13" s="347"/>
      <c r="I13" s="347"/>
      <c r="J13" s="347"/>
      <c r="K13" s="347"/>
      <c r="L13" s="347"/>
      <c r="M13" s="347"/>
      <c r="N13" s="347"/>
      <c r="O13" s="347"/>
      <c r="P13" s="347"/>
      <c r="Q13" s="347"/>
      <c r="R13" s="347"/>
      <c r="S13" s="347"/>
      <c r="T13" s="347"/>
      <c r="U13" s="347"/>
      <c r="V13" s="347"/>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c r="BI13" s="347"/>
      <c r="BJ13" s="347"/>
      <c r="BK13" s="347"/>
      <c r="BL13" s="347"/>
      <c r="BM13" s="347"/>
      <c r="BN13" s="347"/>
      <c r="BO13" s="347"/>
      <c r="BP13" s="347"/>
      <c r="BQ13" s="347"/>
      <c r="BR13" s="347"/>
      <c r="BS13" s="347"/>
      <c r="BT13" s="347"/>
      <c r="BU13" s="347"/>
      <c r="BV13" s="347"/>
      <c r="BW13" s="347"/>
      <c r="BX13" s="347"/>
      <c r="BY13" s="347"/>
      <c r="BZ13" s="347"/>
      <c r="CA13" s="347"/>
      <c r="CB13" s="347"/>
      <c r="CC13" s="347"/>
      <c r="CD13" s="347"/>
      <c r="CE13" s="347"/>
      <c r="CF13" s="347"/>
      <c r="CG13" s="347"/>
      <c r="CH13" s="353">
        <v>0</v>
      </c>
      <c r="CI13" s="353"/>
      <c r="CJ13" s="353"/>
      <c r="CK13" s="353"/>
      <c r="CL13" s="353"/>
      <c r="CM13" s="353"/>
      <c r="CN13" s="353"/>
      <c r="CO13" s="353"/>
      <c r="CP13" s="353"/>
      <c r="CQ13" s="353"/>
      <c r="CR13" s="353"/>
      <c r="CS13" s="353"/>
      <c r="CT13" s="353"/>
      <c r="CU13" s="353"/>
      <c r="CV13" s="353"/>
      <c r="CW13" s="353"/>
      <c r="CX13" s="353"/>
      <c r="CY13" s="219"/>
      <c r="CZ13" s="334"/>
      <c r="DA13" s="212"/>
      <c r="DB13" s="212"/>
    </row>
    <row r="14" spans="1:108" ht="15.75" customHeight="1">
      <c r="A14" s="332"/>
      <c r="B14" s="218"/>
      <c r="C14" s="347" t="s">
        <v>720</v>
      </c>
      <c r="D14" s="347"/>
      <c r="E14" s="347"/>
      <c r="F14" s="347"/>
      <c r="G14" s="347"/>
      <c r="H14" s="347"/>
      <c r="I14" s="347"/>
      <c r="J14" s="347"/>
      <c r="K14" s="347"/>
      <c r="L14" s="347"/>
      <c r="M14" s="347"/>
      <c r="N14" s="347"/>
      <c r="O14" s="347"/>
      <c r="P14" s="347"/>
      <c r="Q14" s="347"/>
      <c r="R14" s="347"/>
      <c r="S14" s="347"/>
      <c r="T14" s="347"/>
      <c r="U14" s="347"/>
      <c r="V14" s="347"/>
      <c r="W14" s="347"/>
      <c r="X14" s="347"/>
      <c r="Y14" s="347"/>
      <c r="Z14" s="347"/>
      <c r="AA14" s="347"/>
      <c r="AB14" s="347"/>
      <c r="AC14" s="347"/>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7"/>
      <c r="BD14" s="347"/>
      <c r="BE14" s="347"/>
      <c r="BF14" s="347"/>
      <c r="BG14" s="347"/>
      <c r="BH14" s="347"/>
      <c r="BI14" s="347"/>
      <c r="BJ14" s="347"/>
      <c r="BK14" s="347"/>
      <c r="BL14" s="347"/>
      <c r="BM14" s="347"/>
      <c r="BN14" s="347"/>
      <c r="BO14" s="347"/>
      <c r="BP14" s="347"/>
      <c r="BQ14" s="347"/>
      <c r="BR14" s="347"/>
      <c r="BS14" s="347"/>
      <c r="BT14" s="347"/>
      <c r="BU14" s="347"/>
      <c r="BV14" s="347"/>
      <c r="BW14" s="347"/>
      <c r="BX14" s="347"/>
      <c r="BY14" s="347"/>
      <c r="BZ14" s="347"/>
      <c r="CA14" s="347"/>
      <c r="CB14" s="347"/>
      <c r="CC14" s="347"/>
      <c r="CD14" s="347"/>
      <c r="CE14" s="347"/>
      <c r="CF14" s="347"/>
      <c r="CG14" s="347"/>
      <c r="CH14" s="348">
        <f>CH12*CH13</f>
        <v>0</v>
      </c>
      <c r="CI14" s="348"/>
      <c r="CJ14" s="348"/>
      <c r="CK14" s="348"/>
      <c r="CL14" s="348"/>
      <c r="CM14" s="348"/>
      <c r="CN14" s="348"/>
      <c r="CO14" s="348"/>
      <c r="CP14" s="348"/>
      <c r="CQ14" s="348"/>
      <c r="CR14" s="348"/>
      <c r="CS14" s="348"/>
      <c r="CT14" s="348"/>
      <c r="CU14" s="348"/>
      <c r="CV14" s="348"/>
      <c r="CW14" s="348"/>
      <c r="CX14" s="348"/>
      <c r="CY14" s="219"/>
      <c r="CZ14" s="334"/>
      <c r="DA14" s="212"/>
      <c r="DB14" s="212"/>
    </row>
    <row r="15" spans="1:108" ht="15.75" customHeight="1">
      <c r="A15" s="332"/>
      <c r="B15" s="218"/>
      <c r="C15" s="347" t="s">
        <v>721</v>
      </c>
      <c r="D15" s="347"/>
      <c r="E15" s="347"/>
      <c r="F15" s="347"/>
      <c r="G15" s="347"/>
      <c r="H15" s="347"/>
      <c r="I15" s="347"/>
      <c r="J15" s="347"/>
      <c r="K15" s="347"/>
      <c r="L15" s="347"/>
      <c r="M15" s="347"/>
      <c r="N15" s="347"/>
      <c r="O15" s="347"/>
      <c r="P15" s="347"/>
      <c r="Q15" s="347"/>
      <c r="R15" s="347"/>
      <c r="S15" s="347"/>
      <c r="T15" s="347"/>
      <c r="U15" s="347"/>
      <c r="V15" s="347"/>
      <c r="W15" s="347"/>
      <c r="X15" s="347"/>
      <c r="Y15" s="347"/>
      <c r="Z15" s="347"/>
      <c r="AA15" s="347"/>
      <c r="AB15" s="347"/>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c r="BI15" s="347"/>
      <c r="BJ15" s="347"/>
      <c r="BK15" s="347"/>
      <c r="BL15" s="347"/>
      <c r="BM15" s="347"/>
      <c r="BN15" s="347"/>
      <c r="BO15" s="347"/>
      <c r="BP15" s="347"/>
      <c r="BQ15" s="347"/>
      <c r="BR15" s="347"/>
      <c r="BS15" s="347"/>
      <c r="BT15" s="347"/>
      <c r="BU15" s="347"/>
      <c r="BV15" s="347"/>
      <c r="BW15" s="347"/>
      <c r="BX15" s="347"/>
      <c r="BY15" s="347"/>
      <c r="BZ15" s="347"/>
      <c r="CA15" s="347"/>
      <c r="CB15" s="347"/>
      <c r="CC15" s="347"/>
      <c r="CD15" s="347"/>
      <c r="CE15" s="347"/>
      <c r="CF15" s="347"/>
      <c r="CG15" s="347"/>
      <c r="CH15" s="354">
        <v>0.2</v>
      </c>
      <c r="CI15" s="354"/>
      <c r="CJ15" s="354"/>
      <c r="CK15" s="354"/>
      <c r="CL15" s="354"/>
      <c r="CM15" s="354"/>
      <c r="CN15" s="354"/>
      <c r="CO15" s="354"/>
      <c r="CP15" s="354"/>
      <c r="CQ15" s="354"/>
      <c r="CR15" s="354"/>
      <c r="CS15" s="354"/>
      <c r="CT15" s="354"/>
      <c r="CU15" s="354"/>
      <c r="CV15" s="354"/>
      <c r="CW15" s="354"/>
      <c r="CX15" s="354"/>
      <c r="CY15" s="219"/>
      <c r="CZ15" s="334"/>
      <c r="DA15" s="212"/>
      <c r="DB15" s="212"/>
    </row>
    <row r="16" spans="1:108" ht="15.75" customHeight="1">
      <c r="A16" s="332"/>
      <c r="B16" s="218"/>
      <c r="C16" s="347" t="s">
        <v>722</v>
      </c>
      <c r="D16" s="347"/>
      <c r="E16" s="347"/>
      <c r="F16" s="347"/>
      <c r="G16" s="347"/>
      <c r="H16" s="347"/>
      <c r="I16" s="347"/>
      <c r="J16" s="347"/>
      <c r="K16" s="347"/>
      <c r="L16" s="347"/>
      <c r="M16" s="347"/>
      <c r="N16" s="347"/>
      <c r="O16" s="347"/>
      <c r="P16" s="347"/>
      <c r="Q16" s="347"/>
      <c r="R16" s="347"/>
      <c r="S16" s="347"/>
      <c r="T16" s="347"/>
      <c r="U16" s="347"/>
      <c r="V16" s="347"/>
      <c r="W16" s="347"/>
      <c r="X16" s="347"/>
      <c r="Y16" s="347"/>
      <c r="Z16" s="347"/>
      <c r="AA16" s="347"/>
      <c r="AB16" s="347"/>
      <c r="AC16" s="347"/>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7"/>
      <c r="BD16" s="347"/>
      <c r="BE16" s="347"/>
      <c r="BF16" s="347"/>
      <c r="BG16" s="347"/>
      <c r="BH16" s="347"/>
      <c r="BI16" s="347"/>
      <c r="BJ16" s="347"/>
      <c r="BK16" s="347"/>
      <c r="BL16" s="347"/>
      <c r="BM16" s="347"/>
      <c r="BN16" s="347"/>
      <c r="BO16" s="347"/>
      <c r="BP16" s="347"/>
      <c r="BQ16" s="347"/>
      <c r="BR16" s="347"/>
      <c r="BS16" s="347"/>
      <c r="BT16" s="347"/>
      <c r="BU16" s="347"/>
      <c r="BV16" s="347"/>
      <c r="BW16" s="347"/>
      <c r="BX16" s="347"/>
      <c r="BY16" s="347"/>
      <c r="BZ16" s="347"/>
      <c r="CA16" s="347"/>
      <c r="CB16" s="347"/>
      <c r="CC16" s="347"/>
      <c r="CD16" s="347"/>
      <c r="CE16" s="347"/>
      <c r="CF16" s="347"/>
      <c r="CG16" s="347"/>
      <c r="CH16" s="348">
        <f>CH14*CH15</f>
        <v>0</v>
      </c>
      <c r="CI16" s="348"/>
      <c r="CJ16" s="348"/>
      <c r="CK16" s="348"/>
      <c r="CL16" s="348"/>
      <c r="CM16" s="348"/>
      <c r="CN16" s="348"/>
      <c r="CO16" s="348"/>
      <c r="CP16" s="348"/>
      <c r="CQ16" s="348"/>
      <c r="CR16" s="348"/>
      <c r="CS16" s="348"/>
      <c r="CT16" s="348"/>
      <c r="CU16" s="348"/>
      <c r="CV16" s="348"/>
      <c r="CW16" s="348"/>
      <c r="CX16" s="348"/>
      <c r="CY16" s="219"/>
      <c r="CZ16" s="334"/>
      <c r="DA16" s="212"/>
      <c r="DB16" s="212"/>
    </row>
    <row r="17" spans="1:106" ht="15.75" customHeight="1">
      <c r="A17" s="332"/>
      <c r="B17" s="218"/>
      <c r="C17" s="347" t="s">
        <v>723</v>
      </c>
      <c r="D17" s="347"/>
      <c r="E17" s="347"/>
      <c r="F17" s="347"/>
      <c r="G17" s="347"/>
      <c r="H17" s="347"/>
      <c r="I17" s="347"/>
      <c r="J17" s="347"/>
      <c r="K17" s="347"/>
      <c r="L17" s="347"/>
      <c r="M17" s="347"/>
      <c r="N17" s="347"/>
      <c r="O17" s="347"/>
      <c r="P17" s="347"/>
      <c r="Q17" s="347"/>
      <c r="R17" s="347"/>
      <c r="S17" s="347"/>
      <c r="T17" s="347"/>
      <c r="U17" s="347"/>
      <c r="V17" s="347"/>
      <c r="W17" s="347"/>
      <c r="X17" s="347"/>
      <c r="Y17" s="347"/>
      <c r="Z17" s="347"/>
      <c r="AA17" s="347"/>
      <c r="AB17" s="347"/>
      <c r="AC17" s="347"/>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7"/>
      <c r="BK17" s="347"/>
      <c r="BL17" s="347"/>
      <c r="BM17" s="347"/>
      <c r="BN17" s="347"/>
      <c r="BO17" s="347"/>
      <c r="BP17" s="347"/>
      <c r="BQ17" s="347"/>
      <c r="BR17" s="347"/>
      <c r="BS17" s="347"/>
      <c r="BT17" s="347"/>
      <c r="BU17" s="347"/>
      <c r="BV17" s="347"/>
      <c r="BW17" s="347"/>
      <c r="BX17" s="347"/>
      <c r="BY17" s="347"/>
      <c r="BZ17" s="347"/>
      <c r="CA17" s="347"/>
      <c r="CB17" s="347"/>
      <c r="CC17" s="347"/>
      <c r="CD17" s="347"/>
      <c r="CE17" s="347"/>
      <c r="CF17" s="347"/>
      <c r="CG17" s="347"/>
      <c r="CH17" s="346">
        <v>12</v>
      </c>
      <c r="CI17" s="346"/>
      <c r="CJ17" s="346"/>
      <c r="CK17" s="346"/>
      <c r="CL17" s="346"/>
      <c r="CM17" s="346"/>
      <c r="CN17" s="346"/>
      <c r="CO17" s="346"/>
      <c r="CP17" s="346"/>
      <c r="CQ17" s="346"/>
      <c r="CR17" s="346"/>
      <c r="CS17" s="346"/>
      <c r="CT17" s="346"/>
      <c r="CU17" s="346"/>
      <c r="CV17" s="346"/>
      <c r="CW17" s="346"/>
      <c r="CX17" s="346"/>
      <c r="CY17" s="219"/>
      <c r="CZ17" s="334"/>
      <c r="DA17" s="220"/>
      <c r="DB17" s="212"/>
    </row>
    <row r="18" spans="1:106" ht="15.75" customHeight="1">
      <c r="A18" s="332"/>
      <c r="B18" s="218"/>
      <c r="C18" s="347" t="s">
        <v>724</v>
      </c>
      <c r="D18" s="347"/>
      <c r="E18" s="347"/>
      <c r="F18" s="347"/>
      <c r="G18" s="347"/>
      <c r="H18" s="347"/>
      <c r="I18" s="347"/>
      <c r="J18" s="347"/>
      <c r="K18" s="347"/>
      <c r="L18" s="347"/>
      <c r="M18" s="347"/>
      <c r="N18" s="347"/>
      <c r="O18" s="347"/>
      <c r="P18" s="347"/>
      <c r="Q18" s="347"/>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7"/>
      <c r="BD18" s="347"/>
      <c r="BE18" s="347"/>
      <c r="BF18" s="347"/>
      <c r="BG18" s="347"/>
      <c r="BH18" s="347"/>
      <c r="BI18" s="347"/>
      <c r="BJ18" s="347"/>
      <c r="BK18" s="347"/>
      <c r="BL18" s="347"/>
      <c r="BM18" s="347"/>
      <c r="BN18" s="347"/>
      <c r="BO18" s="347"/>
      <c r="BP18" s="347"/>
      <c r="BQ18" s="347"/>
      <c r="BR18" s="347"/>
      <c r="BS18" s="347"/>
      <c r="BT18" s="347"/>
      <c r="BU18" s="347"/>
      <c r="BV18" s="347"/>
      <c r="BW18" s="347"/>
      <c r="BX18" s="347"/>
      <c r="BY18" s="347"/>
      <c r="BZ18" s="347"/>
      <c r="CA18" s="347"/>
      <c r="CB18" s="347"/>
      <c r="CC18" s="347"/>
      <c r="CD18" s="347"/>
      <c r="CE18" s="347"/>
      <c r="CF18" s="347"/>
      <c r="CG18" s="347"/>
      <c r="CH18" s="348">
        <f>CH16/CH17</f>
        <v>0</v>
      </c>
      <c r="CI18" s="348"/>
      <c r="CJ18" s="348"/>
      <c r="CK18" s="348"/>
      <c r="CL18" s="348"/>
      <c r="CM18" s="348"/>
      <c r="CN18" s="348"/>
      <c r="CO18" s="348"/>
      <c r="CP18" s="348"/>
      <c r="CQ18" s="348"/>
      <c r="CR18" s="348"/>
      <c r="CS18" s="348"/>
      <c r="CT18" s="348"/>
      <c r="CU18" s="348"/>
      <c r="CV18" s="348"/>
      <c r="CW18" s="348"/>
      <c r="CX18" s="348"/>
      <c r="CY18" s="219"/>
      <c r="CZ18" s="334"/>
      <c r="DA18" s="221"/>
      <c r="DB18" s="212"/>
    </row>
    <row r="19" spans="1:106" ht="13.5" customHeight="1">
      <c r="A19" s="332"/>
      <c r="B19" s="222"/>
      <c r="C19" s="345"/>
      <c r="D19" s="345"/>
      <c r="E19" s="345"/>
      <c r="F19" s="345"/>
      <c r="G19" s="345"/>
      <c r="H19" s="345"/>
      <c r="I19" s="345"/>
      <c r="J19" s="345"/>
      <c r="K19" s="345"/>
      <c r="L19" s="345"/>
      <c r="M19" s="345"/>
      <c r="N19" s="345"/>
      <c r="O19" s="345"/>
      <c r="P19" s="345"/>
      <c r="Q19" s="345"/>
      <c r="R19" s="345"/>
      <c r="S19" s="345"/>
      <c r="T19" s="345"/>
      <c r="U19" s="345"/>
      <c r="V19" s="345"/>
      <c r="W19" s="345"/>
      <c r="X19" s="345"/>
      <c r="Y19" s="345"/>
      <c r="Z19" s="345"/>
      <c r="AA19" s="345"/>
      <c r="AB19" s="345"/>
      <c r="AC19" s="345"/>
      <c r="AD19" s="345"/>
      <c r="AE19" s="345"/>
      <c r="AF19" s="345"/>
      <c r="AG19" s="345"/>
      <c r="AH19" s="345"/>
      <c r="AI19" s="345"/>
      <c r="AJ19" s="345"/>
      <c r="AK19" s="345"/>
      <c r="AL19" s="345"/>
      <c r="AM19" s="345"/>
      <c r="AN19" s="345"/>
      <c r="AO19" s="345"/>
      <c r="AP19" s="345"/>
      <c r="AQ19" s="345"/>
      <c r="AR19" s="345"/>
      <c r="AS19" s="345"/>
      <c r="AT19" s="345"/>
      <c r="AU19" s="345"/>
      <c r="AV19" s="345"/>
      <c r="AW19" s="345"/>
      <c r="AX19" s="345"/>
      <c r="AY19" s="345"/>
      <c r="AZ19" s="345"/>
      <c r="BA19" s="345"/>
      <c r="BB19" s="345"/>
      <c r="BC19" s="345"/>
      <c r="BD19" s="345"/>
      <c r="BE19" s="345"/>
      <c r="BF19" s="345"/>
      <c r="BG19" s="345"/>
      <c r="BH19" s="345"/>
      <c r="BI19" s="345"/>
      <c r="BJ19" s="345"/>
      <c r="BK19" s="345"/>
      <c r="BL19" s="345"/>
      <c r="BM19" s="345"/>
      <c r="BN19" s="345"/>
      <c r="BO19" s="345"/>
      <c r="BP19" s="345"/>
      <c r="BQ19" s="345"/>
      <c r="BR19" s="345"/>
      <c r="BS19" s="345"/>
      <c r="BT19" s="345"/>
      <c r="BU19" s="345"/>
      <c r="BV19" s="345"/>
      <c r="BW19" s="345"/>
      <c r="BX19" s="345"/>
      <c r="BY19" s="345"/>
      <c r="BZ19" s="345"/>
      <c r="CA19" s="345"/>
      <c r="CB19" s="345"/>
      <c r="CC19" s="345"/>
      <c r="CD19" s="345"/>
      <c r="CE19" s="345"/>
      <c r="CF19" s="345"/>
      <c r="CG19" s="345"/>
      <c r="CH19" s="345"/>
      <c r="CI19" s="345"/>
      <c r="CJ19" s="345"/>
      <c r="CK19" s="345"/>
      <c r="CL19" s="345"/>
      <c r="CM19" s="345"/>
      <c r="CN19" s="345"/>
      <c r="CO19" s="345"/>
      <c r="CP19" s="345"/>
      <c r="CQ19" s="345"/>
      <c r="CR19" s="345"/>
      <c r="CS19" s="345"/>
      <c r="CT19" s="345"/>
      <c r="CU19" s="345"/>
      <c r="CV19" s="345"/>
      <c r="CW19" s="345"/>
      <c r="CX19" s="345"/>
      <c r="CY19" s="223"/>
      <c r="CZ19" s="334"/>
      <c r="DA19" s="212"/>
      <c r="DB19" s="212"/>
    </row>
    <row r="20" spans="1:106" ht="19.5" customHeight="1">
      <c r="A20" s="212"/>
      <c r="B20" s="329"/>
      <c r="C20" s="329"/>
      <c r="D20" s="329"/>
      <c r="E20" s="329"/>
      <c r="F20" s="329"/>
      <c r="G20" s="329"/>
      <c r="H20" s="329"/>
      <c r="I20" s="329"/>
      <c r="J20" s="329"/>
      <c r="K20" s="329"/>
      <c r="L20" s="329"/>
      <c r="M20" s="329"/>
      <c r="N20" s="329"/>
      <c r="O20" s="329"/>
      <c r="P20" s="329"/>
      <c r="Q20" s="329"/>
      <c r="R20" s="329"/>
      <c r="S20" s="329"/>
      <c r="T20" s="329"/>
      <c r="U20" s="329"/>
      <c r="V20" s="329"/>
      <c r="W20" s="329"/>
      <c r="X20" s="329"/>
      <c r="Y20" s="329"/>
      <c r="Z20" s="329"/>
      <c r="AA20" s="329"/>
      <c r="AB20" s="329"/>
      <c r="AC20" s="329"/>
      <c r="AD20" s="329"/>
      <c r="AE20" s="329"/>
      <c r="AF20" s="329"/>
      <c r="AG20" s="329"/>
      <c r="AH20" s="329"/>
      <c r="AI20" s="329"/>
      <c r="AJ20" s="329"/>
      <c r="AK20" s="329"/>
      <c r="AL20" s="329"/>
      <c r="AM20" s="329"/>
      <c r="AN20" s="329"/>
      <c r="AO20" s="329"/>
      <c r="AP20" s="329"/>
      <c r="AQ20" s="329"/>
      <c r="AR20" s="329"/>
      <c r="AS20" s="329"/>
      <c r="AT20" s="329"/>
      <c r="AU20" s="329"/>
      <c r="AV20" s="329"/>
      <c r="AW20" s="329"/>
      <c r="AX20" s="329"/>
      <c r="AY20" s="329"/>
      <c r="AZ20" s="329"/>
      <c r="BA20" s="329"/>
      <c r="BB20" s="329"/>
      <c r="BC20" s="329"/>
      <c r="BD20" s="329"/>
      <c r="BE20" s="329"/>
      <c r="BF20" s="329"/>
      <c r="BG20" s="329"/>
      <c r="BH20" s="329"/>
      <c r="BI20" s="329"/>
      <c r="BJ20" s="329"/>
      <c r="BK20" s="329"/>
      <c r="BL20" s="329"/>
      <c r="BM20" s="329"/>
      <c r="BN20" s="329"/>
      <c r="BO20" s="329"/>
      <c r="BP20" s="329"/>
      <c r="BQ20" s="329"/>
      <c r="BR20" s="329"/>
      <c r="BS20" s="329"/>
      <c r="BT20" s="329"/>
      <c r="BU20" s="329"/>
      <c r="BV20" s="329"/>
      <c r="BW20" s="329"/>
      <c r="BX20" s="329"/>
      <c r="BY20" s="329"/>
      <c r="BZ20" s="329"/>
      <c r="CA20" s="329"/>
      <c r="CB20" s="329"/>
      <c r="CC20" s="329"/>
      <c r="CD20" s="329"/>
      <c r="CE20" s="329"/>
      <c r="CF20" s="329"/>
      <c r="CG20" s="329"/>
      <c r="CH20" s="329"/>
      <c r="CI20" s="329"/>
      <c r="CJ20" s="329"/>
      <c r="CK20" s="329"/>
      <c r="CL20" s="329"/>
      <c r="CM20" s="329"/>
      <c r="CN20" s="329"/>
      <c r="CO20" s="329"/>
      <c r="CP20" s="329"/>
      <c r="CQ20" s="329"/>
      <c r="CR20" s="329"/>
      <c r="CS20" s="329"/>
      <c r="CT20" s="329"/>
      <c r="CU20" s="329"/>
      <c r="CV20" s="329"/>
      <c r="CW20" s="329"/>
      <c r="CX20" s="329"/>
      <c r="CY20" s="329"/>
      <c r="CZ20" s="224"/>
      <c r="DA20" s="212"/>
      <c r="DB20" s="212"/>
    </row>
    <row r="21" spans="1:106" ht="13.5" hidden="1" customHeight="1">
      <c r="A21" s="332"/>
      <c r="B21" s="225"/>
      <c r="C21" s="338"/>
      <c r="D21" s="338"/>
      <c r="E21" s="338"/>
      <c r="F21" s="338"/>
      <c r="G21" s="338"/>
      <c r="H21" s="338"/>
      <c r="I21" s="338"/>
      <c r="J21" s="338"/>
      <c r="K21" s="338"/>
      <c r="L21" s="338"/>
      <c r="M21" s="338"/>
      <c r="N21" s="338"/>
      <c r="O21" s="338"/>
      <c r="P21" s="338"/>
      <c r="Q21" s="338"/>
      <c r="R21" s="338"/>
      <c r="S21" s="338"/>
      <c r="T21" s="338"/>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8"/>
      <c r="AU21" s="338"/>
      <c r="AV21" s="338"/>
      <c r="AW21" s="338"/>
      <c r="AX21" s="338"/>
      <c r="AY21" s="338"/>
      <c r="AZ21" s="338"/>
      <c r="BA21" s="338"/>
      <c r="BB21" s="338"/>
      <c r="BC21" s="338"/>
      <c r="BD21" s="338"/>
      <c r="BE21" s="338"/>
      <c r="BF21" s="338"/>
      <c r="BG21" s="338"/>
      <c r="BH21" s="338"/>
      <c r="BI21" s="338"/>
      <c r="BJ21" s="338"/>
      <c r="BK21" s="338"/>
      <c r="BL21" s="338"/>
      <c r="BM21" s="338"/>
      <c r="BN21" s="338"/>
      <c r="BO21" s="338"/>
      <c r="BP21" s="338"/>
      <c r="BQ21" s="338"/>
      <c r="BR21" s="338"/>
      <c r="BS21" s="338"/>
      <c r="BT21" s="338"/>
      <c r="BU21" s="338"/>
      <c r="BV21" s="338"/>
      <c r="BW21" s="338"/>
      <c r="BX21" s="338"/>
      <c r="BY21" s="338"/>
      <c r="BZ21" s="338"/>
      <c r="CA21" s="338"/>
      <c r="CB21" s="338"/>
      <c r="CC21" s="338"/>
      <c r="CD21" s="338"/>
      <c r="CE21" s="338"/>
      <c r="CF21" s="338"/>
      <c r="CG21" s="338"/>
      <c r="CH21" s="338"/>
      <c r="CI21" s="338"/>
      <c r="CJ21" s="338"/>
      <c r="CK21" s="338"/>
      <c r="CL21" s="338"/>
      <c r="CM21" s="338"/>
      <c r="CN21" s="338"/>
      <c r="CO21" s="338"/>
      <c r="CP21" s="338"/>
      <c r="CQ21" s="338"/>
      <c r="CR21" s="338"/>
      <c r="CS21" s="338"/>
      <c r="CT21" s="338"/>
      <c r="CU21" s="338"/>
      <c r="CV21" s="338"/>
      <c r="CW21" s="338"/>
      <c r="CX21" s="338"/>
      <c r="CY21" s="226"/>
      <c r="CZ21" s="334"/>
      <c r="DA21" s="212"/>
      <c r="DB21" s="212"/>
    </row>
    <row r="22" spans="1:106" ht="15.75" hidden="1" customHeight="1">
      <c r="A22" s="332"/>
      <c r="B22" s="225"/>
      <c r="C22" s="339" t="s">
        <v>725</v>
      </c>
      <c r="D22" s="339"/>
      <c r="E22" s="339"/>
      <c r="F22" s="339"/>
      <c r="G22" s="339"/>
      <c r="H22" s="339"/>
      <c r="I22" s="339"/>
      <c r="J22" s="339"/>
      <c r="K22" s="339"/>
      <c r="L22" s="339"/>
      <c r="M22" s="339"/>
      <c r="N22" s="339"/>
      <c r="O22" s="339"/>
      <c r="P22" s="339"/>
      <c r="Q22" s="339"/>
      <c r="R22" s="339"/>
      <c r="S22" s="339"/>
      <c r="T22" s="339"/>
      <c r="U22" s="339"/>
      <c r="V22" s="339"/>
      <c r="W22" s="339"/>
      <c r="X22" s="339"/>
      <c r="Y22" s="339"/>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39"/>
      <c r="BK22" s="339"/>
      <c r="BL22" s="339"/>
      <c r="BM22" s="339"/>
      <c r="BN22" s="339"/>
      <c r="BO22" s="339"/>
      <c r="BP22" s="339"/>
      <c r="BQ22" s="339"/>
      <c r="BR22" s="339"/>
      <c r="BS22" s="339"/>
      <c r="BT22" s="339"/>
      <c r="BU22" s="339"/>
      <c r="BV22" s="339"/>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c r="CY22" s="226"/>
      <c r="CZ22" s="334"/>
      <c r="DA22" s="212"/>
      <c r="DB22" s="212"/>
    </row>
    <row r="23" spans="1:106" ht="15.75" hidden="1" customHeight="1">
      <c r="A23" s="332"/>
      <c r="B23" s="218"/>
      <c r="C23" s="340" t="s">
        <v>726</v>
      </c>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c r="CC23" s="340"/>
      <c r="CD23" s="340"/>
      <c r="CE23" s="340"/>
      <c r="CF23" s="340"/>
      <c r="CG23" s="340"/>
      <c r="CH23" s="341">
        <f>SUM(AZ17:AZ18)</f>
        <v>0</v>
      </c>
      <c r="CI23" s="341"/>
      <c r="CJ23" s="341"/>
      <c r="CK23" s="341"/>
      <c r="CL23" s="341"/>
      <c r="CM23" s="341"/>
      <c r="CN23" s="341"/>
      <c r="CO23" s="341"/>
      <c r="CP23" s="341"/>
      <c r="CQ23" s="341"/>
      <c r="CR23" s="341"/>
      <c r="CS23" s="341"/>
      <c r="CT23" s="341"/>
      <c r="CU23" s="341"/>
      <c r="CV23" s="341"/>
      <c r="CW23" s="341"/>
      <c r="CX23" s="341"/>
      <c r="CY23" s="219"/>
      <c r="CZ23" s="334"/>
      <c r="DA23" s="212"/>
      <c r="DB23" s="212"/>
    </row>
    <row r="24" spans="1:106" ht="15.75" hidden="1" customHeight="1">
      <c r="A24" s="332"/>
      <c r="B24" s="218"/>
      <c r="C24" s="340" t="s">
        <v>727</v>
      </c>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0"/>
      <c r="BD24" s="340"/>
      <c r="BE24" s="340"/>
      <c r="BF24" s="340"/>
      <c r="BG24" s="340"/>
      <c r="BH24" s="340"/>
      <c r="BI24" s="340"/>
      <c r="BJ24" s="340"/>
      <c r="BK24" s="340"/>
      <c r="BL24" s="340"/>
      <c r="BM24" s="340"/>
      <c r="BN24" s="340"/>
      <c r="BO24" s="340"/>
      <c r="BP24" s="340"/>
      <c r="BQ24" s="340"/>
      <c r="BR24" s="340"/>
      <c r="BS24" s="340"/>
      <c r="BT24" s="340"/>
      <c r="BU24" s="340"/>
      <c r="BV24" s="340"/>
      <c r="BW24" s="340"/>
      <c r="BX24" s="340"/>
      <c r="BY24" s="340"/>
      <c r="BZ24" s="340"/>
      <c r="CA24" s="340"/>
      <c r="CB24" s="340"/>
      <c r="CC24" s="340"/>
      <c r="CD24" s="340"/>
      <c r="CE24" s="340"/>
      <c r="CF24" s="340"/>
      <c r="CG24" s="340"/>
      <c r="CH24" s="342">
        <f>SUM(BQ17:BQ18)</f>
        <v>0</v>
      </c>
      <c r="CI24" s="342"/>
      <c r="CJ24" s="342"/>
      <c r="CK24" s="342"/>
      <c r="CL24" s="342"/>
      <c r="CM24" s="342"/>
      <c r="CN24" s="342"/>
      <c r="CO24" s="342"/>
      <c r="CP24" s="342"/>
      <c r="CQ24" s="342"/>
      <c r="CR24" s="342"/>
      <c r="CS24" s="342"/>
      <c r="CT24" s="342"/>
      <c r="CU24" s="342"/>
      <c r="CV24" s="342"/>
      <c r="CW24" s="342"/>
      <c r="CX24" s="342"/>
      <c r="CY24" s="219"/>
      <c r="CZ24" s="334"/>
      <c r="DA24" s="212"/>
      <c r="DB24" s="212"/>
    </row>
    <row r="25" spans="1:106" ht="15.75" hidden="1" customHeight="1">
      <c r="A25" s="332"/>
      <c r="B25" s="218"/>
      <c r="C25" s="340" t="s">
        <v>728</v>
      </c>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340"/>
      <c r="BM25" s="340"/>
      <c r="BN25" s="340"/>
      <c r="BO25" s="340"/>
      <c r="BP25" s="340"/>
      <c r="BQ25" s="340"/>
      <c r="BR25" s="340"/>
      <c r="BS25" s="340"/>
      <c r="BT25" s="340"/>
      <c r="BU25" s="340"/>
      <c r="BV25" s="340"/>
      <c r="BW25" s="340"/>
      <c r="BX25" s="340"/>
      <c r="BY25" s="340"/>
      <c r="BZ25" s="340"/>
      <c r="CA25" s="340"/>
      <c r="CB25" s="340"/>
      <c r="CC25" s="340"/>
      <c r="CD25" s="340"/>
      <c r="CE25" s="340"/>
      <c r="CF25" s="340"/>
      <c r="CG25" s="340"/>
      <c r="CH25" s="341" t="str">
        <f>IF(CH24=0,"",CH23/CH24)</f>
        <v/>
      </c>
      <c r="CI25" s="341"/>
      <c r="CJ25" s="341"/>
      <c r="CK25" s="341"/>
      <c r="CL25" s="341"/>
      <c r="CM25" s="341"/>
      <c r="CN25" s="341"/>
      <c r="CO25" s="341"/>
      <c r="CP25" s="341"/>
      <c r="CQ25" s="341"/>
      <c r="CR25" s="341"/>
      <c r="CS25" s="341"/>
      <c r="CT25" s="341"/>
      <c r="CU25" s="341"/>
      <c r="CV25" s="341"/>
      <c r="CW25" s="341"/>
      <c r="CX25" s="341"/>
      <c r="CY25" s="219"/>
      <c r="CZ25" s="334"/>
      <c r="DA25" s="212"/>
      <c r="DB25" s="212"/>
    </row>
    <row r="26" spans="1:106" ht="9.75" hidden="1" customHeight="1">
      <c r="A26" s="332"/>
      <c r="B26" s="218"/>
      <c r="C26" s="333"/>
      <c r="D26" s="333"/>
      <c r="E26" s="333"/>
      <c r="F26" s="333"/>
      <c r="G26" s="333"/>
      <c r="H26" s="333"/>
      <c r="I26" s="333"/>
      <c r="J26" s="333"/>
      <c r="K26" s="333"/>
      <c r="L26" s="333"/>
      <c r="M26" s="333"/>
      <c r="N26" s="333"/>
      <c r="O26" s="333"/>
      <c r="P26" s="333"/>
      <c r="Q26" s="333"/>
      <c r="R26" s="333"/>
      <c r="S26" s="333"/>
      <c r="T26" s="333"/>
      <c r="U26" s="333"/>
      <c r="V26" s="333"/>
      <c r="W26" s="333"/>
      <c r="X26" s="333"/>
      <c r="Y26" s="333"/>
      <c r="Z26" s="333"/>
      <c r="AA26" s="333"/>
      <c r="AB26" s="333"/>
      <c r="AC26" s="333"/>
      <c r="AD26" s="333"/>
      <c r="AE26" s="333"/>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3"/>
      <c r="BD26" s="333"/>
      <c r="BE26" s="333"/>
      <c r="BF26" s="333"/>
      <c r="BG26" s="333"/>
      <c r="BH26" s="333"/>
      <c r="BI26" s="333"/>
      <c r="BJ26" s="333"/>
      <c r="BK26" s="333"/>
      <c r="BL26" s="333"/>
      <c r="BM26" s="333"/>
      <c r="BN26" s="333"/>
      <c r="BO26" s="333"/>
      <c r="BP26" s="333"/>
      <c r="BQ26" s="333"/>
      <c r="BR26" s="333"/>
      <c r="BS26" s="333"/>
      <c r="BT26" s="333"/>
      <c r="BU26" s="333"/>
      <c r="BV26" s="333"/>
      <c r="BW26" s="333"/>
      <c r="BX26" s="333"/>
      <c r="BY26" s="333"/>
      <c r="BZ26" s="333"/>
      <c r="CA26" s="333"/>
      <c r="CB26" s="333"/>
      <c r="CC26" s="333"/>
      <c r="CD26" s="333"/>
      <c r="CE26" s="333"/>
      <c r="CF26" s="333"/>
      <c r="CG26" s="333"/>
      <c r="CH26" s="333"/>
      <c r="CI26" s="333"/>
      <c r="CJ26" s="333"/>
      <c r="CK26" s="333"/>
      <c r="CL26" s="333"/>
      <c r="CM26" s="333"/>
      <c r="CN26" s="333"/>
      <c r="CO26" s="333"/>
      <c r="CP26" s="333"/>
      <c r="CQ26" s="333"/>
      <c r="CR26" s="333"/>
      <c r="CS26" s="333"/>
      <c r="CT26" s="333"/>
      <c r="CU26" s="333"/>
      <c r="CV26" s="333"/>
      <c r="CW26" s="333"/>
      <c r="CX26" s="333"/>
      <c r="CY26" s="219"/>
      <c r="CZ26" s="334"/>
      <c r="DA26" s="212"/>
      <c r="DB26" s="212"/>
    </row>
    <row r="27" spans="1:106" ht="15.75" hidden="1" customHeight="1">
      <c r="A27" s="332"/>
      <c r="B27" s="218"/>
      <c r="C27" s="343" t="s">
        <v>729</v>
      </c>
      <c r="D27" s="343"/>
      <c r="E27" s="343"/>
      <c r="F27" s="343"/>
      <c r="G27" s="343"/>
      <c r="H27" s="343"/>
      <c r="I27" s="343"/>
      <c r="J27" s="343"/>
      <c r="K27" s="343"/>
      <c r="L27" s="343"/>
      <c r="M27" s="343"/>
      <c r="N27" s="343"/>
      <c r="O27" s="343"/>
      <c r="P27" s="343"/>
      <c r="Q27" s="343"/>
      <c r="R27" s="343"/>
      <c r="S27" s="343"/>
      <c r="T27" s="343"/>
      <c r="U27" s="343"/>
      <c r="V27" s="343"/>
      <c r="W27" s="343"/>
      <c r="X27" s="343"/>
      <c r="Y27" s="343"/>
      <c r="Z27" s="343"/>
      <c r="AA27" s="343"/>
      <c r="AB27" s="343"/>
      <c r="AC27" s="343"/>
      <c r="AD27" s="343"/>
      <c r="AE27" s="343"/>
      <c r="AF27" s="343"/>
      <c r="AG27" s="343"/>
      <c r="AH27" s="343"/>
      <c r="AI27" s="343"/>
      <c r="AJ27" s="343"/>
      <c r="AK27" s="343"/>
      <c r="AL27" s="343"/>
      <c r="AM27" s="343"/>
      <c r="AN27" s="343"/>
      <c r="AO27" s="343"/>
      <c r="AP27" s="343"/>
      <c r="AQ27" s="343"/>
      <c r="AR27" s="343"/>
      <c r="AS27" s="343"/>
      <c r="AT27" s="343"/>
      <c r="AU27" s="343"/>
      <c r="AV27" s="343"/>
      <c r="AW27" s="343"/>
      <c r="AX27" s="343"/>
      <c r="AY27" s="343"/>
      <c r="AZ27" s="343"/>
      <c r="BA27" s="343"/>
      <c r="BB27" s="343"/>
      <c r="BC27" s="343"/>
      <c r="BD27" s="343"/>
      <c r="BE27" s="343"/>
      <c r="BF27" s="343"/>
      <c r="BG27" s="343"/>
      <c r="BH27" s="343"/>
      <c r="BI27" s="343"/>
      <c r="BJ27" s="343"/>
      <c r="BK27" s="343"/>
      <c r="BL27" s="343"/>
      <c r="BM27" s="343"/>
      <c r="BN27" s="343"/>
      <c r="BO27" s="343"/>
      <c r="BP27" s="343"/>
      <c r="BQ27" s="343"/>
      <c r="BR27" s="343"/>
      <c r="BS27" s="343"/>
      <c r="BT27" s="343"/>
      <c r="BU27" s="343"/>
      <c r="BV27" s="343"/>
      <c r="BW27" s="343"/>
      <c r="BX27" s="343"/>
      <c r="BY27" s="343"/>
      <c r="BZ27" s="343"/>
      <c r="CA27" s="343"/>
      <c r="CB27" s="343"/>
      <c r="CC27" s="343"/>
      <c r="CD27" s="343"/>
      <c r="CE27" s="343"/>
      <c r="CF27" s="343"/>
      <c r="CG27" s="343"/>
      <c r="CH27" s="344" t="str">
        <f>IF(CH25="","",IF(CH25&gt;0,ROUNDDOWN(CH25,0),""))</f>
        <v/>
      </c>
      <c r="CI27" s="344"/>
      <c r="CJ27" s="344"/>
      <c r="CK27" s="344"/>
      <c r="CL27" s="344"/>
      <c r="CM27" s="344"/>
      <c r="CN27" s="344"/>
      <c r="CO27" s="344"/>
      <c r="CP27" s="344"/>
      <c r="CQ27" s="344"/>
      <c r="CR27" s="344"/>
      <c r="CS27" s="344"/>
      <c r="CT27" s="344"/>
      <c r="CU27" s="344"/>
      <c r="CV27" s="344"/>
      <c r="CW27" s="344"/>
      <c r="CX27" s="344"/>
      <c r="CY27" s="219"/>
      <c r="CZ27" s="334"/>
      <c r="DA27" s="212"/>
      <c r="DB27" s="212"/>
    </row>
    <row r="28" spans="1:106" ht="12.75" hidden="1" customHeight="1">
      <c r="A28" s="332"/>
      <c r="B28" s="222"/>
      <c r="C28" s="345"/>
      <c r="D28" s="345"/>
      <c r="E28" s="345"/>
      <c r="F28" s="345"/>
      <c r="G28" s="345"/>
      <c r="H28" s="345"/>
      <c r="I28" s="345"/>
      <c r="J28" s="345"/>
      <c r="K28" s="345"/>
      <c r="L28" s="345"/>
      <c r="M28" s="345"/>
      <c r="N28" s="345"/>
      <c r="O28" s="345"/>
      <c r="P28" s="345"/>
      <c r="Q28" s="345"/>
      <c r="R28" s="345"/>
      <c r="S28" s="345"/>
      <c r="T28" s="345"/>
      <c r="U28" s="345"/>
      <c r="V28" s="345"/>
      <c r="W28" s="345"/>
      <c r="X28" s="345"/>
      <c r="Y28" s="345"/>
      <c r="Z28" s="345"/>
      <c r="AA28" s="345"/>
      <c r="AB28" s="345"/>
      <c r="AC28" s="345"/>
      <c r="AD28" s="345"/>
      <c r="AE28" s="345"/>
      <c r="AF28" s="345"/>
      <c r="AG28" s="345"/>
      <c r="AH28" s="345"/>
      <c r="AI28" s="345"/>
      <c r="AJ28" s="345"/>
      <c r="AK28" s="345"/>
      <c r="AL28" s="345"/>
      <c r="AM28" s="345"/>
      <c r="AN28" s="345"/>
      <c r="AO28" s="345"/>
      <c r="AP28" s="345"/>
      <c r="AQ28" s="345"/>
      <c r="AR28" s="345"/>
      <c r="AS28" s="345"/>
      <c r="AT28" s="345"/>
      <c r="AU28" s="345"/>
      <c r="AV28" s="345"/>
      <c r="AW28" s="345"/>
      <c r="AX28" s="345"/>
      <c r="AY28" s="345"/>
      <c r="AZ28" s="345"/>
      <c r="BA28" s="345"/>
      <c r="BB28" s="345"/>
      <c r="BC28" s="345"/>
      <c r="BD28" s="345"/>
      <c r="BE28" s="345"/>
      <c r="BF28" s="345"/>
      <c r="BG28" s="345"/>
      <c r="BH28" s="345"/>
      <c r="BI28" s="345"/>
      <c r="BJ28" s="345"/>
      <c r="BK28" s="345"/>
      <c r="BL28" s="345"/>
      <c r="BM28" s="345"/>
      <c r="BN28" s="345"/>
      <c r="BO28" s="345"/>
      <c r="BP28" s="345"/>
      <c r="BQ28" s="345"/>
      <c r="BR28" s="345"/>
      <c r="BS28" s="345"/>
      <c r="BT28" s="345"/>
      <c r="BU28" s="345"/>
      <c r="BV28" s="345"/>
      <c r="BW28" s="345"/>
      <c r="BX28" s="345"/>
      <c r="BY28" s="345"/>
      <c r="BZ28" s="345"/>
      <c r="CA28" s="345"/>
      <c r="CB28" s="345"/>
      <c r="CC28" s="345"/>
      <c r="CD28" s="345"/>
      <c r="CE28" s="345"/>
      <c r="CF28" s="345"/>
      <c r="CG28" s="345"/>
      <c r="CH28" s="345"/>
      <c r="CI28" s="345"/>
      <c r="CJ28" s="345"/>
      <c r="CK28" s="345"/>
      <c r="CL28" s="345"/>
      <c r="CM28" s="345"/>
      <c r="CN28" s="345"/>
      <c r="CO28" s="345"/>
      <c r="CP28" s="345"/>
      <c r="CQ28" s="345"/>
      <c r="CR28" s="345"/>
      <c r="CS28" s="345"/>
      <c r="CT28" s="345"/>
      <c r="CU28" s="345"/>
      <c r="CV28" s="345"/>
      <c r="CW28" s="345"/>
      <c r="CX28" s="345"/>
      <c r="CY28" s="223"/>
      <c r="CZ28" s="334"/>
      <c r="DA28" s="212"/>
      <c r="DB28" s="212"/>
    </row>
    <row r="29" spans="1:106" ht="15.75" hidden="1" customHeight="1">
      <c r="A29" s="212"/>
      <c r="B29" s="331"/>
      <c r="C29" s="331"/>
      <c r="D29" s="331"/>
      <c r="E29" s="331"/>
      <c r="F29" s="331"/>
      <c r="G29" s="331"/>
      <c r="H29" s="331"/>
      <c r="I29" s="331"/>
      <c r="J29" s="331"/>
      <c r="K29" s="331"/>
      <c r="L29" s="331"/>
      <c r="M29" s="331"/>
      <c r="N29" s="331"/>
      <c r="O29" s="331"/>
      <c r="P29" s="331"/>
      <c r="Q29" s="331"/>
      <c r="R29" s="331"/>
      <c r="S29" s="331"/>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331"/>
      <c r="BE29" s="331"/>
      <c r="BF29" s="331"/>
      <c r="BG29" s="331"/>
      <c r="BH29" s="331"/>
      <c r="BI29" s="331"/>
      <c r="BJ29" s="331"/>
      <c r="BK29" s="331"/>
      <c r="BL29" s="331"/>
      <c r="BM29" s="331"/>
      <c r="BN29" s="331"/>
      <c r="BO29" s="331"/>
      <c r="BP29" s="331"/>
      <c r="BQ29" s="331"/>
      <c r="BR29" s="331"/>
      <c r="BS29" s="331"/>
      <c r="BT29" s="331"/>
      <c r="BU29" s="331"/>
      <c r="BV29" s="331"/>
      <c r="BW29" s="331"/>
      <c r="BX29" s="331"/>
      <c r="BY29" s="331"/>
      <c r="BZ29" s="331"/>
      <c r="CA29" s="331"/>
      <c r="CB29" s="331"/>
      <c r="CC29" s="331"/>
      <c r="CD29" s="331"/>
      <c r="CE29" s="331"/>
      <c r="CF29" s="331"/>
      <c r="CG29" s="331"/>
      <c r="CH29" s="331"/>
      <c r="CI29" s="331"/>
      <c r="CJ29" s="331"/>
      <c r="CK29" s="331"/>
      <c r="CL29" s="331"/>
      <c r="CM29" s="331"/>
      <c r="CN29" s="331"/>
      <c r="CO29" s="331"/>
      <c r="CP29" s="331"/>
      <c r="CQ29" s="331"/>
      <c r="CR29" s="331"/>
      <c r="CS29" s="331"/>
      <c r="CT29" s="331"/>
      <c r="CU29" s="331"/>
      <c r="CV29" s="331"/>
      <c r="CW29" s="331"/>
      <c r="CX29" s="331"/>
      <c r="CY29" s="331"/>
      <c r="CZ29" s="212"/>
      <c r="DA29" s="212"/>
      <c r="DB29" s="212"/>
    </row>
    <row r="30" spans="1:106">
      <c r="A30" s="332"/>
      <c r="B30" s="227"/>
      <c r="C30" s="333"/>
      <c r="D30" s="333"/>
      <c r="E30" s="333"/>
      <c r="F30" s="333"/>
      <c r="G30" s="333"/>
      <c r="H30" s="333"/>
      <c r="I30" s="333"/>
      <c r="J30" s="333"/>
      <c r="K30" s="333"/>
      <c r="L30" s="333"/>
      <c r="M30" s="333"/>
      <c r="N30" s="333"/>
      <c r="O30" s="333"/>
      <c r="P30" s="333"/>
      <c r="Q30" s="333"/>
      <c r="R30" s="333"/>
      <c r="S30" s="333"/>
      <c r="T30" s="333"/>
      <c r="U30" s="333"/>
      <c r="V30" s="333"/>
      <c r="W30" s="333"/>
      <c r="X30" s="333"/>
      <c r="Y30" s="333"/>
      <c r="Z30" s="333"/>
      <c r="AA30" s="333"/>
      <c r="AB30" s="333"/>
      <c r="AC30" s="333"/>
      <c r="AD30" s="333"/>
      <c r="AE30" s="333"/>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3"/>
      <c r="BD30" s="333"/>
      <c r="BE30" s="333"/>
      <c r="BF30" s="333"/>
      <c r="BG30" s="333"/>
      <c r="BH30" s="333"/>
      <c r="BI30" s="333"/>
      <c r="BJ30" s="333"/>
      <c r="BK30" s="333"/>
      <c r="BL30" s="333"/>
      <c r="BM30" s="333"/>
      <c r="BN30" s="333"/>
      <c r="BO30" s="333"/>
      <c r="BP30" s="333"/>
      <c r="BQ30" s="333"/>
      <c r="BR30" s="333"/>
      <c r="BS30" s="333"/>
      <c r="BT30" s="333"/>
      <c r="BU30" s="333"/>
      <c r="BV30" s="333"/>
      <c r="BW30" s="333"/>
      <c r="BX30" s="333"/>
      <c r="BY30" s="333"/>
      <c r="BZ30" s="333"/>
      <c r="CA30" s="333"/>
      <c r="CB30" s="333"/>
      <c r="CC30" s="333"/>
      <c r="CD30" s="333"/>
      <c r="CE30" s="333"/>
      <c r="CF30" s="333"/>
      <c r="CG30" s="333"/>
      <c r="CH30" s="333"/>
      <c r="CI30" s="333"/>
      <c r="CJ30" s="333"/>
      <c r="CK30" s="333"/>
      <c r="CL30" s="333"/>
      <c r="CM30" s="333"/>
      <c r="CN30" s="333"/>
      <c r="CO30" s="333"/>
      <c r="CP30" s="333"/>
      <c r="CQ30" s="333"/>
      <c r="CR30" s="333"/>
      <c r="CS30" s="333"/>
      <c r="CT30" s="333"/>
      <c r="CU30" s="333"/>
      <c r="CV30" s="333"/>
      <c r="CW30" s="333"/>
      <c r="CX30" s="333"/>
      <c r="CY30" s="228"/>
      <c r="CZ30" s="334"/>
      <c r="DA30" s="212"/>
      <c r="DB30" s="212"/>
    </row>
    <row r="31" spans="1:106">
      <c r="A31" s="332"/>
      <c r="B31" s="225"/>
      <c r="C31" s="335" t="s">
        <v>86</v>
      </c>
      <c r="D31" s="335"/>
      <c r="E31" s="335"/>
      <c r="F31" s="335"/>
      <c r="G31" s="335"/>
      <c r="H31" s="335"/>
      <c r="I31" s="335"/>
      <c r="J31" s="335"/>
      <c r="K31" s="335"/>
      <c r="L31" s="335"/>
      <c r="M31" s="335"/>
      <c r="N31" s="335"/>
      <c r="O31" s="335"/>
      <c r="P31" s="335"/>
      <c r="Q31" s="335"/>
      <c r="R31" s="335"/>
      <c r="S31" s="335"/>
      <c r="T31" s="335"/>
      <c r="U31" s="335"/>
      <c r="V31" s="335"/>
      <c r="W31" s="335"/>
      <c r="X31" s="335"/>
      <c r="Y31" s="335"/>
      <c r="Z31" s="335"/>
      <c r="AA31" s="335"/>
      <c r="AB31" s="335"/>
      <c r="AC31" s="335"/>
      <c r="AD31" s="335"/>
      <c r="AE31" s="335"/>
      <c r="AF31" s="335"/>
      <c r="AG31" s="335"/>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c r="BD31" s="335"/>
      <c r="BE31" s="335"/>
      <c r="BF31" s="335"/>
      <c r="BG31" s="335"/>
      <c r="BH31" s="335"/>
      <c r="BI31" s="335"/>
      <c r="BJ31" s="335"/>
      <c r="BK31" s="335"/>
      <c r="BL31" s="335"/>
      <c r="BM31" s="335"/>
      <c r="BN31" s="335"/>
      <c r="BO31" s="335"/>
      <c r="BP31" s="335"/>
      <c r="BQ31" s="335"/>
      <c r="BR31" s="335"/>
      <c r="BS31" s="335"/>
      <c r="BT31" s="335"/>
      <c r="BU31" s="335"/>
      <c r="BV31" s="335"/>
      <c r="BW31" s="335"/>
      <c r="BX31" s="335"/>
      <c r="BY31" s="335"/>
      <c r="BZ31" s="335"/>
      <c r="CA31" s="335"/>
      <c r="CB31" s="335"/>
      <c r="CC31" s="335"/>
      <c r="CD31" s="335"/>
      <c r="CE31" s="335"/>
      <c r="CF31" s="335"/>
      <c r="CG31" s="335"/>
      <c r="CH31" s="335"/>
      <c r="CI31" s="335"/>
      <c r="CJ31" s="335"/>
      <c r="CK31" s="335"/>
      <c r="CL31" s="335"/>
      <c r="CM31" s="335"/>
      <c r="CN31" s="335"/>
      <c r="CO31" s="335"/>
      <c r="CP31" s="335"/>
      <c r="CQ31" s="335"/>
      <c r="CR31" s="335"/>
      <c r="CS31" s="335"/>
      <c r="CT31" s="335"/>
      <c r="CU31" s="335"/>
      <c r="CV31" s="335"/>
      <c r="CW31" s="335"/>
      <c r="CX31" s="335"/>
      <c r="CY31" s="226"/>
      <c r="CZ31" s="334"/>
      <c r="DA31" s="212"/>
      <c r="DB31" s="212"/>
    </row>
    <row r="32" spans="1:106" ht="79.5" customHeight="1">
      <c r="A32" s="332"/>
      <c r="B32" s="225"/>
      <c r="C32" s="336"/>
      <c r="D32" s="336"/>
      <c r="E32" s="336"/>
      <c r="F32" s="336"/>
      <c r="G32" s="336"/>
      <c r="H32" s="336"/>
      <c r="I32" s="336"/>
      <c r="J32" s="336"/>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336"/>
      <c r="BE32" s="336"/>
      <c r="BF32" s="336"/>
      <c r="BG32" s="336"/>
      <c r="BH32" s="336"/>
      <c r="BI32" s="336"/>
      <c r="BJ32" s="336"/>
      <c r="BK32" s="336"/>
      <c r="BL32" s="336"/>
      <c r="BM32" s="336"/>
      <c r="BN32" s="336"/>
      <c r="BO32" s="336"/>
      <c r="BP32" s="336"/>
      <c r="BQ32" s="336"/>
      <c r="BR32" s="336"/>
      <c r="BS32" s="336"/>
      <c r="BT32" s="336"/>
      <c r="BU32" s="336"/>
      <c r="BV32" s="336"/>
      <c r="BW32" s="336"/>
      <c r="BX32" s="336"/>
      <c r="BY32" s="336"/>
      <c r="BZ32" s="336"/>
      <c r="CA32" s="336"/>
      <c r="CB32" s="336"/>
      <c r="CC32" s="336"/>
      <c r="CD32" s="336"/>
      <c r="CE32" s="336"/>
      <c r="CF32" s="336"/>
      <c r="CG32" s="336"/>
      <c r="CH32" s="336"/>
      <c r="CI32" s="336"/>
      <c r="CJ32" s="336"/>
      <c r="CK32" s="336"/>
      <c r="CL32" s="336"/>
      <c r="CM32" s="336"/>
      <c r="CN32" s="336"/>
      <c r="CO32" s="336"/>
      <c r="CP32" s="336"/>
      <c r="CQ32" s="336"/>
      <c r="CR32" s="336"/>
      <c r="CS32" s="336"/>
      <c r="CT32" s="336"/>
      <c r="CU32" s="336"/>
      <c r="CV32" s="336"/>
      <c r="CW32" s="336"/>
      <c r="CX32" s="336"/>
      <c r="CY32" s="226"/>
      <c r="CZ32" s="334"/>
      <c r="DA32" s="212"/>
      <c r="DB32" s="212"/>
    </row>
    <row r="33" spans="1:106">
      <c r="A33" s="332"/>
      <c r="B33" s="222"/>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37"/>
      <c r="BS33" s="337"/>
      <c r="BT33" s="337"/>
      <c r="BU33" s="337"/>
      <c r="BV33" s="337"/>
      <c r="BW33" s="337"/>
      <c r="BX33" s="337"/>
      <c r="BY33" s="337"/>
      <c r="BZ33" s="337"/>
      <c r="CA33" s="337"/>
      <c r="CB33" s="337"/>
      <c r="CC33" s="337"/>
      <c r="CD33" s="337"/>
      <c r="CE33" s="337"/>
      <c r="CF33" s="337"/>
      <c r="CG33" s="337"/>
      <c r="CH33" s="337"/>
      <c r="CI33" s="337"/>
      <c r="CJ33" s="337"/>
      <c r="CK33" s="337"/>
      <c r="CL33" s="337"/>
      <c r="CM33" s="337"/>
      <c r="CN33" s="337"/>
      <c r="CO33" s="337"/>
      <c r="CP33" s="337"/>
      <c r="CQ33" s="337"/>
      <c r="CR33" s="337"/>
      <c r="CS33" s="337"/>
      <c r="CT33" s="337"/>
      <c r="CU33" s="337"/>
      <c r="CV33" s="337"/>
      <c r="CW33" s="337"/>
      <c r="CX33" s="337"/>
      <c r="CY33" s="223"/>
      <c r="CZ33" s="334"/>
      <c r="DA33" s="212"/>
      <c r="DB33" s="212"/>
    </row>
    <row r="34" spans="1:106" ht="20.25" customHeight="1">
      <c r="A34" s="212"/>
      <c r="B34" s="329"/>
      <c r="C34" s="329"/>
      <c r="D34" s="329"/>
      <c r="E34" s="329"/>
      <c r="F34" s="329"/>
      <c r="G34" s="329"/>
      <c r="H34" s="329"/>
      <c r="I34" s="329"/>
      <c r="J34" s="329"/>
      <c r="K34" s="329"/>
      <c r="L34" s="329"/>
      <c r="M34" s="329"/>
      <c r="N34" s="329"/>
      <c r="O34" s="329"/>
      <c r="P34" s="329"/>
      <c r="Q34" s="329"/>
      <c r="R34" s="329"/>
      <c r="S34" s="329"/>
      <c r="T34" s="329"/>
      <c r="U34" s="329"/>
      <c r="V34" s="329"/>
      <c r="W34" s="329"/>
      <c r="X34" s="329"/>
      <c r="Y34" s="329"/>
      <c r="Z34" s="329"/>
      <c r="AA34" s="329"/>
      <c r="AB34" s="329"/>
      <c r="AC34" s="329"/>
      <c r="AD34" s="329"/>
      <c r="AE34" s="329"/>
      <c r="AF34" s="329"/>
      <c r="AG34" s="329"/>
      <c r="AH34" s="329"/>
      <c r="AI34" s="329"/>
      <c r="AJ34" s="329"/>
      <c r="AK34" s="329"/>
      <c r="AL34" s="329"/>
      <c r="AM34" s="329"/>
      <c r="AN34" s="329"/>
      <c r="AO34" s="329"/>
      <c r="AP34" s="329"/>
      <c r="AQ34" s="329"/>
      <c r="AR34" s="329"/>
      <c r="AS34" s="329"/>
      <c r="AT34" s="329"/>
      <c r="AU34" s="329"/>
      <c r="AV34" s="329"/>
      <c r="AW34" s="329"/>
      <c r="AX34" s="329"/>
      <c r="AY34" s="329"/>
      <c r="AZ34" s="329"/>
      <c r="BA34" s="329"/>
      <c r="BB34" s="329"/>
      <c r="BC34" s="329"/>
      <c r="BD34" s="329"/>
      <c r="BE34" s="329"/>
      <c r="BF34" s="329"/>
      <c r="BG34" s="329"/>
      <c r="BH34" s="329"/>
      <c r="BI34" s="329"/>
      <c r="BJ34" s="329"/>
      <c r="BK34" s="329"/>
      <c r="BL34" s="329"/>
      <c r="BM34" s="329"/>
      <c r="BN34" s="329"/>
      <c r="BO34" s="329"/>
      <c r="BP34" s="329"/>
      <c r="BQ34" s="329"/>
      <c r="BR34" s="329"/>
      <c r="BS34" s="329"/>
      <c r="BT34" s="329"/>
      <c r="BU34" s="329"/>
      <c r="BV34" s="329"/>
      <c r="BW34" s="329"/>
      <c r="BX34" s="329"/>
      <c r="BY34" s="329"/>
      <c r="BZ34" s="329"/>
      <c r="CA34" s="329"/>
      <c r="CB34" s="329"/>
      <c r="CC34" s="329"/>
      <c r="CD34" s="329"/>
      <c r="CE34" s="329"/>
      <c r="CF34" s="329"/>
      <c r="CG34" s="329"/>
      <c r="CH34" s="329"/>
      <c r="CI34" s="329"/>
      <c r="CJ34" s="329"/>
      <c r="CK34" s="329"/>
      <c r="CL34" s="329"/>
      <c r="CM34" s="329"/>
      <c r="CN34" s="329"/>
      <c r="CO34" s="329"/>
      <c r="CP34" s="329"/>
      <c r="CQ34" s="329"/>
      <c r="CR34" s="329"/>
      <c r="CS34" s="329"/>
      <c r="CT34" s="329"/>
      <c r="CU34" s="329"/>
      <c r="CV34" s="329"/>
      <c r="CW34" s="329"/>
      <c r="CX34" s="329"/>
      <c r="CY34" s="329"/>
      <c r="CZ34" s="212"/>
      <c r="DA34" s="212"/>
      <c r="DB34" s="212"/>
    </row>
    <row r="35" spans="1:106" ht="7.5" customHeight="1">
      <c r="A35" s="212"/>
      <c r="B35" s="229"/>
      <c r="C35" s="330" t="s">
        <v>87</v>
      </c>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0"/>
      <c r="BA35" s="330"/>
      <c r="BB35" s="330"/>
      <c r="BC35" s="330"/>
      <c r="BD35" s="330"/>
      <c r="BE35" s="330"/>
      <c r="BF35" s="330"/>
      <c r="BG35" s="330"/>
      <c r="BH35" s="330"/>
      <c r="BI35" s="330"/>
      <c r="BJ35" s="330"/>
      <c r="BK35" s="330"/>
      <c r="BL35" s="330"/>
      <c r="BM35" s="330"/>
      <c r="BN35" s="330"/>
      <c r="BO35" s="330"/>
      <c r="BP35" s="330"/>
      <c r="BQ35" s="330"/>
      <c r="BR35" s="330"/>
      <c r="BS35" s="330"/>
      <c r="BT35" s="330"/>
      <c r="BU35" s="330"/>
      <c r="BV35" s="330"/>
      <c r="BW35" s="330"/>
      <c r="BX35" s="330"/>
      <c r="BY35" s="330"/>
      <c r="BZ35" s="330"/>
      <c r="CA35" s="330"/>
      <c r="CB35" s="330"/>
      <c r="CC35" s="330"/>
      <c r="CD35" s="330"/>
      <c r="CE35" s="330"/>
      <c r="CF35" s="330"/>
      <c r="CG35" s="330"/>
      <c r="CH35" s="330"/>
      <c r="CI35" s="330"/>
      <c r="CJ35" s="330"/>
      <c r="CK35" s="330"/>
      <c r="CL35" s="330"/>
      <c r="CM35" s="330"/>
      <c r="CN35" s="330"/>
      <c r="CO35" s="330"/>
      <c r="CP35" s="330"/>
      <c r="CQ35" s="330"/>
      <c r="CR35" s="330"/>
      <c r="CS35" s="330"/>
      <c r="CT35" s="330"/>
      <c r="CU35" s="330"/>
      <c r="CV35" s="330"/>
      <c r="CW35" s="330"/>
      <c r="CX35" s="330"/>
      <c r="CY35" s="230"/>
      <c r="CZ35" s="212"/>
      <c r="DA35" s="212"/>
      <c r="DB35" s="212"/>
    </row>
    <row r="36" spans="1:106" ht="7.5" customHeight="1">
      <c r="A36" s="212"/>
      <c r="B36" s="229"/>
      <c r="C36" s="330" t="s">
        <v>88</v>
      </c>
      <c r="D36" s="330"/>
      <c r="E36" s="330"/>
      <c r="F36" s="330"/>
      <c r="G36" s="330"/>
      <c r="H36" s="330"/>
      <c r="I36" s="330"/>
      <c r="J36" s="330"/>
      <c r="K36" s="330"/>
      <c r="L36" s="330"/>
      <c r="M36" s="330"/>
      <c r="N36" s="330"/>
      <c r="O36" s="330"/>
      <c r="P36" s="330"/>
      <c r="Q36" s="330"/>
      <c r="R36" s="330"/>
      <c r="S36" s="330"/>
      <c r="T36" s="330"/>
      <c r="U36" s="330"/>
      <c r="V36" s="330"/>
      <c r="W36" s="330"/>
      <c r="X36" s="330"/>
      <c r="Y36" s="330"/>
      <c r="Z36" s="330"/>
      <c r="AA36" s="330"/>
      <c r="AB36" s="330"/>
      <c r="AC36" s="330"/>
      <c r="AD36" s="330"/>
      <c r="AE36" s="330"/>
      <c r="AF36" s="330"/>
      <c r="AG36" s="330"/>
      <c r="AH36" s="330"/>
      <c r="AI36" s="330"/>
      <c r="AJ36" s="330"/>
      <c r="AK36" s="330"/>
      <c r="AL36" s="330"/>
      <c r="AM36" s="330"/>
      <c r="AN36" s="330"/>
      <c r="AO36" s="330"/>
      <c r="AP36" s="330"/>
      <c r="AQ36" s="330"/>
      <c r="AR36" s="330"/>
      <c r="AS36" s="330"/>
      <c r="AT36" s="330"/>
      <c r="AU36" s="330"/>
      <c r="AV36" s="330"/>
      <c r="AW36" s="330"/>
      <c r="AX36" s="330"/>
      <c r="AY36" s="330"/>
      <c r="AZ36" s="330"/>
      <c r="BA36" s="330"/>
      <c r="BB36" s="330"/>
      <c r="BC36" s="330"/>
      <c r="BD36" s="330"/>
      <c r="BE36" s="330"/>
      <c r="BF36" s="330"/>
      <c r="BG36" s="330"/>
      <c r="BH36" s="330"/>
      <c r="BI36" s="330"/>
      <c r="BJ36" s="330"/>
      <c r="BK36" s="330"/>
      <c r="BL36" s="330"/>
      <c r="BM36" s="330"/>
      <c r="BN36" s="330"/>
      <c r="BO36" s="330"/>
      <c r="BP36" s="330"/>
      <c r="BQ36" s="330"/>
      <c r="BR36" s="330"/>
      <c r="BS36" s="330"/>
      <c r="BT36" s="330"/>
      <c r="BU36" s="330"/>
      <c r="BV36" s="330"/>
      <c r="BW36" s="330"/>
      <c r="BX36" s="330"/>
      <c r="BY36" s="330"/>
      <c r="BZ36" s="330"/>
      <c r="CA36" s="330"/>
      <c r="CB36" s="330"/>
      <c r="CC36" s="330"/>
      <c r="CD36" s="330"/>
      <c r="CE36" s="330"/>
      <c r="CF36" s="330"/>
      <c r="CG36" s="330"/>
      <c r="CH36" s="330"/>
      <c r="CI36" s="330"/>
      <c r="CJ36" s="330"/>
      <c r="CK36" s="330"/>
      <c r="CL36" s="330"/>
      <c r="CM36" s="330"/>
      <c r="CN36" s="330"/>
      <c r="CO36" s="330"/>
      <c r="CP36" s="330"/>
      <c r="CQ36" s="330"/>
      <c r="CR36" s="330"/>
      <c r="CS36" s="330"/>
      <c r="CT36" s="330"/>
      <c r="CU36" s="330"/>
      <c r="CV36" s="330"/>
      <c r="CW36" s="330"/>
      <c r="CX36" s="330"/>
      <c r="CY36" s="230"/>
      <c r="CZ36" s="212"/>
      <c r="DA36" s="212"/>
      <c r="DB36" s="212"/>
    </row>
    <row r="37" spans="1:106" ht="7.5" customHeight="1">
      <c r="A37" s="212"/>
      <c r="B37" s="229"/>
      <c r="C37" s="330" t="s">
        <v>89</v>
      </c>
      <c r="D37" s="330"/>
      <c r="E37" s="330"/>
      <c r="F37" s="330"/>
      <c r="G37" s="330"/>
      <c r="H37" s="330"/>
      <c r="I37" s="330"/>
      <c r="J37" s="330"/>
      <c r="K37" s="330"/>
      <c r="L37" s="330"/>
      <c r="M37" s="330"/>
      <c r="N37" s="330"/>
      <c r="O37" s="330"/>
      <c r="P37" s="330"/>
      <c r="Q37" s="330"/>
      <c r="R37" s="330"/>
      <c r="S37" s="330"/>
      <c r="T37" s="330"/>
      <c r="U37" s="330"/>
      <c r="V37" s="330"/>
      <c r="W37" s="330"/>
      <c r="X37" s="330"/>
      <c r="Y37" s="330"/>
      <c r="Z37" s="330"/>
      <c r="AA37" s="330"/>
      <c r="AB37" s="330"/>
      <c r="AC37" s="330"/>
      <c r="AD37" s="330"/>
      <c r="AE37" s="330"/>
      <c r="AF37" s="330"/>
      <c r="AG37" s="330"/>
      <c r="AH37" s="330"/>
      <c r="AI37" s="330"/>
      <c r="AJ37" s="330"/>
      <c r="AK37" s="330"/>
      <c r="AL37" s="330"/>
      <c r="AM37" s="330"/>
      <c r="AN37" s="330"/>
      <c r="AO37" s="330"/>
      <c r="AP37" s="330"/>
      <c r="AQ37" s="330"/>
      <c r="AR37" s="330"/>
      <c r="AS37" s="330"/>
      <c r="AT37" s="330"/>
      <c r="AU37" s="330"/>
      <c r="AV37" s="330"/>
      <c r="AW37" s="330"/>
      <c r="AX37" s="330"/>
      <c r="AY37" s="330"/>
      <c r="AZ37" s="330"/>
      <c r="BA37" s="330"/>
      <c r="BB37" s="330"/>
      <c r="BC37" s="330"/>
      <c r="BD37" s="330"/>
      <c r="BE37" s="330"/>
      <c r="BF37" s="330"/>
      <c r="BG37" s="330"/>
      <c r="BH37" s="330"/>
      <c r="BI37" s="330"/>
      <c r="BJ37" s="330"/>
      <c r="BK37" s="330"/>
      <c r="BL37" s="330"/>
      <c r="BM37" s="330"/>
      <c r="BN37" s="330"/>
      <c r="BO37" s="330"/>
      <c r="BP37" s="330"/>
      <c r="BQ37" s="330"/>
      <c r="BR37" s="330"/>
      <c r="BS37" s="330"/>
      <c r="BT37" s="330"/>
      <c r="BU37" s="330"/>
      <c r="BV37" s="330"/>
      <c r="BW37" s="330"/>
      <c r="BX37" s="330"/>
      <c r="BY37" s="330"/>
      <c r="BZ37" s="330"/>
      <c r="CA37" s="330"/>
      <c r="CB37" s="330"/>
      <c r="CC37" s="330"/>
      <c r="CD37" s="330"/>
      <c r="CE37" s="330"/>
      <c r="CF37" s="330"/>
      <c r="CG37" s="330"/>
      <c r="CH37" s="330"/>
      <c r="CI37" s="330"/>
      <c r="CJ37" s="330"/>
      <c r="CK37" s="330"/>
      <c r="CL37" s="330"/>
      <c r="CM37" s="330"/>
      <c r="CN37" s="330"/>
      <c r="CO37" s="330"/>
      <c r="CP37" s="330"/>
      <c r="CQ37" s="330"/>
      <c r="CR37" s="330"/>
      <c r="CS37" s="330"/>
      <c r="CT37" s="330"/>
      <c r="CU37" s="330"/>
      <c r="CV37" s="330"/>
      <c r="CW37" s="330"/>
      <c r="CX37" s="330"/>
      <c r="CY37" s="230"/>
      <c r="CZ37" s="212"/>
      <c r="DA37" s="212"/>
      <c r="DB37" s="212"/>
    </row>
    <row r="38" spans="1:106" ht="7.5" customHeight="1">
      <c r="A38" s="212"/>
      <c r="B38" s="229"/>
      <c r="C38" s="330" t="s">
        <v>90</v>
      </c>
      <c r="D38" s="330"/>
      <c r="E38" s="330"/>
      <c r="F38" s="330"/>
      <c r="G38" s="330"/>
      <c r="H38" s="330"/>
      <c r="I38" s="330"/>
      <c r="J38" s="330"/>
      <c r="K38" s="330"/>
      <c r="L38" s="330"/>
      <c r="M38" s="330"/>
      <c r="N38" s="330"/>
      <c r="O38" s="330"/>
      <c r="P38" s="330"/>
      <c r="Q38" s="330"/>
      <c r="R38" s="330"/>
      <c r="S38" s="330"/>
      <c r="T38" s="330"/>
      <c r="U38" s="330"/>
      <c r="V38" s="330"/>
      <c r="W38" s="330"/>
      <c r="X38" s="330"/>
      <c r="Y38" s="330"/>
      <c r="Z38" s="330"/>
      <c r="AA38" s="330"/>
      <c r="AB38" s="330"/>
      <c r="AC38" s="330"/>
      <c r="AD38" s="330"/>
      <c r="AE38" s="330"/>
      <c r="AF38" s="330"/>
      <c r="AG38" s="330"/>
      <c r="AH38" s="330"/>
      <c r="AI38" s="330"/>
      <c r="AJ38" s="330"/>
      <c r="AK38" s="330"/>
      <c r="AL38" s="330"/>
      <c r="AM38" s="330"/>
      <c r="AN38" s="330"/>
      <c r="AO38" s="330"/>
      <c r="AP38" s="330"/>
      <c r="AQ38" s="330"/>
      <c r="AR38" s="330"/>
      <c r="AS38" s="330"/>
      <c r="AT38" s="330"/>
      <c r="AU38" s="330"/>
      <c r="AV38" s="330"/>
      <c r="AW38" s="330"/>
      <c r="AX38" s="330"/>
      <c r="AY38" s="330"/>
      <c r="AZ38" s="330"/>
      <c r="BA38" s="330"/>
      <c r="BB38" s="330"/>
      <c r="BC38" s="330"/>
      <c r="BD38" s="330"/>
      <c r="BE38" s="330"/>
      <c r="BF38" s="330"/>
      <c r="BG38" s="330"/>
      <c r="BH38" s="330"/>
      <c r="BI38" s="330"/>
      <c r="BJ38" s="330"/>
      <c r="BK38" s="330"/>
      <c r="BL38" s="330"/>
      <c r="BM38" s="330"/>
      <c r="BN38" s="330"/>
      <c r="BO38" s="330"/>
      <c r="BP38" s="330"/>
      <c r="BQ38" s="330"/>
      <c r="BR38" s="330"/>
      <c r="BS38" s="330"/>
      <c r="BT38" s="330"/>
      <c r="BU38" s="330"/>
      <c r="BV38" s="330"/>
      <c r="BW38" s="330"/>
      <c r="BX38" s="330"/>
      <c r="BY38" s="330"/>
      <c r="BZ38" s="330"/>
      <c r="CA38" s="330"/>
      <c r="CB38" s="330"/>
      <c r="CC38" s="330"/>
      <c r="CD38" s="330"/>
      <c r="CE38" s="330"/>
      <c r="CF38" s="330"/>
      <c r="CG38" s="330"/>
      <c r="CH38" s="330"/>
      <c r="CI38" s="330"/>
      <c r="CJ38" s="330"/>
      <c r="CK38" s="330"/>
      <c r="CL38" s="330"/>
      <c r="CM38" s="330"/>
      <c r="CN38" s="330"/>
      <c r="CO38" s="330"/>
      <c r="CP38" s="330"/>
      <c r="CQ38" s="330"/>
      <c r="CR38" s="330"/>
      <c r="CS38" s="330"/>
      <c r="CT38" s="330"/>
      <c r="CU38" s="330"/>
      <c r="CV38" s="330"/>
      <c r="CW38" s="330"/>
      <c r="CX38" s="330"/>
      <c r="CY38" s="230"/>
      <c r="CZ38" s="212"/>
      <c r="DA38" s="212"/>
      <c r="DB38" s="212"/>
    </row>
    <row r="39" spans="1:106">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row>
    <row r="40" spans="1:106">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row>
    <row r="41" spans="1:106">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row>
    <row r="42" spans="1:106">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row>
    <row r="43" spans="1:106">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row>
    <row r="44" spans="1:106">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row>
    <row r="45" spans="1:106">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row>
    <row r="46" spans="1:106">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row>
    <row r="47" spans="1:106">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row>
    <row r="48" spans="1:106">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row>
  </sheetData>
  <sheetProtection sheet="1" objects="1" scenarios="1" formatCells="0"/>
  <mergeCells count="59">
    <mergeCell ref="B1:CY1"/>
    <mergeCell ref="C2:CX2"/>
    <mergeCell ref="A3:A8"/>
    <mergeCell ref="C3:CX5"/>
    <mergeCell ref="CZ3:CZ8"/>
    <mergeCell ref="C6:AP6"/>
    <mergeCell ref="AQ6:CX6"/>
    <mergeCell ref="C7:CX7"/>
    <mergeCell ref="C8:N8"/>
    <mergeCell ref="O8:BP8"/>
    <mergeCell ref="BQ8:CB8"/>
    <mergeCell ref="CC8:CX8"/>
    <mergeCell ref="B9:CY9"/>
    <mergeCell ref="B10:CY10"/>
    <mergeCell ref="A11:A19"/>
    <mergeCell ref="C11:CX11"/>
    <mergeCell ref="CZ11:CZ19"/>
    <mergeCell ref="C12:CG12"/>
    <mergeCell ref="CH12:CX12"/>
    <mergeCell ref="C13:CG13"/>
    <mergeCell ref="CH13:CX13"/>
    <mergeCell ref="C14:CG14"/>
    <mergeCell ref="CH14:CX14"/>
    <mergeCell ref="C15:CG15"/>
    <mergeCell ref="CH15:CX15"/>
    <mergeCell ref="C16:CG16"/>
    <mergeCell ref="CH16:CX16"/>
    <mergeCell ref="C17:CG17"/>
    <mergeCell ref="CH17:CX17"/>
    <mergeCell ref="C18:CG18"/>
    <mergeCell ref="CH18:CX18"/>
    <mergeCell ref="C19:CX19"/>
    <mergeCell ref="B20:CY20"/>
    <mergeCell ref="A21:A28"/>
    <mergeCell ref="C21:CX21"/>
    <mergeCell ref="CZ21:CZ28"/>
    <mergeCell ref="C22:CX22"/>
    <mergeCell ref="C23:CG23"/>
    <mergeCell ref="CH23:CX23"/>
    <mergeCell ref="C24:CG24"/>
    <mergeCell ref="CH24:CX24"/>
    <mergeCell ref="C25:CG25"/>
    <mergeCell ref="CH25:CX25"/>
    <mergeCell ref="C26:CX26"/>
    <mergeCell ref="C27:CG27"/>
    <mergeCell ref="CH27:CX27"/>
    <mergeCell ref="C28:CX28"/>
    <mergeCell ref="B29:CY29"/>
    <mergeCell ref="A30:A33"/>
    <mergeCell ref="C30:CX30"/>
    <mergeCell ref="CZ30:CZ33"/>
    <mergeCell ref="C31:CX31"/>
    <mergeCell ref="C32:CX32"/>
    <mergeCell ref="C33:CX33"/>
    <mergeCell ref="B34:CY34"/>
    <mergeCell ref="C35:CX35"/>
    <mergeCell ref="C36:CX36"/>
    <mergeCell ref="C37:CX37"/>
    <mergeCell ref="C38:CX38"/>
  </mergeCells>
  <printOptions horizontalCentered="1"/>
  <pageMargins left="0.25" right="0.25" top="1.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107</TotalTime>
  <Application>Microsoft Excel</Application>
  <DocSecurity>0</DocSecurity>
  <ScaleCrop>false</ScaleCrop>
  <HeadingPairs>
    <vt:vector size="4" baseType="variant">
      <vt:variant>
        <vt:lpstr>工作表</vt:lpstr>
      </vt:variant>
      <vt:variant>
        <vt:i4>5</vt:i4>
      </vt:variant>
      <vt:variant>
        <vt:lpstr>命名范围</vt:lpstr>
      </vt:variant>
      <vt:variant>
        <vt:i4>22</vt:i4>
      </vt:variant>
    </vt:vector>
  </HeadingPairs>
  <TitlesOfParts>
    <vt:vector size="27" baseType="lpstr">
      <vt:lpstr>个人rental income(4个以下)</vt:lpstr>
      <vt:lpstr>Back-to-Work</vt:lpstr>
      <vt:lpstr>Data_Income</vt:lpstr>
      <vt:lpstr>Res Inc Data</vt:lpstr>
      <vt:lpstr>MCC Credit</vt:lpstr>
      <vt:lpstr>BRANCHOFSERVICE</vt:lpstr>
      <vt:lpstr>FREQUENCY</vt:lpstr>
      <vt:lpstr>M_DOCTYPES</vt:lpstr>
      <vt:lpstr>M_PAYDOCS</vt:lpstr>
      <vt:lpstr>M_YEARS</vt:lpstr>
      <vt:lpstr>'Back-to-Work'!Print_Area</vt:lpstr>
      <vt:lpstr>'MCC Credit'!Print_Area</vt:lpstr>
      <vt:lpstr>'个人rental income(4个以下)'!Print_Area</vt:lpstr>
      <vt:lpstr>RESIDUALACTUAL</vt:lpstr>
      <vt:lpstr>RESIDUALDIFF</vt:lpstr>
      <vt:lpstr>RESIDUALREQUIRED</vt:lpstr>
      <vt:lpstr>STATESELECTED</vt:lpstr>
      <vt:lpstr>STATESLIST</vt:lpstr>
      <vt:lpstr>WVOEHEADINGS</vt:lpstr>
      <vt:lpstr>YEARN</vt:lpstr>
      <vt:lpstr>YEARP1</vt:lpstr>
      <vt:lpstr>YEARP2</vt:lpstr>
      <vt:lpstr>YRCB</vt:lpstr>
      <vt:lpstr>YRP1B</vt:lpstr>
      <vt:lpstr>YRP1E</vt:lpstr>
      <vt:lpstr>YRP2B</vt:lpstr>
      <vt:lpstr>YRP2E</vt:lpstr>
    </vt:vector>
  </TitlesOfParts>
  <Company>American United Mortgage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Income Calculation Worksheet</dc:title>
  <dc:subject/>
  <dc:creator>Mark A. Johnson</dc:creator>
  <cp:keywords>Income Calculation</cp:keywords>
  <dc:description/>
  <cp:lastModifiedBy>Jerry Young</cp:lastModifiedBy>
  <cp:revision>1</cp:revision>
  <cp:lastPrinted>2020-10-08T13:54:00Z</cp:lastPrinted>
  <dcterms:created xsi:type="dcterms:W3CDTF">1999-05-05T02:55:00Z</dcterms:created>
  <dcterms:modified xsi:type="dcterms:W3CDTF">2026-03-18T23:29:37Z</dcterms:modified>
  <dc:language>zh-SG</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430AA8D0F1524E98AE5524B8EDC45C71_13</vt:lpwstr>
  </property>
  <property fmtid="{D5CDD505-2E9C-101B-9397-08002B2CF9AE}" pid="3" name="KSOProductBuildVer">
    <vt:lpwstr>2052-11.1.0.14309</vt:lpwstr>
  </property>
</Properties>
</file>